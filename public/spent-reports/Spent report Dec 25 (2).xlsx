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My Work\Saif\P&amp;A Procurment\2025\"/>
    </mc:Choice>
  </mc:AlternateContent>
  <xr:revisionPtr revIDLastSave="0" documentId="13_ncr:1_{D1D7BA56-3F00-42BC-8D85-5AD8B55F3670}" xr6:coauthVersionLast="47" xr6:coauthVersionMax="47" xr10:uidLastSave="{00000000-0000-0000-0000-000000000000}"/>
  <bookViews>
    <workbookView xWindow="-110" yWindow="-110" windowWidth="19420" windowHeight="10420" tabRatio="766" xr2:uid="{00000000-000D-0000-FFFF-FFFF00000000}"/>
  </bookViews>
  <sheets>
    <sheet name="Sumary" sheetId="33" r:id="rId1"/>
    <sheet name="Master" sheetId="9" r:id="rId2"/>
    <sheet name="Payroll" sheetId="2" r:id="rId3"/>
    <sheet name="Sheet2" sheetId="32" r:id="rId4"/>
    <sheet name="Shipping" sheetId="14" r:id="rId5"/>
    <sheet name="Petty Cash" sheetId="5" r:id="rId6"/>
    <sheet name="Fuel &amp; Lubricant" sheetId="18" r:id="rId7"/>
    <sheet name="Charitable Contributions" sheetId="17" r:id="rId8"/>
    <sheet name="Accommodation" sheetId="19" r:id="rId9"/>
    <sheet name="Logistic" sheetId="4" r:id="rId10"/>
    <sheet name="Security" sheetId="21" r:id="rId11"/>
    <sheet name="Lease &amp; Rent" sheetId="20" r:id="rId12"/>
    <sheet name="Communication &amp; internet" sheetId="22" r:id="rId13"/>
    <sheet name="Social security" sheetId="25" r:id="rId14"/>
    <sheet name="Amman Expenses" sheetId="23" r:id="rId15"/>
    <sheet name="Air ticket &amp; travel" sheetId="26" r:id="rId16"/>
    <sheet name="Materials" sheetId="1" r:id="rId17"/>
    <sheet name="Third party Services" sheetId="6" r:id="rId18"/>
    <sheet name="Third party manpower" sheetId="15" r:id="rId19"/>
    <sheet name="Subcontractors" sheetId="3" r:id="rId20"/>
    <sheet name="Tax" sheetId="7" state="hidden" r:id="rId21"/>
    <sheet name="FA" sheetId="31" r:id="rId22"/>
    <sheet name="Sheet1" sheetId="11" r:id="rId23"/>
    <sheet name="List" sheetId="10" state="hidden" r:id="rId24"/>
  </sheets>
  <externalReferences>
    <externalReference r:id="rId25"/>
  </externalReferences>
  <definedNames>
    <definedName name="_xlnm._FilterDatabase" localSheetId="9" hidden="1">Logistic!$A$1:$N$2</definedName>
    <definedName name="_xlnm._FilterDatabase" localSheetId="1" hidden="1">Master!$A$1:$N$722</definedName>
    <definedName name="_xlnm._FilterDatabase" localSheetId="16" hidden="1">Materials!$A$1:$N$187</definedName>
    <definedName name="_xlnm._FilterDatabase" localSheetId="2" hidden="1">Payroll!$A$1:$N$1</definedName>
    <definedName name="_xlnm._FilterDatabase" localSheetId="5" hidden="1">'Petty Cash'!$A$1:$N$86</definedName>
    <definedName name="_xlnm._FilterDatabase" localSheetId="18" hidden="1">'Third party manpower'!$A$1:$N$1</definedName>
    <definedName name="_xlnm._FilterDatabase" localSheetId="17" hidden="1">'Third party Services'!$A$1:$N$1</definedName>
    <definedName name="Level_2">[1]List!$G$2:$G$37</definedName>
  </definedNames>
  <calcPr calcId="191029"/>
  <pivotCaches>
    <pivotCache cacheId="158" r:id="rId2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5" i="9" l="1"/>
  <c r="I74" i="9"/>
  <c r="I73" i="9"/>
  <c r="I72" i="9"/>
  <c r="I71" i="9"/>
  <c r="I60" i="9"/>
  <c r="I59" i="9"/>
  <c r="I35" i="2"/>
  <c r="I34" i="2"/>
  <c r="I4" i="18"/>
  <c r="I5" i="18"/>
  <c r="I4" i="14"/>
  <c r="I2" i="26"/>
  <c r="I30" i="15" l="1"/>
  <c r="I6" i="31" l="1"/>
  <c r="I5" i="31"/>
  <c r="I4" i="31"/>
  <c r="I3" i="31"/>
  <c r="I12" i="6"/>
  <c r="I11" i="6"/>
  <c r="I10" i="6"/>
  <c r="I9" i="6"/>
  <c r="I8" i="6"/>
  <c r="I7" i="6"/>
  <c r="I6" i="6"/>
  <c r="I5" i="6"/>
  <c r="I4" i="6"/>
  <c r="I3" i="6"/>
  <c r="I2" i="6"/>
  <c r="I2" i="22" l="1"/>
  <c r="I3" i="21"/>
  <c r="I2" i="4"/>
  <c r="I3" i="14"/>
  <c r="I32" i="2"/>
  <c r="I7" i="18"/>
  <c r="I6" i="18"/>
  <c r="I3" i="18"/>
  <c r="I7" i="31"/>
  <c r="I5" i="19" l="1"/>
  <c r="I3" i="19"/>
  <c r="I2" i="19"/>
</calcChain>
</file>

<file path=xl/sharedStrings.xml><?xml version="1.0" encoding="utf-8"?>
<sst xmlns="http://schemas.openxmlformats.org/spreadsheetml/2006/main" count="13152" uniqueCount="799">
  <si>
    <t>Serial</t>
  </si>
  <si>
    <t xml:space="preserve">Level 1 </t>
  </si>
  <si>
    <t>Level 2</t>
  </si>
  <si>
    <t>Cost Type</t>
  </si>
  <si>
    <t>GL Name</t>
  </si>
  <si>
    <t>GL Account</t>
  </si>
  <si>
    <t>Vendor</t>
  </si>
  <si>
    <t>Description</t>
  </si>
  <si>
    <t>Invoice Amount USD</t>
  </si>
  <si>
    <t>Invoice No.</t>
  </si>
  <si>
    <t>Invoice Date</t>
  </si>
  <si>
    <t>PO Number</t>
  </si>
  <si>
    <t>Month</t>
  </si>
  <si>
    <t>Year</t>
  </si>
  <si>
    <t>N/A</t>
  </si>
  <si>
    <t>Sep</t>
  </si>
  <si>
    <t>Amount USD</t>
  </si>
  <si>
    <t>BGC_23</t>
  </si>
  <si>
    <t>BNGL-25</t>
  </si>
  <si>
    <t>Accrual</t>
  </si>
  <si>
    <t>Staff Salary &amp; Compensation</t>
  </si>
  <si>
    <t>IGCC</t>
  </si>
  <si>
    <t>KAZ_23</t>
  </si>
  <si>
    <t>QUR_23</t>
  </si>
  <si>
    <t>SPAS_23</t>
  </si>
  <si>
    <t>UQ_23</t>
  </si>
  <si>
    <t>ZBR_23</t>
  </si>
  <si>
    <t>BGCG_23</t>
  </si>
  <si>
    <t>GRLBG_23</t>
  </si>
  <si>
    <t>1 MITAS</t>
  </si>
  <si>
    <t>MITASOHTL</t>
  </si>
  <si>
    <t>ROOESP_23</t>
  </si>
  <si>
    <t>EIESP_23</t>
  </si>
  <si>
    <t>ROOG_23</t>
  </si>
  <si>
    <t>GRLRO_23</t>
  </si>
  <si>
    <t>ROOM_23</t>
  </si>
  <si>
    <t>EIMNT_23</t>
  </si>
  <si>
    <t>EISP_23</t>
  </si>
  <si>
    <t>EITAR_23</t>
  </si>
  <si>
    <t>MPMNT_23</t>
  </si>
  <si>
    <t>MPSP_23</t>
  </si>
  <si>
    <t>MPTAR_23</t>
  </si>
  <si>
    <t>ROOP_23</t>
  </si>
  <si>
    <t>E&amp;I-MAJ</t>
  </si>
  <si>
    <t>FFF_23</t>
  </si>
  <si>
    <t>FLWLN_23</t>
  </si>
  <si>
    <t>KBR_23</t>
  </si>
  <si>
    <t>MWP_23</t>
  </si>
  <si>
    <t>OHTL_25</t>
  </si>
  <si>
    <t>PWRI_23</t>
  </si>
  <si>
    <t>PWRI2_23</t>
  </si>
  <si>
    <t>QAWPT_23</t>
  </si>
  <si>
    <t>TOTAL_25</t>
  </si>
  <si>
    <t>GRLTOT_25</t>
  </si>
  <si>
    <t>Camp_23</t>
  </si>
  <si>
    <t>CmpSB_23</t>
  </si>
  <si>
    <t>DHL / Courier Fees / Shipping</t>
  </si>
  <si>
    <t>Shipping</t>
  </si>
  <si>
    <t>HO_23</t>
  </si>
  <si>
    <t>HO_SB_23</t>
  </si>
  <si>
    <t>Actual</t>
  </si>
  <si>
    <t>Total_25</t>
  </si>
  <si>
    <t>GRLTOT</t>
  </si>
  <si>
    <t>Charitable Contributions</t>
  </si>
  <si>
    <t>Petty Cash</t>
  </si>
  <si>
    <t>اكراميات وعشائر</t>
  </si>
  <si>
    <t xml:space="preserve">KAZ-Check point salary </t>
  </si>
  <si>
    <t>ROOG-check point salary</t>
  </si>
  <si>
    <t>##</t>
  </si>
  <si>
    <t xml:space="preserve">Total-Check point salary </t>
  </si>
  <si>
    <t>CPSs_23</t>
  </si>
  <si>
    <t>Material &amp; Supplies</t>
  </si>
  <si>
    <t>Petty Cash for KAZ</t>
  </si>
  <si>
    <t>WOD_23</t>
  </si>
  <si>
    <t>EX_23</t>
  </si>
  <si>
    <t>Petty Cash for CAMP</t>
  </si>
  <si>
    <t>RTPFL_23</t>
  </si>
  <si>
    <t>Third party manpower</t>
  </si>
  <si>
    <t>WQ1_23</t>
  </si>
  <si>
    <t>WQ1SB_23</t>
  </si>
  <si>
    <t>Third party services</t>
  </si>
  <si>
    <t>Fuel &amp; Lubricant</t>
  </si>
  <si>
    <t>Cleaner Materials</t>
  </si>
  <si>
    <t>Air Ticket / Travel</t>
  </si>
  <si>
    <t>Accommodation</t>
  </si>
  <si>
    <t>Al Majal Business Park (AMBP)</t>
  </si>
  <si>
    <t>Light &amp; Heavy Equipment’s Rental</t>
  </si>
  <si>
    <t>Taqadm Albasrah</t>
  </si>
  <si>
    <t>BNGL_25</t>
  </si>
  <si>
    <t>NAC Logistic</t>
  </si>
  <si>
    <t>Border Transportaion / Al Hodod</t>
  </si>
  <si>
    <t>Light equipment rental</t>
  </si>
  <si>
    <t>MANPR_23</t>
  </si>
  <si>
    <t>Al-Zubair Gate</t>
  </si>
  <si>
    <t>Neema Abdul Hassan</t>
  </si>
  <si>
    <t>MWS_23</t>
  </si>
  <si>
    <t>Security</t>
  </si>
  <si>
    <t>LARSA Security</t>
  </si>
  <si>
    <t>Guards</t>
  </si>
  <si>
    <t>Derraa Al Rumaila Security</t>
  </si>
  <si>
    <t>Lease &amp; Rent</t>
  </si>
  <si>
    <t>Diesel tanker rental</t>
  </si>
  <si>
    <t>Communication &amp; internet</t>
  </si>
  <si>
    <t>Hulum Telecom</t>
  </si>
  <si>
    <t>Internet</t>
  </si>
  <si>
    <t>Zain Telecom</t>
  </si>
  <si>
    <t>Zain Telecom Services</t>
  </si>
  <si>
    <t>HO_SP_23</t>
  </si>
  <si>
    <t>Social security</t>
  </si>
  <si>
    <t>Third party Manpower</t>
  </si>
  <si>
    <t>labourers</t>
  </si>
  <si>
    <t>Third party Servcies</t>
  </si>
  <si>
    <t>Basra Galvanizing Co.</t>
  </si>
  <si>
    <t>Subcontractors</t>
  </si>
  <si>
    <t>Welding</t>
  </si>
  <si>
    <t>Burj Al Rafidain Hamza</t>
  </si>
  <si>
    <t>Abdullah Gallery</t>
  </si>
  <si>
    <t>Materials/Safety</t>
  </si>
  <si>
    <t>Materials</t>
  </si>
  <si>
    <t>AL MUSTAFA INDUSTRIAL IRON TRADING</t>
  </si>
  <si>
    <t>Al-Ghadeer Print</t>
  </si>
  <si>
    <t>AL-Wajeeh Company</t>
  </si>
  <si>
    <t>BLUE LINE</t>
  </si>
  <si>
    <t>Mohammed Abdulraheem Office</t>
  </si>
  <si>
    <t>ZUMZUM ALFAYHAA INSAAT</t>
  </si>
  <si>
    <t>Subcontracters</t>
  </si>
  <si>
    <t>Third party Services</t>
  </si>
  <si>
    <t>Lease &amp; rent</t>
  </si>
  <si>
    <t>Materiales</t>
  </si>
  <si>
    <t>Air ticket &amp; travel</t>
  </si>
  <si>
    <t>Comunication</t>
  </si>
  <si>
    <t>Logistics</t>
  </si>
  <si>
    <t>Charitable</t>
  </si>
  <si>
    <t>Petty Cash Sadeq</t>
  </si>
  <si>
    <t>Payroll</t>
  </si>
  <si>
    <t>Al Ajdar</t>
  </si>
  <si>
    <t>Tohama</t>
  </si>
  <si>
    <t>Machine Al Ajdar</t>
  </si>
  <si>
    <t>Al Taher</t>
  </si>
  <si>
    <t>Jabal Qandeel</t>
  </si>
  <si>
    <t>Burj/ Hamza</t>
  </si>
  <si>
    <t>Desial/ Farooq,Mustafa</t>
  </si>
  <si>
    <t>Haider Khazar</t>
  </si>
  <si>
    <t>AWAL</t>
  </si>
  <si>
    <t>Derra Al Rumila</t>
  </si>
  <si>
    <t>Logistic express</t>
  </si>
  <si>
    <t>TB</t>
  </si>
  <si>
    <t>RENT Offices</t>
  </si>
  <si>
    <t>Ashair</t>
  </si>
  <si>
    <t>Sadeq</t>
  </si>
  <si>
    <t>HR</t>
  </si>
  <si>
    <t>Marabaa</t>
  </si>
  <si>
    <t>NAYCO</t>
  </si>
  <si>
    <t>Rent Generators</t>
  </si>
  <si>
    <t>Al jaber</t>
  </si>
  <si>
    <t>Visa fees</t>
  </si>
  <si>
    <t>TB/ MANPOWER</t>
  </si>
  <si>
    <t>Desial/ IGCC</t>
  </si>
  <si>
    <t>HULUM</t>
  </si>
  <si>
    <t>Larsa</t>
  </si>
  <si>
    <t>Qaswa</t>
  </si>
  <si>
    <t>NAC</t>
  </si>
  <si>
    <t>Al Ebdaa</t>
  </si>
  <si>
    <t>Arajeez</t>
  </si>
  <si>
    <t>Civll devices</t>
  </si>
  <si>
    <t>Al Bashair</t>
  </si>
  <si>
    <t>ZQ/قرينات</t>
  </si>
  <si>
    <t>Desial/ Nemma</t>
  </si>
  <si>
    <t>ZAIN</t>
  </si>
  <si>
    <t>Al Huria</t>
  </si>
  <si>
    <t>Al Nahrain</t>
  </si>
  <si>
    <t>Border Heavy</t>
  </si>
  <si>
    <t>Jafar</t>
  </si>
  <si>
    <t>Enjaz</t>
  </si>
  <si>
    <t>Ajdar machine</t>
  </si>
  <si>
    <t>Mustafa iron</t>
  </si>
  <si>
    <t>Nypton</t>
  </si>
  <si>
    <t>ZQ</t>
  </si>
  <si>
    <t>Haider</t>
  </si>
  <si>
    <t>Southren servcies</t>
  </si>
  <si>
    <t>KHAN</t>
  </si>
  <si>
    <t>Nemma</t>
  </si>
  <si>
    <t>AlShiraq/ STX</t>
  </si>
  <si>
    <t>SAP Fees</t>
  </si>
  <si>
    <t>JANAAN</t>
  </si>
  <si>
    <t>Ibrahim Abdul QAHAR</t>
  </si>
  <si>
    <t>Yassen</t>
  </si>
  <si>
    <t>ZumZum</t>
  </si>
  <si>
    <t>Al Aqeeda</t>
  </si>
  <si>
    <t>Blue line</t>
  </si>
  <si>
    <t>Al-Ameer</t>
  </si>
  <si>
    <t>Al Mammas Company for Engineering Test</t>
  </si>
  <si>
    <t>Al-Wajeeh</t>
  </si>
  <si>
    <t>Miqias Inspection instrumentation Calibration</t>
  </si>
  <si>
    <t>TB/ SAND</t>
  </si>
  <si>
    <t>NAYA Co</t>
  </si>
  <si>
    <t>Ammar sharif</t>
  </si>
  <si>
    <t>Al-Haram</t>
  </si>
  <si>
    <t>Border HYDROVAC</t>
  </si>
  <si>
    <t>WECO</t>
  </si>
  <si>
    <t xml:space="preserve">Level_1 </t>
  </si>
  <si>
    <t>Level_2</t>
  </si>
  <si>
    <t>Cost_Type</t>
  </si>
  <si>
    <t>GL_Name</t>
  </si>
  <si>
    <t>Level_1</t>
  </si>
  <si>
    <t xml:space="preserve">Jan </t>
  </si>
  <si>
    <t>Third Party Services</t>
  </si>
  <si>
    <t>Feb</t>
  </si>
  <si>
    <t>Mar</t>
  </si>
  <si>
    <t>DG02_PWD</t>
  </si>
  <si>
    <t>Apr</t>
  </si>
  <si>
    <t>May</t>
  </si>
  <si>
    <t>Insurance Fees</t>
  </si>
  <si>
    <t>Jun</t>
  </si>
  <si>
    <t>CMNT_23 </t>
  </si>
  <si>
    <t>Accommodation rental</t>
  </si>
  <si>
    <t>Jul</t>
  </si>
  <si>
    <t>Aug</t>
  </si>
  <si>
    <t>Medical Fees</t>
  </si>
  <si>
    <t>Oct</t>
  </si>
  <si>
    <t>CMSN_23</t>
  </si>
  <si>
    <t>Nov</t>
  </si>
  <si>
    <t>Dec</t>
  </si>
  <si>
    <t>Personal Expense</t>
  </si>
  <si>
    <t>E&amp;I-MAJ_24</t>
  </si>
  <si>
    <t>Training &amp; Development</t>
  </si>
  <si>
    <t>fixed assets</t>
  </si>
  <si>
    <t>Third Party Manpower</t>
  </si>
  <si>
    <t>Amman Expenses</t>
  </si>
  <si>
    <t>Jabal Qendil BRS</t>
  </si>
  <si>
    <t>Ras Al Khaimah Advanced Businees Solutions</t>
  </si>
  <si>
    <t>Tohama Company</t>
  </si>
  <si>
    <t>ALDOLPHIN CO</t>
  </si>
  <si>
    <t>GULF PEARL GROUP</t>
  </si>
  <si>
    <t>Khan Alhadded Company</t>
  </si>
  <si>
    <t>Sahba Technnnology</t>
  </si>
  <si>
    <t>Rawat Emaar AL-Iraq Co. (JOTUN)</t>
  </si>
  <si>
    <t>Al-Karar Gallery for Wood &amp; MDF</t>
  </si>
  <si>
    <t>Advance Welding Solutions Co</t>
  </si>
  <si>
    <t>Al-Janaeen Al-Mualaka for Water</t>
  </si>
  <si>
    <t>#</t>
  </si>
  <si>
    <t>Materials/Paint</t>
  </si>
  <si>
    <t>Materials/Water</t>
  </si>
  <si>
    <t>Materials/Wood</t>
  </si>
  <si>
    <t>Al Ajdar For General Trading and General Purchasing Ltd</t>
  </si>
  <si>
    <t>Row Labels</t>
  </si>
  <si>
    <t>Grand Total</t>
  </si>
  <si>
    <t>Sum of Invoice Amount USD</t>
  </si>
  <si>
    <t>Column Labels</t>
  </si>
  <si>
    <t>ROESP_23</t>
  </si>
  <si>
    <t>CAMP_23</t>
  </si>
  <si>
    <t>GRLBG</t>
  </si>
  <si>
    <t>GRLRO</t>
  </si>
  <si>
    <t>Materials/wire</t>
  </si>
  <si>
    <t>PSD</t>
  </si>
  <si>
    <t>Al Hurea Security Services</t>
  </si>
  <si>
    <t xml:space="preserve">Visa &amp; Traveling Expense  </t>
  </si>
  <si>
    <t>تصاريح امنية</t>
  </si>
  <si>
    <t>Petty Cash for ROOG</t>
  </si>
  <si>
    <t>Petty Cash for EISP</t>
  </si>
  <si>
    <t>Petty Cash for FFF</t>
  </si>
  <si>
    <t>Petty Cash for TOTAL</t>
  </si>
  <si>
    <t>Petty Cash for OHTL</t>
  </si>
  <si>
    <t>Petty Cash for PWRI2</t>
  </si>
  <si>
    <t>Petty Cash for NGL</t>
  </si>
  <si>
    <t>Petty Cash for UQ</t>
  </si>
  <si>
    <t>Petty Cash for WOD</t>
  </si>
  <si>
    <t>Food &amp; Meal</t>
  </si>
  <si>
    <t>Maintenance for basra office &amp; Staff residence</t>
  </si>
  <si>
    <t>AL JUTHOOR WORKSHOP</t>
  </si>
  <si>
    <t>2025000961</t>
  </si>
  <si>
    <t>Al-Janoob Garage</t>
  </si>
  <si>
    <t>NEPTUNE ALKAWKAB ALAZRAK FOR GENERAL TRANSPORTATION</t>
  </si>
  <si>
    <t>Heavy  equipment rental</t>
  </si>
  <si>
    <t>camp_23</t>
  </si>
  <si>
    <t>PWT PWRI1_23</t>
  </si>
  <si>
    <t xml:space="preserve"> Light equipment rental</t>
  </si>
  <si>
    <t>22/11/2025</t>
  </si>
  <si>
    <t>23/11/2025</t>
  </si>
  <si>
    <t>26/11/2025</t>
  </si>
  <si>
    <t>25/11/2025</t>
  </si>
  <si>
    <t>24/11/2025</t>
  </si>
  <si>
    <t>Food &amp; Meal for CAMP</t>
  </si>
  <si>
    <t>33-25</t>
  </si>
  <si>
    <t>CVMNT_23 </t>
  </si>
  <si>
    <t>OHTL _25</t>
  </si>
  <si>
    <t>E&amp;I MAJ</t>
  </si>
  <si>
    <t>BNGL_23</t>
  </si>
  <si>
    <t>DMC FOR PETROLEUM SERVICES &amp; CONTRACTING</t>
  </si>
  <si>
    <t>Tiqaneyat Al-Taqaddum Co. (ATC)</t>
  </si>
  <si>
    <t>Al-Usool Genral Trading LTD</t>
  </si>
  <si>
    <t>Al Khaleej Company</t>
  </si>
  <si>
    <t>Fixed Assets</t>
  </si>
  <si>
    <t>Ataa Al Khalid Co.</t>
  </si>
  <si>
    <t>BASHEER FOR DECORATION</t>
  </si>
  <si>
    <t>Al-Ghader Gallary</t>
  </si>
  <si>
    <t>Excavator x 2</t>
  </si>
  <si>
    <t>Pressure Gauge Calibration</t>
  </si>
  <si>
    <t>Asia</t>
  </si>
  <si>
    <t>Off Payroll Dec</t>
  </si>
  <si>
    <t>Payroll Dec</t>
  </si>
  <si>
    <t xml:space="preserve">Dec 25 Camp Civil &amp; Mechanical team </t>
  </si>
  <si>
    <t>Dec 25 travel allowance 26 employees</t>
  </si>
  <si>
    <t>MITAS</t>
  </si>
  <si>
    <t>CMNT_23</t>
  </si>
  <si>
    <t>Kiosk-25</t>
  </si>
  <si>
    <t>Radix General Trading Co</t>
  </si>
  <si>
    <t>296</t>
  </si>
  <si>
    <t>171</t>
  </si>
  <si>
    <t>Diesel Official Dec 25</t>
  </si>
  <si>
    <t>Diesel Sites Dec 25</t>
  </si>
  <si>
    <t xml:space="preserve">Rent Amal Dec 25 </t>
  </si>
  <si>
    <t xml:space="preserve">Rent Academy Dec 25 </t>
  </si>
  <si>
    <t xml:space="preserve">Rent Al Jazair office Dec 25 </t>
  </si>
  <si>
    <t xml:space="preserve">Rent Southren Services Dec 25 </t>
  </si>
  <si>
    <t>Rent Jazair Accommodation Dec 25</t>
  </si>
  <si>
    <t xml:space="preserve">Rent Junaina Dec 25 </t>
  </si>
  <si>
    <t>Al Majal Business Park (AMBP) Dec 25</t>
  </si>
  <si>
    <t>2025003629</t>
  </si>
  <si>
    <t>NR-NGL_25</t>
  </si>
  <si>
    <t>2534</t>
  </si>
  <si>
    <t>3011401225</t>
  </si>
  <si>
    <t>INV-IGCC-NORTH-25-12-301</t>
  </si>
  <si>
    <t>INV-IGCC-QARINAT-25-12-297</t>
  </si>
  <si>
    <t>INV-IGCC-SOUTH-25-12-300</t>
  </si>
  <si>
    <t>INV-IGCC-UM QASIR ADHOC-25-12-299</t>
  </si>
  <si>
    <t>INV-IGCC-UM QASIR -25-12-298</t>
  </si>
  <si>
    <t>2535</t>
  </si>
  <si>
    <t>42-25</t>
  </si>
  <si>
    <t>IN000298652</t>
  </si>
  <si>
    <t>HEATER WORLD</t>
  </si>
  <si>
    <t>Zamzam Land Construction Trading</t>
  </si>
  <si>
    <t>ROWNAK COMPANY</t>
  </si>
  <si>
    <t>Al Narges Company for Pipes</t>
  </si>
  <si>
    <t>EPT LLC (SIKA)</t>
  </si>
  <si>
    <t>AL SADIQ FURNITURE GALLERY</t>
  </si>
  <si>
    <t>Al-qanaat Altijaria shops</t>
  </si>
  <si>
    <t>MOHAMMED HADAD OFFICE</t>
  </si>
  <si>
    <t>Xinke Protective Technology Co., Ltd"</t>
  </si>
  <si>
    <t>AL ADWA OFFICE</t>
  </si>
  <si>
    <t>Fasco LLC FZ</t>
  </si>
  <si>
    <t>Cargo Ship Company</t>
  </si>
  <si>
    <t>Anwar Al Zubear Factory</t>
  </si>
  <si>
    <t>World of Concrete</t>
  </si>
  <si>
    <t>Al-Jawadain Stores</t>
  </si>
  <si>
    <t>02522</t>
  </si>
  <si>
    <t>522</t>
  </si>
  <si>
    <t>000246</t>
  </si>
  <si>
    <t>3142</t>
  </si>
  <si>
    <t>3012</t>
  </si>
  <si>
    <t>02657</t>
  </si>
  <si>
    <t>3124</t>
  </si>
  <si>
    <t>3080</t>
  </si>
  <si>
    <t>3192</t>
  </si>
  <si>
    <t>0623</t>
  </si>
  <si>
    <t>0843</t>
  </si>
  <si>
    <t>3176</t>
  </si>
  <si>
    <t>INV0005621</t>
  </si>
  <si>
    <t>0638</t>
  </si>
  <si>
    <t>3844</t>
  </si>
  <si>
    <t>8155</t>
  </si>
  <si>
    <t>30670</t>
  </si>
  <si>
    <t>9776</t>
  </si>
  <si>
    <t>INV/2025/10984</t>
  </si>
  <si>
    <t>0845</t>
  </si>
  <si>
    <t>0003803</t>
  </si>
  <si>
    <t>30671</t>
  </si>
  <si>
    <t>000943</t>
  </si>
  <si>
    <t>31367</t>
  </si>
  <si>
    <t>Invoice INV/2025/03855</t>
  </si>
  <si>
    <t>S21942</t>
  </si>
  <si>
    <t>102</t>
  </si>
  <si>
    <t>32010</t>
  </si>
  <si>
    <t>32381</t>
  </si>
  <si>
    <t>00503</t>
  </si>
  <si>
    <t>1771</t>
  </si>
  <si>
    <t>00501</t>
  </si>
  <si>
    <t>2025-3136</t>
  </si>
  <si>
    <t>0844</t>
  </si>
  <si>
    <t>000687</t>
  </si>
  <si>
    <t>01896</t>
  </si>
  <si>
    <t>8014</t>
  </si>
  <si>
    <t>8135</t>
  </si>
  <si>
    <t>0385</t>
  </si>
  <si>
    <t>21839</t>
  </si>
  <si>
    <t>02691</t>
  </si>
  <si>
    <t>0396</t>
  </si>
  <si>
    <t>0389</t>
  </si>
  <si>
    <t>12388</t>
  </si>
  <si>
    <t>12386</t>
  </si>
  <si>
    <t>12392</t>
  </si>
  <si>
    <t>12382</t>
  </si>
  <si>
    <t>12390</t>
  </si>
  <si>
    <t>12394</t>
  </si>
  <si>
    <t>12396</t>
  </si>
  <si>
    <t>12384</t>
  </si>
  <si>
    <t>12372</t>
  </si>
  <si>
    <t>12380</t>
  </si>
  <si>
    <t>12374</t>
  </si>
  <si>
    <t>12378</t>
  </si>
  <si>
    <t>12370</t>
  </si>
  <si>
    <t>12366</t>
  </si>
  <si>
    <t>12404</t>
  </si>
  <si>
    <t>12420</t>
  </si>
  <si>
    <t>12432</t>
  </si>
  <si>
    <t>12442</t>
  </si>
  <si>
    <t>12408</t>
  </si>
  <si>
    <t>12364</t>
  </si>
  <si>
    <t>8637</t>
  </si>
  <si>
    <t>420</t>
  </si>
  <si>
    <t>422</t>
  </si>
  <si>
    <t>27962025</t>
  </si>
  <si>
    <t>43625731</t>
  </si>
  <si>
    <t>6611</t>
  </si>
  <si>
    <t>6610</t>
  </si>
  <si>
    <t>6620</t>
  </si>
  <si>
    <t>6627</t>
  </si>
  <si>
    <t>6564</t>
  </si>
  <si>
    <t>6624</t>
  </si>
  <si>
    <t>6636</t>
  </si>
  <si>
    <t>6608</t>
  </si>
  <si>
    <t>6647</t>
  </si>
  <si>
    <t>6641</t>
  </si>
  <si>
    <t>6639</t>
  </si>
  <si>
    <t>6637</t>
  </si>
  <si>
    <t>6640</t>
  </si>
  <si>
    <t>6628</t>
  </si>
  <si>
    <t>12478</t>
  </si>
  <si>
    <t>12476</t>
  </si>
  <si>
    <t>12506</t>
  </si>
  <si>
    <t>12504</t>
  </si>
  <si>
    <t>12502</t>
  </si>
  <si>
    <t>12500</t>
  </si>
  <si>
    <t>12498</t>
  </si>
  <si>
    <t>12496</t>
  </si>
  <si>
    <t>12494</t>
  </si>
  <si>
    <t>12490</t>
  </si>
  <si>
    <t>12486</t>
  </si>
  <si>
    <t>12484</t>
  </si>
  <si>
    <t>12482</t>
  </si>
  <si>
    <t>12460</t>
  </si>
  <si>
    <t>12456</t>
  </si>
  <si>
    <t>12352</t>
  </si>
  <si>
    <t>17441-1</t>
  </si>
  <si>
    <t>12524</t>
  </si>
  <si>
    <t>414</t>
  </si>
  <si>
    <t>12458</t>
  </si>
  <si>
    <t>12558</t>
  </si>
  <si>
    <t>12520</t>
  </si>
  <si>
    <t>416</t>
  </si>
  <si>
    <t>17370-1</t>
  </si>
  <si>
    <t>17395</t>
  </si>
  <si>
    <t>17444</t>
  </si>
  <si>
    <t>0960</t>
  </si>
  <si>
    <t>17429</t>
  </si>
  <si>
    <t>17428</t>
  </si>
  <si>
    <t>17417</t>
  </si>
  <si>
    <t>0958</t>
  </si>
  <si>
    <t>418</t>
  </si>
  <si>
    <t>424</t>
  </si>
  <si>
    <t>12560</t>
  </si>
  <si>
    <t>12568</t>
  </si>
  <si>
    <t>12522</t>
  </si>
  <si>
    <t>12516</t>
  </si>
  <si>
    <t>12554</t>
  </si>
  <si>
    <t>12492</t>
  </si>
  <si>
    <t>12470</t>
  </si>
  <si>
    <t>17413</t>
  </si>
  <si>
    <t>428</t>
  </si>
  <si>
    <t>426</t>
  </si>
  <si>
    <t>17420</t>
  </si>
  <si>
    <t>6623</t>
  </si>
  <si>
    <t>6621</t>
  </si>
  <si>
    <t>6648</t>
  </si>
  <si>
    <t>000235</t>
  </si>
  <si>
    <t>12474</t>
  </si>
  <si>
    <t>12436</t>
  </si>
  <si>
    <t>12438</t>
  </si>
  <si>
    <t>12562</t>
  </si>
  <si>
    <t>17442-1</t>
  </si>
  <si>
    <t>17382-A-1</t>
  </si>
  <si>
    <t>17381-A-2</t>
  </si>
  <si>
    <t>17418</t>
  </si>
  <si>
    <t>12472</t>
  </si>
  <si>
    <t>12566</t>
  </si>
  <si>
    <t>12586</t>
  </si>
  <si>
    <t>12590</t>
  </si>
  <si>
    <t>12592</t>
  </si>
  <si>
    <t>12584</t>
  </si>
  <si>
    <t>12582</t>
  </si>
  <si>
    <t>12588</t>
  </si>
  <si>
    <t>12594</t>
  </si>
  <si>
    <t>12578</t>
  </si>
  <si>
    <t>12580</t>
  </si>
  <si>
    <t>12596</t>
  </si>
  <si>
    <t>12598</t>
  </si>
  <si>
    <t>12610</t>
  </si>
  <si>
    <t>12570</t>
  </si>
  <si>
    <t>12604</t>
  </si>
  <si>
    <t>12572</t>
  </si>
  <si>
    <t>12600</t>
  </si>
  <si>
    <t>12614</t>
  </si>
  <si>
    <t>12606</t>
  </si>
  <si>
    <t>12616</t>
  </si>
  <si>
    <t>12452</t>
  </si>
  <si>
    <t>17419</t>
  </si>
  <si>
    <t>0976</t>
  </si>
  <si>
    <t>442</t>
  </si>
  <si>
    <t>17447</t>
  </si>
  <si>
    <t>17448</t>
  </si>
  <si>
    <t>15980-A</t>
  </si>
  <si>
    <t>12672</t>
  </si>
  <si>
    <t>12664</t>
  </si>
  <si>
    <t>12662</t>
  </si>
  <si>
    <t>12656</t>
  </si>
  <si>
    <t>12658</t>
  </si>
  <si>
    <t>12574</t>
  </si>
  <si>
    <t>12668</t>
  </si>
  <si>
    <t>0969</t>
  </si>
  <si>
    <t>XK03251124-1</t>
  </si>
  <si>
    <t>12690</t>
  </si>
  <si>
    <t>6685</t>
  </si>
  <si>
    <t>6686</t>
  </si>
  <si>
    <t>6530</t>
  </si>
  <si>
    <t>6642</t>
  </si>
  <si>
    <t>6679</t>
  </si>
  <si>
    <t>6561</t>
  </si>
  <si>
    <t>6671</t>
  </si>
  <si>
    <t>6643</t>
  </si>
  <si>
    <t>6562</t>
  </si>
  <si>
    <t>6673</t>
  </si>
  <si>
    <t>6646</t>
  </si>
  <si>
    <t>6672</t>
  </si>
  <si>
    <t>6674</t>
  </si>
  <si>
    <t>6638</t>
  </si>
  <si>
    <t>12674</t>
  </si>
  <si>
    <t>6681</t>
  </si>
  <si>
    <t>6680</t>
  </si>
  <si>
    <t>12698</t>
  </si>
  <si>
    <t>12696</t>
  </si>
  <si>
    <t>12608</t>
  </si>
  <si>
    <t>11154</t>
  </si>
  <si>
    <t>12176</t>
  </si>
  <si>
    <t>2025000120</t>
  </si>
  <si>
    <t>250</t>
  </si>
  <si>
    <t>452</t>
  </si>
  <si>
    <t>444</t>
  </si>
  <si>
    <t>462</t>
  </si>
  <si>
    <t>12754</t>
  </si>
  <si>
    <t>12744</t>
  </si>
  <si>
    <t>12748</t>
  </si>
  <si>
    <t>432</t>
  </si>
  <si>
    <t>12694</t>
  </si>
  <si>
    <t>6644</t>
  </si>
  <si>
    <t>0747</t>
  </si>
  <si>
    <t>12718</t>
  </si>
  <si>
    <t>12728</t>
  </si>
  <si>
    <t>12714</t>
  </si>
  <si>
    <t>12760</t>
  </si>
  <si>
    <t>12756</t>
  </si>
  <si>
    <t>12750</t>
  </si>
  <si>
    <t>12732</t>
  </si>
  <si>
    <t>12726</t>
  </si>
  <si>
    <t>12708</t>
  </si>
  <si>
    <t>12710</t>
  </si>
  <si>
    <t>12738</t>
  </si>
  <si>
    <t>12758</t>
  </si>
  <si>
    <t>12764</t>
  </si>
  <si>
    <t>12740</t>
  </si>
  <si>
    <t>11604</t>
  </si>
  <si>
    <t>12742</t>
  </si>
  <si>
    <t>12762</t>
  </si>
  <si>
    <t>12766</t>
  </si>
  <si>
    <t>448</t>
  </si>
  <si>
    <t>0974</t>
  </si>
  <si>
    <t>12746</t>
  </si>
  <si>
    <t>438</t>
  </si>
  <si>
    <t>0967</t>
  </si>
  <si>
    <t>0968</t>
  </si>
  <si>
    <t>0962</t>
  </si>
  <si>
    <t>6683</t>
  </si>
  <si>
    <t>6649</t>
  </si>
  <si>
    <t>440</t>
  </si>
  <si>
    <t>12842</t>
  </si>
  <si>
    <t>12824</t>
  </si>
  <si>
    <t>12830</t>
  </si>
  <si>
    <t>12660</t>
  </si>
  <si>
    <t>0956</t>
  </si>
  <si>
    <t>12882</t>
  </si>
  <si>
    <t>6695</t>
  </si>
  <si>
    <t>6710</t>
  </si>
  <si>
    <t>6709</t>
  </si>
  <si>
    <t>6596</t>
  </si>
  <si>
    <t>6684</t>
  </si>
  <si>
    <t>12910</t>
  </si>
  <si>
    <t>12822</t>
  </si>
  <si>
    <t>12814</t>
  </si>
  <si>
    <t>12884</t>
  </si>
  <si>
    <t>12872</t>
  </si>
  <si>
    <t>12868</t>
  </si>
  <si>
    <t>12860</t>
  </si>
  <si>
    <t>12856</t>
  </si>
  <si>
    <t>12840</t>
  </si>
  <si>
    <t>12854</t>
  </si>
  <si>
    <t>12812</t>
  </si>
  <si>
    <t>450</t>
  </si>
  <si>
    <t>12794</t>
  </si>
  <si>
    <t>pwri_23</t>
  </si>
  <si>
    <t>Materials/Iron</t>
  </si>
  <si>
    <t>Materials/PIPES</t>
  </si>
  <si>
    <t>Materials/Caravan</t>
  </si>
  <si>
    <t>Smart Touch CO.</t>
  </si>
  <si>
    <t>Al-Yaseen for Gas</t>
  </si>
  <si>
    <t>Al Faw Company For Engineering Testing</t>
  </si>
  <si>
    <t>FAS General Contracting</t>
  </si>
  <si>
    <t>GULF CRYO COMPANY</t>
  </si>
  <si>
    <t>Alaq AL-Ezdehar Company</t>
  </si>
  <si>
    <t>Avetta</t>
  </si>
  <si>
    <t>Southern Services</t>
  </si>
  <si>
    <t>Al NABAA AL YAQEEN COMPANY FOR ENGINEERNING SERVICES AND CONSULTANCIES</t>
  </si>
  <si>
    <t>Oxan For Technology</t>
  </si>
  <si>
    <t>9786</t>
  </si>
  <si>
    <t>DMC-INV-25-0063</t>
  </si>
  <si>
    <t>0831</t>
  </si>
  <si>
    <t>B.G.B.I.079</t>
  </si>
  <si>
    <t>1578</t>
  </si>
  <si>
    <t>B.G.B.I.091</t>
  </si>
  <si>
    <t>INV/2025/00342</t>
  </si>
  <si>
    <t>B.G.B.I.090</t>
  </si>
  <si>
    <t>000684</t>
  </si>
  <si>
    <t>01170</t>
  </si>
  <si>
    <t>INV.25-950</t>
  </si>
  <si>
    <t>ACC-SINV-2025-02602-3</t>
  </si>
  <si>
    <t>000682</t>
  </si>
  <si>
    <t>DMC-INV-25-0042</t>
  </si>
  <si>
    <t>DMC-INV-25-0054</t>
  </si>
  <si>
    <t>ACC-SINV-2025-02664</t>
  </si>
  <si>
    <t>DMC-INV-25-0053</t>
  </si>
  <si>
    <t>152/25</t>
  </si>
  <si>
    <t>INV.25-876</t>
  </si>
  <si>
    <t>DMC-INV-25-0040</t>
  </si>
  <si>
    <t>DMC-INV-25-0064</t>
  </si>
  <si>
    <t>INV.25-875</t>
  </si>
  <si>
    <t>20254000001</t>
  </si>
  <si>
    <t>INV-05340-W0C8C9</t>
  </si>
  <si>
    <t>TlC-11-25-0945</t>
  </si>
  <si>
    <t>0-1579A-25</t>
  </si>
  <si>
    <t>0-1559A-25</t>
  </si>
  <si>
    <t>ACC-SINV-2025-02542-1</t>
  </si>
  <si>
    <t>ACC-SINV-2025-02525</t>
  </si>
  <si>
    <t>ACC-SINV-2025-02529-1</t>
  </si>
  <si>
    <t>INV02248647</t>
  </si>
  <si>
    <t>TR25-11493</t>
  </si>
  <si>
    <t>O-1605A-25</t>
  </si>
  <si>
    <t>ACC-SINV-2025-02690-1</t>
  </si>
  <si>
    <t>TIC-12-25-0988</t>
  </si>
  <si>
    <t>SS-OPM-IGCC-INV-071 Rev.0</t>
  </si>
  <si>
    <t>Ttc-t2-25-1027</t>
  </si>
  <si>
    <t>TIC-12-25-1010</t>
  </si>
  <si>
    <t>0275A-26</t>
  </si>
  <si>
    <t>103NY-IGCC</t>
  </si>
  <si>
    <t>82</t>
  </si>
  <si>
    <t>STAR OF TEAM</t>
  </si>
  <si>
    <t>SMART TOUCH FOR COMPUTERS &amp; TECHNOLOGY</t>
  </si>
  <si>
    <t>21</t>
  </si>
  <si>
    <t>980184</t>
  </si>
  <si>
    <t>INV/2025/04162</t>
  </si>
  <si>
    <t>005027</t>
  </si>
  <si>
    <t>2533</t>
  </si>
  <si>
    <t>KRK-BP-25</t>
  </si>
  <si>
    <t>GRL-KR-BP-25</t>
  </si>
  <si>
    <t>SS_23</t>
  </si>
  <si>
    <t>Acy_23</t>
  </si>
  <si>
    <t>17/12/2025</t>
  </si>
  <si>
    <t>29/12/2025</t>
  </si>
  <si>
    <t>31/12/2025</t>
  </si>
  <si>
    <t>27/12/2025</t>
  </si>
  <si>
    <t>13/12/2025</t>
  </si>
  <si>
    <t>18/12/2025</t>
  </si>
  <si>
    <t>25/12/2025</t>
  </si>
  <si>
    <t>29/10/2025</t>
  </si>
  <si>
    <t>30/12/2025</t>
  </si>
  <si>
    <t>24/11/2024</t>
  </si>
  <si>
    <t>16/11/2024</t>
  </si>
  <si>
    <t>20/12/2025</t>
  </si>
  <si>
    <t>24/12/2025</t>
  </si>
  <si>
    <t>28/12/2025</t>
  </si>
  <si>
    <t>21/12/2025</t>
  </si>
  <si>
    <t>30/11/2025</t>
  </si>
  <si>
    <t>14/12/2025</t>
  </si>
  <si>
    <t>15/12/2025</t>
  </si>
  <si>
    <t>23/12/2025</t>
  </si>
  <si>
    <t>16/12/2025</t>
  </si>
  <si>
    <t>IGCC-00211</t>
  </si>
  <si>
    <t>IGCC-00212</t>
  </si>
  <si>
    <t>IGCC00216</t>
  </si>
  <si>
    <t>IGCC00213</t>
  </si>
  <si>
    <t>INV/BSR/2025-11-26/01</t>
  </si>
  <si>
    <t>اكراميات وعشائر ( الامل )</t>
  </si>
  <si>
    <t>اكراميات وعشائر ( Nov - Dec.25 )</t>
  </si>
  <si>
    <t>تبرعات لعائلة المرحوم السائق ابو سارة</t>
  </si>
  <si>
    <t>عزاء ( حيدر الخزار )</t>
  </si>
  <si>
    <t>تبرعات للفقراء والايتام (  شراء سخانات عدد 50 + ملابس مدرسية )</t>
  </si>
  <si>
    <t>Petty Cash for CPSs</t>
  </si>
  <si>
    <t>Gift for CPS05-HSE</t>
  </si>
  <si>
    <t>Petty Cash for CPS05</t>
  </si>
  <si>
    <t>جكر بليت 1.5*6*6ملم عدد2// برماخ 120*12م عدد1</t>
  </si>
  <si>
    <t>Consumable tools</t>
  </si>
  <si>
    <t>Petty Cash for FL - ROO</t>
  </si>
  <si>
    <t>Petty Cash for Erbil - KRK</t>
  </si>
  <si>
    <t>رود ماركنك ابيض 20 لتر عدد 2</t>
  </si>
  <si>
    <t>لوحات تعريفية عدد31</t>
  </si>
  <si>
    <t>دوشك نفر عدد 15 الى الحراس</t>
  </si>
  <si>
    <t>هارد توب base 2 XP مع المصلب 20 لتر عدد1</t>
  </si>
  <si>
    <t>Petty Cash for TOTAL - HSE</t>
  </si>
  <si>
    <t>Petty Cash for Total</t>
  </si>
  <si>
    <t>Petty Cash for Total-FL</t>
  </si>
  <si>
    <t>كراسي مكتب عدد4</t>
  </si>
  <si>
    <t>OMEG Hot Dip Galvanized Pipe Clamp 2" x 80ea</t>
  </si>
  <si>
    <t>Petty Cash for BGC</t>
  </si>
  <si>
    <t>Gift for KAZ-HSE</t>
  </si>
  <si>
    <t>Petty Cash for KBR</t>
  </si>
  <si>
    <t>Petty Cash for Mitash</t>
  </si>
  <si>
    <t>Petty Cash for PWRI02</t>
  </si>
  <si>
    <t>Petty Cash for QA</t>
  </si>
  <si>
    <t>Petty cash for SS</t>
  </si>
  <si>
    <t>لوحات تعريفية عدد15</t>
  </si>
  <si>
    <t>OT - HSE - TOTAL</t>
  </si>
  <si>
    <t>Bonus from Haider Alkazzar</t>
  </si>
  <si>
    <t>Material Transportation from iran to basra</t>
  </si>
  <si>
    <t>Shipping basra - dubai ( Govinda )</t>
  </si>
  <si>
    <t>Food &amp; Meal fot TOTAL-FL</t>
  </si>
  <si>
    <t>Food &amp; Meal for TOTAL-FL ( 28/10/2025 - 17/11/2025)</t>
  </si>
  <si>
    <t>Food &amp; Meal for TOTAL-FL</t>
  </si>
  <si>
    <t>Food &amp; Meal for Total-FL</t>
  </si>
  <si>
    <t>Diese x 700ltr for BNGL</t>
  </si>
  <si>
    <t>Diesel For Dec.25</t>
  </si>
  <si>
    <t>اجار مكتب أربيل شهر 12</t>
  </si>
  <si>
    <t>Renal Crane 130T for 21,22 Dec.2025</t>
  </si>
  <si>
    <t>Rental - Spreader Crane for PWRI02</t>
  </si>
  <si>
    <t>وكالات + تخليص كمركي</t>
  </si>
  <si>
    <t>صيانة بيكب ( حيدر الخزار )</t>
  </si>
  <si>
    <t>صيانة صهريج الوقود ( حيدر الخزار )</t>
  </si>
  <si>
    <t>Training &amp; Hotel 3 days &amp; Pocket mouny for Procurement team ( Abbas Watan, Husseim Nazar, Ammar Tariq, Nawaf Tahseen, Abdulla Readh)</t>
  </si>
  <si>
    <t>Maintenance Printer</t>
  </si>
  <si>
    <t>Internet &amp; Consumable</t>
  </si>
  <si>
    <t>ديون مجمدة على مكتب الاستقلال</t>
  </si>
  <si>
    <t>Internet &amp; SIM &amp; Consumable</t>
  </si>
  <si>
    <t>اشتراك مولد بناية  الاكاديمية للفترة 1/11/2025 - 31/12/2025</t>
  </si>
  <si>
    <t>Hotel for Siraj &amp; Saman for Erbil</t>
  </si>
  <si>
    <t>Expens Claim</t>
  </si>
  <si>
    <t>TKT for Douglas GLASGOW-DUBAI-BASRA</t>
  </si>
  <si>
    <t>1Room / 2 Nights for Douglas</t>
  </si>
  <si>
    <t>Expens Claim - Baghdad</t>
  </si>
  <si>
    <t>Expes Claim</t>
  </si>
  <si>
    <t>Diesel Sites Dec 25/Mustafa Taha</t>
  </si>
  <si>
    <t>Transport allowance Dec 25 </t>
  </si>
  <si>
    <t>28-25</t>
  </si>
  <si>
    <t>INV.25-989</t>
  </si>
  <si>
    <t>INV.25-990</t>
  </si>
  <si>
    <t>DMC-INV-25-0056</t>
  </si>
  <si>
    <t>DMC-INV-25-0066</t>
  </si>
  <si>
    <t>DMC-INV-25-0070</t>
  </si>
  <si>
    <t>TIC-12-25-1022</t>
  </si>
  <si>
    <t>00505</t>
  </si>
  <si>
    <t>0390</t>
  </si>
  <si>
    <t>410</t>
  </si>
  <si>
    <t>6694</t>
  </si>
  <si>
    <t>6704</t>
  </si>
  <si>
    <t>6706</t>
  </si>
  <si>
    <t>6707</t>
  </si>
  <si>
    <t>474</t>
  </si>
  <si>
    <t>IN 2025000100</t>
  </si>
  <si>
    <t>IN 2025000101</t>
  </si>
  <si>
    <t>IN 2025000102</t>
  </si>
  <si>
    <t>IN 2025000103</t>
  </si>
  <si>
    <t>IN 2025000104</t>
  </si>
  <si>
    <t>IN 2025000105</t>
  </si>
  <si>
    <t>IN 2025000106</t>
  </si>
  <si>
    <t>IN 2025000107</t>
  </si>
  <si>
    <t>IN 2025000108</t>
  </si>
  <si>
    <t>IN 2025000109</t>
  </si>
  <si>
    <t>IN 2025000110</t>
  </si>
  <si>
    <t>IN 2025000111</t>
  </si>
  <si>
    <t>IN 2025000112</t>
  </si>
  <si>
    <t>IN 2025000113</t>
  </si>
  <si>
    <t>IN 2025000114</t>
  </si>
  <si>
    <t>IN 2025000115</t>
  </si>
  <si>
    <t>IN 2025000116</t>
  </si>
  <si>
    <t>IN 2025000117</t>
  </si>
  <si>
    <t>IN 2025000120</t>
  </si>
  <si>
    <t>07.12.25</t>
  </si>
  <si>
    <t>10.12.25</t>
  </si>
  <si>
    <t>11.12.25</t>
  </si>
  <si>
    <t>30.12.25</t>
  </si>
  <si>
    <t>Hydrovac</t>
  </si>
  <si>
    <t>Materiales/Safety</t>
  </si>
  <si>
    <t>Testing/Calibration</t>
  </si>
  <si>
    <t>KAZ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</si>
</sst>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164" formatCode="_-&quot;£&quot;* #,##0.00_-;\-&quot;£&quot;* #,##0.00_-;_-&quot;£&quot;* &quot;-&quot;??_-;_-@_-"/>
    <numFmt numFmtId="165" formatCode="_-* #,##0.00_-;\-* #,##0.00_-;_-* &quot;-&quot;??_-;_-@_-"/>
    <numFmt numFmtId="166" formatCode="_-[$$-409]* #,##0.00_ ;_-[$$-409]* \-#,##0.00\ ;_-[$$-409]* &quot;-&quot;??_ ;_-@_ "/>
    <numFmt numFmtId="167" formatCode="_([$$-409]* #,##0.00_);_([$$-409]* \(#,##0.00\);_([$$-409]* &quot;-&quot;??_);_(@_)"/>
  </numFmts>
  <fonts count="1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9">
    <xf numFmtId="0" fontId="0" fillId="0" borderId="0"/>
    <xf numFmtId="165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9" fontId="18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36">
    <xf numFmtId="0" fontId="0" fillId="0" borderId="0" xfId="0"/>
    <xf numFmtId="0" fontId="0" fillId="2" borderId="0" xfId="0" applyFill="1"/>
    <xf numFmtId="0" fontId="0" fillId="3" borderId="0" xfId="0" applyFill="1"/>
    <xf numFmtId="165" fontId="0" fillId="3" borderId="0" xfId="1" applyFont="1" applyFill="1"/>
    <xf numFmtId="0" fontId="0" fillId="0" borderId="0" xfId="0" applyAlignment="1">
      <alignment horizontal="left"/>
    </xf>
    <xf numFmtId="0" fontId="0" fillId="3" borderId="0" xfId="0" applyFill="1" applyAlignment="1">
      <alignment horizontal="left"/>
    </xf>
    <xf numFmtId="0" fontId="14" fillId="2" borderId="0" xfId="0" applyFont="1" applyFill="1" applyAlignment="1">
      <alignment horizontal="left"/>
    </xf>
    <xf numFmtId="166" fontId="0" fillId="0" borderId="0" xfId="0" applyNumberFormat="1" applyAlignment="1">
      <alignment horizontal="left"/>
    </xf>
    <xf numFmtId="166" fontId="0" fillId="0" borderId="0" xfId="0" applyNumberFormat="1"/>
    <xf numFmtId="0" fontId="14" fillId="2" borderId="0" xfId="0" applyFont="1" applyFill="1"/>
    <xf numFmtId="0" fontId="14" fillId="2" borderId="1" xfId="0" applyFont="1" applyFill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166" fontId="0" fillId="0" borderId="1" xfId="1" applyNumberFormat="1" applyFont="1" applyBorder="1"/>
    <xf numFmtId="166" fontId="0" fillId="0" borderId="1" xfId="0" applyNumberFormat="1" applyBorder="1"/>
    <xf numFmtId="14" fontId="0" fillId="0" borderId="0" xfId="0" applyNumberFormat="1" applyAlignment="1">
      <alignment horizontal="left"/>
    </xf>
    <xf numFmtId="0" fontId="14" fillId="4" borderId="1" xfId="0" applyFont="1" applyFill="1" applyBorder="1"/>
    <xf numFmtId="0" fontId="0" fillId="0" borderId="1" xfId="0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166" fontId="0" fillId="0" borderId="1" xfId="2" applyNumberFormat="1" applyFont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166" fontId="0" fillId="0" borderId="1" xfId="2" applyNumberFormat="1" applyFont="1" applyBorder="1"/>
    <xf numFmtId="166" fontId="0" fillId="0" borderId="1" xfId="2" applyNumberFormat="1" applyFont="1" applyFill="1" applyBorder="1"/>
    <xf numFmtId="0" fontId="14" fillId="4" borderId="0" xfId="0" applyFont="1" applyFill="1"/>
    <xf numFmtId="167" fontId="0" fillId="0" borderId="1" xfId="1" applyNumberFormat="1" applyFont="1" applyBorder="1" applyAlignment="1">
      <alignment horizontal="left" vertical="center"/>
    </xf>
    <xf numFmtId="0" fontId="15" fillId="0" borderId="1" xfId="0" applyFont="1" applyBorder="1" applyAlignment="1">
      <alignment horizontal="left" vertical="center"/>
    </xf>
    <xf numFmtId="166" fontId="0" fillId="0" borderId="1" xfId="1" applyNumberFormat="1" applyFont="1" applyBorder="1" applyAlignment="1">
      <alignment horizontal="left" vertical="center"/>
    </xf>
    <xf numFmtId="0" fontId="15" fillId="5" borderId="1" xfId="0" applyFont="1" applyFill="1" applyBorder="1" applyAlignment="1">
      <alignment horizontal="left" vertical="center"/>
    </xf>
    <xf numFmtId="166" fontId="0" fillId="0" borderId="0" xfId="2" applyNumberFormat="1" applyFont="1"/>
    <xf numFmtId="0" fontId="13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2" fillId="0" borderId="1" xfId="0" applyFont="1" applyBorder="1"/>
    <xf numFmtId="0" fontId="12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/>
    </xf>
    <xf numFmtId="0" fontId="11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167" fontId="0" fillId="0" borderId="0" xfId="0" applyNumberFormat="1"/>
    <xf numFmtId="167" fontId="0" fillId="0" borderId="1" xfId="2" applyNumberFormat="1" applyFont="1" applyBorder="1"/>
    <xf numFmtId="167" fontId="0" fillId="0" borderId="1" xfId="0" applyNumberFormat="1" applyBorder="1"/>
    <xf numFmtId="0" fontId="9" fillId="0" borderId="0" xfId="0" applyFont="1" applyAlignment="1">
      <alignment horizontal="left"/>
    </xf>
    <xf numFmtId="14" fontId="12" fillId="0" borderId="0" xfId="0" applyNumberFormat="1" applyFont="1" applyAlignment="1">
      <alignment horizontal="left"/>
    </xf>
    <xf numFmtId="167" fontId="0" fillId="0" borderId="0" xfId="0" applyNumberFormat="1" applyAlignment="1">
      <alignment horizontal="left"/>
    </xf>
    <xf numFmtId="167" fontId="0" fillId="0" borderId="0" xfId="1" applyNumberFormat="1" applyFont="1"/>
    <xf numFmtId="14" fontId="0" fillId="0" borderId="0" xfId="0" applyNumberFormat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9" fillId="0" borderId="0" xfId="0" applyFont="1"/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6" borderId="0" xfId="0" applyFill="1"/>
    <xf numFmtId="0" fontId="8" fillId="0" borderId="0" xfId="0" applyFont="1"/>
    <xf numFmtId="0" fontId="8" fillId="0" borderId="0" xfId="0" applyFont="1" applyAlignment="1">
      <alignment horizontal="left"/>
    </xf>
    <xf numFmtId="14" fontId="0" fillId="0" borderId="0" xfId="0" applyNumberFormat="1"/>
    <xf numFmtId="10" fontId="14" fillId="0" borderId="0" xfId="0" applyNumberFormat="1" applyFont="1"/>
    <xf numFmtId="9" fontId="0" fillId="0" borderId="0" xfId="3" applyFont="1"/>
    <xf numFmtId="167" fontId="0" fillId="0" borderId="0" xfId="2" applyNumberFormat="1" applyFont="1"/>
    <xf numFmtId="0" fontId="7" fillId="0" borderId="0" xfId="0" applyFont="1" applyAlignment="1">
      <alignment horizontal="left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/>
    <xf numFmtId="0" fontId="7" fillId="6" borderId="0" xfId="0" applyFont="1" applyFill="1" applyAlignment="1">
      <alignment horizontal="left"/>
    </xf>
    <xf numFmtId="0" fontId="0" fillId="6" borderId="0" xfId="0" applyFill="1" applyAlignment="1">
      <alignment horizontal="left"/>
    </xf>
    <xf numFmtId="0" fontId="0" fillId="0" borderId="0" xfId="0" applyAlignment="1">
      <alignment horizontal="left" vertical="top"/>
    </xf>
    <xf numFmtId="0" fontId="10" fillId="0" borderId="1" xfId="0" applyFont="1" applyBorder="1" applyAlignment="1">
      <alignment horizontal="left" vertical="top"/>
    </xf>
    <xf numFmtId="0" fontId="8" fillId="0" borderId="1" xfId="0" applyFont="1" applyBorder="1" applyAlignment="1">
      <alignment horizontal="left" vertical="top"/>
    </xf>
    <xf numFmtId="167" fontId="0" fillId="0" borderId="1" xfId="2" applyNumberFormat="1" applyFont="1" applyBorder="1" applyAlignment="1">
      <alignment horizontal="left" vertical="top"/>
    </xf>
    <xf numFmtId="0" fontId="7" fillId="0" borderId="1" xfId="0" applyFont="1" applyBorder="1" applyAlignment="1">
      <alignment horizontal="left" vertical="top"/>
    </xf>
    <xf numFmtId="14" fontId="0" fillId="0" borderId="1" xfId="0" applyNumberFormat="1" applyBorder="1" applyAlignment="1">
      <alignment horizontal="left" vertical="top"/>
    </xf>
    <xf numFmtId="0" fontId="15" fillId="0" borderId="1" xfId="0" applyFont="1" applyBorder="1" applyAlignment="1">
      <alignment horizontal="left" vertical="top"/>
    </xf>
    <xf numFmtId="167" fontId="0" fillId="0" borderId="1" xfId="1" applyNumberFormat="1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5" fillId="5" borderId="1" xfId="0" applyFont="1" applyFill="1" applyBorder="1" applyAlignment="1">
      <alignment horizontal="left" vertical="top"/>
    </xf>
    <xf numFmtId="167" fontId="0" fillId="0" borderId="1" xfId="0" applyNumberFormat="1" applyBorder="1" applyAlignment="1">
      <alignment horizontal="left" vertical="top"/>
    </xf>
    <xf numFmtId="0" fontId="9" fillId="0" borderId="1" xfId="0" applyFont="1" applyBorder="1" applyAlignment="1">
      <alignment horizontal="left" vertical="top"/>
    </xf>
    <xf numFmtId="49" fontId="0" fillId="0" borderId="1" xfId="0" applyNumberFormat="1" applyBorder="1" applyAlignment="1">
      <alignment horizontal="left" vertical="top"/>
    </xf>
    <xf numFmtId="0" fontId="12" fillId="0" borderId="1" xfId="0" applyFont="1" applyBorder="1" applyAlignment="1">
      <alignment horizontal="left" vertical="top"/>
    </xf>
    <xf numFmtId="0" fontId="13" fillId="0" borderId="1" xfId="0" applyFont="1" applyBorder="1" applyAlignment="1">
      <alignment horizontal="left" vertical="top"/>
    </xf>
    <xf numFmtId="14" fontId="12" fillId="0" borderId="1" xfId="0" applyNumberFormat="1" applyFont="1" applyBorder="1" applyAlignment="1">
      <alignment horizontal="left" vertical="top"/>
    </xf>
    <xf numFmtId="0" fontId="11" fillId="0" borderId="1" xfId="0" applyFont="1" applyBorder="1" applyAlignment="1">
      <alignment horizontal="left" vertical="top"/>
    </xf>
    <xf numFmtId="167" fontId="0" fillId="0" borderId="1" xfId="2" applyNumberFormat="1" applyFont="1" applyFill="1" applyBorder="1" applyAlignment="1">
      <alignment horizontal="left" vertical="top"/>
    </xf>
    <xf numFmtId="167" fontId="0" fillId="0" borderId="0" xfId="0" applyNumberFormat="1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0" fillId="0" borderId="0" xfId="0" pivotButton="1"/>
    <xf numFmtId="0" fontId="0" fillId="0" borderId="0" xfId="0" applyAlignment="1">
      <alignment horizontal="left" indent="1"/>
    </xf>
    <xf numFmtId="0" fontId="4" fillId="0" borderId="0" xfId="0" applyFont="1" applyAlignment="1">
      <alignment horizontal="left"/>
    </xf>
    <xf numFmtId="0" fontId="4" fillId="0" borderId="0" xfId="0" applyFont="1"/>
    <xf numFmtId="0" fontId="4" fillId="0" borderId="1" xfId="0" applyFont="1" applyBorder="1" applyAlignment="1">
      <alignment horizontal="left" vertical="center"/>
    </xf>
    <xf numFmtId="14" fontId="4" fillId="0" borderId="1" xfId="0" applyNumberFormat="1" applyFont="1" applyBorder="1" applyAlignment="1">
      <alignment horizontal="left" vertical="center"/>
    </xf>
    <xf numFmtId="49" fontId="0" fillId="7" borderId="2" xfId="0" applyNumberForma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14" fontId="4" fillId="0" borderId="0" xfId="0" applyNumberFormat="1" applyFont="1" applyAlignment="1">
      <alignment horizontal="left"/>
    </xf>
    <xf numFmtId="0" fontId="4" fillId="0" borderId="1" xfId="0" applyFont="1" applyBorder="1"/>
    <xf numFmtId="167" fontId="0" fillId="0" borderId="0" xfId="1" applyNumberFormat="1" applyFont="1" applyAlignment="1">
      <alignment horizontal="left"/>
    </xf>
    <xf numFmtId="14" fontId="0" fillId="0" borderId="0" xfId="0" applyNumberFormat="1" applyAlignment="1">
      <alignment horizontal="left" vertical="center"/>
    </xf>
    <xf numFmtId="0" fontId="4" fillId="0" borderId="1" xfId="0" applyFont="1" applyBorder="1" applyAlignment="1">
      <alignment horizontal="left" vertical="top"/>
    </xf>
    <xf numFmtId="14" fontId="4" fillId="0" borderId="1" xfId="0" applyNumberFormat="1" applyFont="1" applyBorder="1"/>
    <xf numFmtId="167" fontId="0" fillId="0" borderId="1" xfId="1" applyNumberFormat="1" applyFont="1" applyBorder="1"/>
    <xf numFmtId="0" fontId="14" fillId="4" borderId="0" xfId="0" applyFont="1" applyFill="1" applyAlignment="1">
      <alignment horizontal="left" vertical="top"/>
    </xf>
    <xf numFmtId="0" fontId="3" fillId="0" borderId="0" xfId="0" applyFont="1"/>
    <xf numFmtId="0" fontId="0" fillId="8" borderId="1" xfId="0" applyFill="1" applyBorder="1" applyAlignment="1">
      <alignment horizontal="left" vertical="center"/>
    </xf>
    <xf numFmtId="0" fontId="3" fillId="8" borderId="1" xfId="0" applyFont="1" applyFill="1" applyBorder="1"/>
    <xf numFmtId="0" fontId="0" fillId="8" borderId="1" xfId="0" applyFill="1" applyBorder="1"/>
    <xf numFmtId="0" fontId="15" fillId="8" borderId="1" xfId="0" applyFont="1" applyFill="1" applyBorder="1" applyAlignment="1">
      <alignment horizontal="left" vertical="center"/>
    </xf>
    <xf numFmtId="166" fontId="0" fillId="8" borderId="1" xfId="0" applyNumberFormat="1" applyFill="1" applyBorder="1"/>
    <xf numFmtId="14" fontId="0" fillId="8" borderId="1" xfId="0" applyNumberFormat="1" applyFill="1" applyBorder="1" applyAlignment="1">
      <alignment horizontal="left" vertical="center"/>
    </xf>
    <xf numFmtId="0" fontId="0" fillId="8" borderId="1" xfId="0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2" xfId="0" applyBorder="1" applyAlignment="1">
      <alignment horizontal="center" vertical="center"/>
    </xf>
    <xf numFmtId="0" fontId="14" fillId="2" borderId="1" xfId="0" applyFont="1" applyFill="1" applyBorder="1" applyAlignment="1">
      <alignment horizontal="left" vertical="top"/>
    </xf>
    <xf numFmtId="167" fontId="14" fillId="2" borderId="1" xfId="0" applyNumberFormat="1" applyFont="1" applyFill="1" applyBorder="1" applyAlignment="1">
      <alignment horizontal="left" vertical="top"/>
    </xf>
    <xf numFmtId="14" fontId="14" fillId="2" borderId="1" xfId="0" applyNumberFormat="1" applyFont="1" applyFill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3" fillId="8" borderId="1" xfId="0" applyFont="1" applyFill="1" applyBorder="1" applyAlignment="1">
      <alignment horizontal="left" vertical="top"/>
    </xf>
    <xf numFmtId="0" fontId="0" fillId="8" borderId="1" xfId="0" applyFill="1" applyBorder="1" applyAlignment="1">
      <alignment horizontal="left" vertical="top"/>
    </xf>
    <xf numFmtId="0" fontId="15" fillId="8" borderId="1" xfId="0" applyFont="1" applyFill="1" applyBorder="1" applyAlignment="1">
      <alignment horizontal="left" vertical="top"/>
    </xf>
    <xf numFmtId="14" fontId="0" fillId="8" borderId="1" xfId="0" applyNumberFormat="1" applyFill="1" applyBorder="1" applyAlignment="1">
      <alignment horizontal="left" vertical="top"/>
    </xf>
    <xf numFmtId="0" fontId="0" fillId="8" borderId="1" xfId="0" applyFill="1" applyBorder="1" applyAlignment="1">
      <alignment horizontal="left" vertical="top" wrapText="1"/>
    </xf>
    <xf numFmtId="0" fontId="4" fillId="8" borderId="1" xfId="0" applyFont="1" applyFill="1" applyBorder="1" applyAlignment="1">
      <alignment horizontal="left" vertical="top"/>
    </xf>
    <xf numFmtId="14" fontId="4" fillId="0" borderId="1" xfId="0" applyNumberFormat="1" applyFont="1" applyBorder="1" applyAlignment="1">
      <alignment horizontal="left" vertical="top"/>
    </xf>
    <xf numFmtId="167" fontId="0" fillId="8" borderId="1" xfId="0" applyNumberFormat="1" applyFill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12" fillId="0" borderId="0" xfId="0" applyFont="1" applyAlignment="1">
      <alignment horizontal="left" vertical="top"/>
    </xf>
    <xf numFmtId="6" fontId="0" fillId="0" borderId="0" xfId="0" applyNumberFormat="1"/>
    <xf numFmtId="0" fontId="2" fillId="0" borderId="0" xfId="0" applyFont="1"/>
    <xf numFmtId="0" fontId="2" fillId="0" borderId="0" xfId="0" applyFont="1" applyAlignment="1">
      <alignment horizontal="left" vertical="top"/>
    </xf>
    <xf numFmtId="14" fontId="2" fillId="0" borderId="1" xfId="0" applyNumberFormat="1" applyFont="1" applyBorder="1" applyAlignment="1">
      <alignment horizontal="left" vertical="top"/>
    </xf>
    <xf numFmtId="0" fontId="2" fillId="8" borderId="1" xfId="0" applyFont="1" applyFill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0" xfId="6" applyAlignment="1">
      <alignment horizontal="left"/>
    </xf>
    <xf numFmtId="0" fontId="1" fillId="0" borderId="0" xfId="0" applyFont="1" applyAlignment="1">
      <alignment horizontal="left" vertical="top"/>
    </xf>
    <xf numFmtId="0" fontId="1" fillId="0" borderId="0" xfId="6" applyAlignment="1">
      <alignment horizontal="left"/>
    </xf>
    <xf numFmtId="0" fontId="1" fillId="0" borderId="0" xfId="6" applyAlignment="1">
      <alignment horizontal="left"/>
    </xf>
    <xf numFmtId="0" fontId="1" fillId="0" borderId="0" xfId="6" applyAlignment="1">
      <alignment horizontal="left"/>
    </xf>
    <xf numFmtId="0" fontId="1" fillId="0" borderId="0" xfId="6" applyAlignment="1">
      <alignment horizontal="left"/>
    </xf>
  </cellXfs>
  <cellStyles count="9">
    <cellStyle name="Comma" xfId="1" builtinId="3"/>
    <cellStyle name="Comma 2" xfId="4" xr:uid="{464C4397-2485-4457-8F46-FE59BBF41F79}"/>
    <cellStyle name="Comma 3" xfId="7" xr:uid="{B21D510C-DCCE-4453-A8A4-00A427BDB343}"/>
    <cellStyle name="Currency" xfId="2" builtinId="4"/>
    <cellStyle name="Currency 2" xfId="5" xr:uid="{D371D1B3-F073-4168-990C-FADB29ABD862}"/>
    <cellStyle name="Currency 3" xfId="8" xr:uid="{89E87401-D048-46B6-8D5F-D755C0958EAF}"/>
    <cellStyle name="Normal" xfId="0" builtinId="0"/>
    <cellStyle name="Normal 2" xfId="6" xr:uid="{AB200364-B986-4E08-9B8E-35106E581AD5}"/>
    <cellStyle name="Percent" xfId="3" builtinId="5"/>
  </cellStyles>
  <dxfs count="14">
    <dxf>
      <fill>
        <patternFill>
          <bgColor rgb="FFFFFF00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Closing/Petty%20Cash%20Tracker/2024/Oct.24/Petty%20Cash%20Tracker%20For%20Oct.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ummary"/>
      <sheetName val="Master data"/>
      <sheetName val="List"/>
      <sheetName val="JAN 24"/>
      <sheetName val="FEB 24"/>
      <sheetName val="MAR 24"/>
      <sheetName val="APR 24"/>
      <sheetName val="MAY 24"/>
      <sheetName val="JUN 24"/>
      <sheetName val="PC"/>
      <sheetName val="AUG 24"/>
      <sheetName val="SEP 24"/>
      <sheetName val="Oct.24"/>
      <sheetName val="Nov.24"/>
      <sheetName val="JUL 24"/>
      <sheetName val="Balanc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39.503009722219" createdVersion="8" refreshedVersion="8" minRefreshableVersion="3" recordCount="721" xr:uid="{E46D815C-4586-4510-AD92-328BEF52DB19}">
  <cacheSource type="worksheet">
    <worksheetSource ref="A1:N722" sheet="Master"/>
  </cacheSource>
  <cacheFields count="14">
    <cacheField name="Serial" numFmtId="0">
      <sharedItems containsSemiMixedTypes="0" containsString="0" containsNumber="1" containsInteger="1" minValue="1" maxValue="721"/>
    </cacheField>
    <cacheField name="Level 1 " numFmtId="0">
      <sharedItems containsBlank="1" count="13">
        <s v="HO_23"/>
        <s v="ROOG_23"/>
        <s v="TOTAL_25"/>
        <s v="BGC_23"/>
        <s v="ROOP_23"/>
        <s v="BGCG_23"/>
        <s v="Camp_23"/>
        <s v="ROOM_23"/>
        <s v="1 MITAS"/>
        <s v="KRK-BP-25"/>
        <s v="MWS_23"/>
        <s v="ROESP_23"/>
        <m u="1"/>
      </sharedItems>
    </cacheField>
    <cacheField name="Level 2" numFmtId="0">
      <sharedItems containsBlank="1" count="43">
        <s v="HO_SB_23"/>
        <s v="GRLRO_23"/>
        <s v="GRLTOT"/>
        <s v="KAZ_23"/>
        <s v="QAWPT_23"/>
        <s v="GRLBG_23"/>
        <s v="BNGL-25"/>
        <s v="CmpSB_23"/>
        <s v="CPSs_23"/>
        <s v="EIMNT_23"/>
        <s v="FLWLN_23"/>
        <s v="MPSP_23"/>
        <s v="MWP_23"/>
        <s v="OHTL _25"/>
        <s v="PWRI2_23"/>
        <s v="QUR_23"/>
        <s v="UQ_23"/>
        <s v="MITASOHTL"/>
        <s v="ROOM_23"/>
        <s v="ROOP_23"/>
        <s v="E&amp;I-MAJ"/>
        <s v="EISP_23"/>
        <s v="FFF_23"/>
        <s v="MANPR_23"/>
        <s v="MPTAR_23"/>
        <s v="PWRI_23"/>
        <s v="SPAS_23"/>
        <s v="KBR_23"/>
        <s v="MPMNT_23"/>
        <s v="ZBR_23"/>
        <s v="NR-NGL_25"/>
        <s v="GRL-KR-BP-25"/>
        <s v="WOD_23"/>
        <s v="MWS_23"/>
        <s v="EX_23"/>
        <s v="CVMNT_23 "/>
        <s v="Kiosk-25"/>
        <s v="EIESP_23"/>
        <s v="KAZ"/>
        <m u="1"/>
        <s v="GRLTOT_25" u="1"/>
        <s v="CMNT_23" u="1"/>
        <s v="OHTL_25" u="1"/>
      </sharedItems>
    </cacheField>
    <cacheField name="Cost Type" numFmtId="0">
      <sharedItems/>
    </cacheField>
    <cacheField name="GL Name" numFmtId="0">
      <sharedItems containsBlank="1" count="19">
        <s v="Accommodation"/>
        <s v="Air ticket &amp; travel"/>
        <s v="Amman Expenses"/>
        <s v="Charitable Contributions"/>
        <s v="Communication &amp; internet"/>
        <s v="DHL / Courier Fees / Shipping"/>
        <s v="Fixed Assets"/>
        <s v="Fuel &amp; Lubricant"/>
        <s v="Lease &amp; Rent"/>
        <s v="Light &amp; Heavy Equipment’s Rental"/>
        <s v="Material &amp; Supplies"/>
        <s v="Security"/>
        <s v="Social security"/>
        <s v="Staff Salary &amp; Compensation"/>
        <s v="Subcontractors"/>
        <s v="Third party Manpower"/>
        <s v="Third party services"/>
        <s v="Visa &amp; Traveling Expense  "/>
        <m u="1"/>
      </sharedItems>
    </cacheField>
    <cacheField name="GL Account" numFmtId="0">
      <sharedItems containsNonDate="0" containsString="0" containsBlank="1"/>
    </cacheField>
    <cacheField name="Vendor" numFmtId="0">
      <sharedItems/>
    </cacheField>
    <cacheField name="Description" numFmtId="0">
      <sharedItems containsBlank="1"/>
    </cacheField>
    <cacheField name="Invoice Amount USD" numFmtId="0">
      <sharedItems containsSemiMixedTypes="0" containsString="0" containsNumber="1" minValue="0" maxValue="684000"/>
    </cacheField>
    <cacheField name="Invoice No." numFmtId="0">
      <sharedItems containsMixedTypes="1" containsNumber="1" containsInteger="1" minValue="27" maxValue="45992"/>
    </cacheField>
    <cacheField name="Invoice Date" numFmtId="0">
      <sharedItems containsDate="1" containsMixedTypes="1" minDate="2025-01-11T00:00:00" maxDate="2026-12-11T00:00:00"/>
    </cacheField>
    <cacheField name="PO Number" numFmtId="0">
      <sharedItems containsMixedTypes="1" containsNumber="1" containsInteger="1" minValue="2025402898" maxValue="2026400133"/>
    </cacheField>
    <cacheField name="Month" numFmtId="0">
      <sharedItems/>
    </cacheField>
    <cacheField name="Year" numFmtId="0">
      <sharedItems containsSemiMixedTypes="0" containsString="0" containsNumber="1" containsInteger="1" minValue="2025" maxValue="20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1">
  <r>
    <n v="1"/>
    <x v="0"/>
    <x v="0"/>
    <s v="Actual"/>
    <x v="0"/>
    <m/>
    <s v="IGCC"/>
    <s v="Rent Amal Dec 25 "/>
    <n v="2097.9020979020979"/>
    <s v="N/A"/>
    <s v="N/A"/>
    <s v="N/A"/>
    <s v="Dec"/>
    <n v="2025"/>
  </r>
  <r>
    <n v="2"/>
    <x v="0"/>
    <x v="0"/>
    <s v="Actual"/>
    <x v="0"/>
    <m/>
    <s v="IGCC"/>
    <s v="Rent Academy Dec 25 "/>
    <n v="3496.5034965034965"/>
    <s v="N/A"/>
    <s v="N/A"/>
    <s v="N/A"/>
    <s v="Dec"/>
    <n v="2025"/>
  </r>
  <r>
    <n v="3"/>
    <x v="0"/>
    <x v="0"/>
    <s v="Actual"/>
    <x v="0"/>
    <m/>
    <s v="IGCC"/>
    <s v="Rent Al Jazair office Dec 25 "/>
    <n v="2000"/>
    <s v="N/A"/>
    <s v="N/A"/>
    <s v="N/A"/>
    <s v="Dec"/>
    <n v="2025"/>
  </r>
  <r>
    <n v="4"/>
    <x v="0"/>
    <x v="0"/>
    <s v="Actual"/>
    <x v="0"/>
    <m/>
    <s v="IGCC"/>
    <s v="Rent Southren Services Dec 25 "/>
    <n v="874.12587412587413"/>
    <s v="N/A"/>
    <s v="N/A"/>
    <s v="N/A"/>
    <s v="Dec"/>
    <n v="2025"/>
  </r>
  <r>
    <n v="5"/>
    <x v="0"/>
    <x v="0"/>
    <s v="Actual"/>
    <x v="0"/>
    <m/>
    <s v="IGCC"/>
    <s v="Rent Jazair Accommodation Dec 25"/>
    <n v="4500"/>
    <s v="N/A"/>
    <s v="N/A"/>
    <s v="N/A"/>
    <s v="Dec"/>
    <n v="2025"/>
  </r>
  <r>
    <n v="6"/>
    <x v="0"/>
    <x v="0"/>
    <s v="Actual"/>
    <x v="0"/>
    <m/>
    <s v="IGCC"/>
    <s v="Rent Junaina Dec 25 "/>
    <n v="6000"/>
    <s v="N/A"/>
    <s v="N/A"/>
    <s v="N/A"/>
    <s v="Dec"/>
    <n v="2025"/>
  </r>
  <r>
    <n v="7"/>
    <x v="0"/>
    <x v="0"/>
    <s v="Actual"/>
    <x v="0"/>
    <m/>
    <s v="Al Majal Business Park (AMBP)"/>
    <s v="Al Majal Business Park (AMBP) Dec 25"/>
    <n v="1938.71"/>
    <s v="2025003629"/>
    <d v="2025-12-31T00:00:00"/>
    <s v="N/A"/>
    <s v="Dec"/>
    <n v="2025"/>
  </r>
  <r>
    <n v="8"/>
    <x v="0"/>
    <x v="0"/>
    <s v="Accrual"/>
    <x v="1"/>
    <m/>
    <s v="Jabal Qendil BRS"/>
    <s v="Air ticket &amp; travel"/>
    <n v="3653.1034482758619"/>
    <s v="N/A"/>
    <s v="N/A"/>
    <s v="N/A"/>
    <s v="Dec"/>
    <n v="2025"/>
  </r>
  <r>
    <n v="9"/>
    <x v="0"/>
    <x v="0"/>
    <s v="Actual"/>
    <x v="2"/>
    <m/>
    <s v="IGCC"/>
    <s v="Amman Expenses"/>
    <n v="684000"/>
    <s v="N/A"/>
    <s v="N/A"/>
    <s v="N/A"/>
    <s v="Dec"/>
    <n v="2025"/>
  </r>
  <r>
    <n v="10"/>
    <x v="1"/>
    <x v="1"/>
    <s v="Actual"/>
    <x v="3"/>
    <m/>
    <s v="Petty Cash"/>
    <s v="اكراميات وعشائر"/>
    <n v="1034.4827586206898"/>
    <s v="##"/>
    <d v="2025-01-12T00:00:00"/>
    <s v="N/A"/>
    <s v="Dec"/>
    <n v="2025"/>
  </r>
  <r>
    <n v="11"/>
    <x v="1"/>
    <x v="1"/>
    <s v="Actual"/>
    <x v="3"/>
    <m/>
    <s v="Petty Cash"/>
    <s v="ROOG-check point salary"/>
    <n v="517.24137931034488"/>
    <s v="##"/>
    <d v="2025-10-12T00:00:00"/>
    <s v="N/A"/>
    <s v="Dec"/>
    <n v="2025"/>
  </r>
  <r>
    <n v="12"/>
    <x v="1"/>
    <x v="1"/>
    <s v="Actual"/>
    <x v="3"/>
    <m/>
    <s v="Petty Cash"/>
    <s v="اكراميات وعشائر ( الامل )"/>
    <n v="2351.0344827586205"/>
    <s v="##"/>
    <s v="17/12/2025"/>
    <s v="N/A"/>
    <s v="Dec"/>
    <n v="2025"/>
  </r>
  <r>
    <n v="13"/>
    <x v="1"/>
    <x v="1"/>
    <s v="Actual"/>
    <x v="3"/>
    <m/>
    <s v="Petty Cash"/>
    <s v="اكراميات وعشائر"/>
    <n v="396.55172413793105"/>
    <s v="##"/>
    <d v="2025-01-12T00:00:00"/>
    <s v="N/A"/>
    <s v="Dec"/>
    <n v="2025"/>
  </r>
  <r>
    <n v="14"/>
    <x v="2"/>
    <x v="2"/>
    <s v="Actual"/>
    <x v="3"/>
    <m/>
    <s v="Petty Cash"/>
    <s v="اكراميات وعشائر ( Nov - Dec.25 )"/>
    <n v="344.82758620689657"/>
    <s v="##"/>
    <d v="2025-02-12T00:00:00"/>
    <s v="N/A"/>
    <s v="Dec"/>
    <n v="2025"/>
  </r>
  <r>
    <n v="15"/>
    <x v="2"/>
    <x v="2"/>
    <s v="Actual"/>
    <x v="3"/>
    <m/>
    <s v="Petty Cash"/>
    <s v="Total-Check point salary "/>
    <n v="344.82758620689657"/>
    <s v="##"/>
    <d v="2025-10-12T00:00:00"/>
    <s v="N/A"/>
    <s v="Dec"/>
    <n v="2025"/>
  </r>
  <r>
    <n v="16"/>
    <x v="2"/>
    <x v="2"/>
    <s v="Actual"/>
    <x v="3"/>
    <m/>
    <s v="Petty Cash"/>
    <s v="اكراميات وعشائر"/>
    <n v="1484.4827586206898"/>
    <s v="##"/>
    <s v="29/12/2025"/>
    <s v="N/A"/>
    <s v="Dec"/>
    <n v="2025"/>
  </r>
  <r>
    <n v="17"/>
    <x v="2"/>
    <x v="2"/>
    <s v="Actual"/>
    <x v="3"/>
    <m/>
    <s v="Petty Cash"/>
    <s v="اكراميات وعشائر"/>
    <n v="1862.0689655172414"/>
    <s v="##"/>
    <s v="31/12/2025"/>
    <s v="N/A"/>
    <s v="Dec"/>
    <n v="2025"/>
  </r>
  <r>
    <n v="18"/>
    <x v="0"/>
    <x v="0"/>
    <s v="Actual"/>
    <x v="3"/>
    <m/>
    <s v="Petty Cash"/>
    <s v="اكراميات وعشائر"/>
    <n v="7715.1724137931033"/>
    <s v="##"/>
    <s v="27/12/2025"/>
    <s v="N/A"/>
    <s v="Dec"/>
    <n v="2025"/>
  </r>
  <r>
    <n v="19"/>
    <x v="0"/>
    <x v="0"/>
    <s v="Actual"/>
    <x v="3"/>
    <m/>
    <s v="Petty Cash"/>
    <s v="تبرعات لعائلة المرحوم السائق ابو سارة"/>
    <n v="210.34482758620689"/>
    <s v="##"/>
    <d v="2025-01-12T00:00:00"/>
    <s v="N/A"/>
    <s v="Dec"/>
    <n v="2025"/>
  </r>
  <r>
    <n v="20"/>
    <x v="0"/>
    <x v="0"/>
    <s v="Actual"/>
    <x v="3"/>
    <m/>
    <s v="Petty Cash"/>
    <s v="تصاريح امنية"/>
    <n v="7273.1034482758623"/>
    <s v="##"/>
    <s v="27/12/2025"/>
    <s v="N/A"/>
    <s v="Dec"/>
    <n v="2025"/>
  </r>
  <r>
    <n v="21"/>
    <x v="0"/>
    <x v="0"/>
    <s v="Actual"/>
    <x v="3"/>
    <m/>
    <s v="Petty Cash"/>
    <s v="عزاء ( حيدر الخزار )"/>
    <n v="965.51724137931035"/>
    <s v="##"/>
    <d v="2025-06-12T00:00:00"/>
    <s v="N/A"/>
    <s v="Dec"/>
    <n v="2025"/>
  </r>
  <r>
    <n v="22"/>
    <x v="0"/>
    <x v="0"/>
    <s v="Actual"/>
    <x v="3"/>
    <m/>
    <s v="Petty Cash"/>
    <s v="تبرعات للفقراء والايتام (  شراء سخانات عدد 50 + ملابس مدرسية )"/>
    <n v="1379.3103448275863"/>
    <s v="##"/>
    <s v="13/12/2025"/>
    <s v="N/A"/>
    <s v="Dec"/>
    <n v="2025"/>
  </r>
  <r>
    <n v="23"/>
    <x v="3"/>
    <x v="3"/>
    <s v="Actual"/>
    <x v="3"/>
    <m/>
    <s v="Petty Cash"/>
    <s v="KAZ-Check point salary "/>
    <n v="896.55172413793105"/>
    <s v="##"/>
    <d v="2025-10-12T00:00:00"/>
    <s v="N/A"/>
    <s v="Dec"/>
    <n v="2025"/>
  </r>
  <r>
    <n v="24"/>
    <x v="4"/>
    <x v="4"/>
    <s v="Actual"/>
    <x v="3"/>
    <m/>
    <s v="Petty Cash"/>
    <s v="اكراميات وعشائر"/>
    <n v="1724.1379310344828"/>
    <s v="##"/>
    <s v="18/12/2025"/>
    <s v="N/A"/>
    <s v="Dec"/>
    <n v="2025"/>
  </r>
  <r>
    <n v="25"/>
    <x v="5"/>
    <x v="5"/>
    <s v="Actual"/>
    <x v="3"/>
    <m/>
    <s v="IGCC"/>
    <s v="Charitable Contributions"/>
    <n v="5035.211267605634"/>
    <s v="N/A"/>
    <s v="N/A"/>
    <s v="N/A"/>
    <s v="Dec"/>
    <n v="2025"/>
  </r>
  <r>
    <n v="26"/>
    <x v="0"/>
    <x v="0"/>
    <s v="Actual"/>
    <x v="3"/>
    <m/>
    <s v="IGCC"/>
    <s v="Charitable Contributions"/>
    <n v="10070.422535211268"/>
    <s v="N/A"/>
    <s v="N/A"/>
    <s v="N/A"/>
    <s v="Dec"/>
    <n v="2025"/>
  </r>
  <r>
    <n v="27"/>
    <x v="0"/>
    <x v="0"/>
    <s v="Actual"/>
    <x v="3"/>
    <m/>
    <s v="IGCC"/>
    <s v="Charitable Contributions"/>
    <n v="4475.3521126760561"/>
    <s v="N/A"/>
    <s v="N/A"/>
    <s v="N/A"/>
    <s v="Dec"/>
    <n v="2025"/>
  </r>
  <r>
    <n v="28"/>
    <x v="0"/>
    <x v="0"/>
    <s v="Actual"/>
    <x v="3"/>
    <m/>
    <s v="IGCC"/>
    <s v="Charitable Contributions"/>
    <n v="5316.9014084507044"/>
    <s v="N/A"/>
    <s v="N/A"/>
    <s v="N/A"/>
    <s v="Dec"/>
    <n v="2025"/>
  </r>
  <r>
    <n v="29"/>
    <x v="0"/>
    <x v="0"/>
    <s v="Actual"/>
    <x v="3"/>
    <m/>
    <s v="IGCC"/>
    <s v="Charitable Contributions"/>
    <n v="3169.0140845070423"/>
    <s v="N/A"/>
    <s v="N/A"/>
    <s v="N/A"/>
    <s v="Dec"/>
    <n v="2025"/>
  </r>
  <r>
    <n v="30"/>
    <x v="5"/>
    <x v="5"/>
    <s v="Actual"/>
    <x v="3"/>
    <m/>
    <s v="IGCC"/>
    <s v="Charitable Contributions"/>
    <n v="15158.450704225352"/>
    <s v="N/A"/>
    <s v="N/A"/>
    <s v="N/A"/>
    <s v="Dec"/>
    <n v="2025"/>
  </r>
  <r>
    <n v="31"/>
    <x v="3"/>
    <x v="6"/>
    <s v="Actual"/>
    <x v="4"/>
    <m/>
    <s v="Petty Cash"/>
    <s v="Internet"/>
    <n v="621.37931034482756"/>
    <s v="##"/>
    <s v="18/12/2025"/>
    <s v="N/A"/>
    <s v="Dec"/>
    <n v="2025"/>
  </r>
  <r>
    <n v="32"/>
    <x v="6"/>
    <x v="7"/>
    <s v="Actual"/>
    <x v="4"/>
    <m/>
    <s v="Petty Cash"/>
    <s v="Internet &amp; Consumable"/>
    <n v="377.93103448275861"/>
    <s v="##"/>
    <s v="18/12/2025"/>
    <s v="N/A"/>
    <s v="Dec"/>
    <n v="2025"/>
  </r>
  <r>
    <n v="33"/>
    <x v="4"/>
    <x v="8"/>
    <s v="Actual"/>
    <x v="4"/>
    <m/>
    <s v="Petty Cash"/>
    <s v="Internet"/>
    <n v="1024.1379310344828"/>
    <s v="##"/>
    <s v="18/12/2025"/>
    <s v="N/A"/>
    <s v="Dec"/>
    <n v="2025"/>
  </r>
  <r>
    <n v="34"/>
    <x v="7"/>
    <x v="9"/>
    <s v="Actual"/>
    <x v="4"/>
    <m/>
    <s v="Petty Cash"/>
    <s v="Internet &amp; Consumable"/>
    <n v="109.65517241379311"/>
    <s v="##"/>
    <s v="18/12/2025"/>
    <s v="N/A"/>
    <s v="Dec"/>
    <n v="2025"/>
  </r>
  <r>
    <n v="35"/>
    <x v="4"/>
    <x v="10"/>
    <s v="Actual"/>
    <x v="4"/>
    <m/>
    <s v="Petty Cash"/>
    <s v="Internet"/>
    <n v="255.86206896551724"/>
    <s v="##"/>
    <s v="18/12/2025"/>
    <s v="N/A"/>
    <s v="Dec"/>
    <n v="2025"/>
  </r>
  <r>
    <n v="36"/>
    <x v="1"/>
    <x v="1"/>
    <s v="Actual"/>
    <x v="4"/>
    <m/>
    <s v="Petty Cash"/>
    <s v="Internet &amp; Consumable"/>
    <n v="365.51724137931035"/>
    <s v="##"/>
    <s v="18/12/2025"/>
    <s v="N/A"/>
    <s v="Dec"/>
    <n v="2025"/>
  </r>
  <r>
    <n v="37"/>
    <x v="2"/>
    <x v="2"/>
    <s v="Actual"/>
    <x v="4"/>
    <m/>
    <s v="Petty Cash"/>
    <s v="Internet &amp; Consumable"/>
    <n v="837.24137931034488"/>
    <s v="##"/>
    <s v="18/12/2025"/>
    <s v="N/A"/>
    <s v="Dec"/>
    <n v="2025"/>
  </r>
  <r>
    <n v="38"/>
    <x v="0"/>
    <x v="0"/>
    <s v="Actual"/>
    <x v="4"/>
    <m/>
    <s v="Petty Cash"/>
    <s v="ديون مجمدة على مكتب الاستقلال"/>
    <n v="741.37931034482756"/>
    <n v="8320"/>
    <d v="2025-10-12T00:00:00"/>
    <s v="N/A"/>
    <s v="Dec"/>
    <n v="2025"/>
  </r>
  <r>
    <n v="39"/>
    <x v="0"/>
    <x v="0"/>
    <s v="Actual"/>
    <x v="4"/>
    <m/>
    <s v="Petty Cash"/>
    <s v="Internet &amp; SIM &amp; Consumable"/>
    <n v="877.24137931034488"/>
    <s v="##"/>
    <s v="18/12/2025"/>
    <s v="N/A"/>
    <s v="Dec"/>
    <n v="2025"/>
  </r>
  <r>
    <n v="40"/>
    <x v="0"/>
    <x v="0"/>
    <s v="Actual"/>
    <x v="4"/>
    <m/>
    <s v="Petty Cash"/>
    <s v="اشتراك مولد بناية  الاكاديمية للفترة 1/11/2025 - 31/12/2025"/>
    <n v="1324.1379310344828"/>
    <s v="##"/>
    <s v="25/12/2025"/>
    <s v="N/A"/>
    <s v="Dec"/>
    <n v="2025"/>
  </r>
  <r>
    <n v="41"/>
    <x v="0"/>
    <x v="0"/>
    <s v="Actual"/>
    <x v="4"/>
    <m/>
    <s v="Petty Cash"/>
    <s v="Cleaner Materials"/>
    <n v="102.93103448275862"/>
    <s v="##"/>
    <s v="30/12/2025"/>
    <s v="N/A"/>
    <s v="Dec"/>
    <n v="2025"/>
  </r>
  <r>
    <n v="42"/>
    <x v="7"/>
    <x v="11"/>
    <s v="Actual"/>
    <x v="4"/>
    <m/>
    <s v="Petty Cash"/>
    <s v="Internet"/>
    <n v="36.551724137931032"/>
    <s v="##"/>
    <s v="18/12/2025"/>
    <s v="N/A"/>
    <s v="Dec"/>
    <n v="2025"/>
  </r>
  <r>
    <n v="43"/>
    <x v="4"/>
    <x v="12"/>
    <s v="Actual"/>
    <x v="4"/>
    <m/>
    <s v="Petty Cash"/>
    <s v="Internet"/>
    <n v="36.551724137931032"/>
    <s v="##"/>
    <s v="20/12/2025"/>
    <s v="N/A"/>
    <s v="Dec"/>
    <n v="2025"/>
  </r>
  <r>
    <n v="44"/>
    <x v="4"/>
    <x v="13"/>
    <s v="Actual"/>
    <x v="4"/>
    <m/>
    <s v="Petty Cash"/>
    <s v="Internet"/>
    <n v="585.51724137931035"/>
    <s v="##"/>
    <s v="18/12/2025"/>
    <s v="N/A"/>
    <s v="Dec"/>
    <n v="2025"/>
  </r>
  <r>
    <n v="45"/>
    <x v="4"/>
    <x v="14"/>
    <s v="Actual"/>
    <x v="4"/>
    <m/>
    <s v="Petty Cash"/>
    <s v="Internet &amp; Consumable"/>
    <n v="237.93103448275863"/>
    <s v="##"/>
    <s v="18/12/2025"/>
    <s v="N/A"/>
    <s v="Dec"/>
    <n v="2025"/>
  </r>
  <r>
    <n v="46"/>
    <x v="4"/>
    <x v="4"/>
    <s v="Actual"/>
    <x v="4"/>
    <m/>
    <s v="Petty Cash"/>
    <s v="Internet"/>
    <n v="255.86206896551724"/>
    <s v="##"/>
    <s v="18/12/2025"/>
    <s v="N/A"/>
    <s v="Dec"/>
    <n v="2025"/>
  </r>
  <r>
    <n v="47"/>
    <x v="3"/>
    <x v="15"/>
    <s v="Actual"/>
    <x v="4"/>
    <m/>
    <s v="Petty Cash"/>
    <s v="Internet &amp; Consumable"/>
    <n v="292.41379310344826"/>
    <s v="##"/>
    <s v="18/12/2025"/>
    <s v="N/A"/>
    <s v="Dec"/>
    <n v="2025"/>
  </r>
  <r>
    <n v="48"/>
    <x v="3"/>
    <x v="16"/>
    <s v="Actual"/>
    <x v="4"/>
    <m/>
    <s v="Petty Cash"/>
    <s v="Internet &amp; Consumable"/>
    <n v="2354.4827586206898"/>
    <s v="##"/>
    <s v="18/12/2025"/>
    <s v="N/A"/>
    <s v="Dec"/>
    <n v="2025"/>
  </r>
  <r>
    <n v="49"/>
    <x v="3"/>
    <x v="3"/>
    <s v="Actual"/>
    <x v="4"/>
    <m/>
    <s v="Hulum Telecom"/>
    <s v="Internet"/>
    <n v="1160.6896551724137"/>
    <s v="IN000298652"/>
    <d v="2025-12-01T00:00:00"/>
    <s v="N/A"/>
    <s v="Dec"/>
    <n v="2025"/>
  </r>
  <r>
    <n v="50"/>
    <x v="8"/>
    <x v="17"/>
    <s v="Actual"/>
    <x v="4"/>
    <m/>
    <s v="Zain Telecom"/>
    <s v="Zain Telecom Services"/>
    <n v="1.4445880371882549"/>
    <n v="63"/>
    <d v="2026-01-03T00:00:00"/>
    <s v="N/A"/>
    <s v="Dec"/>
    <n v="2025"/>
  </r>
  <r>
    <n v="51"/>
    <x v="5"/>
    <x v="5"/>
    <s v="Actual"/>
    <x v="4"/>
    <m/>
    <s v="Zain Telecom"/>
    <s v="Zain Telecom Services"/>
    <n v="1652.8174508881871"/>
    <n v="63"/>
    <d v="2026-01-03T00:00:00"/>
    <s v="N/A"/>
    <s v="Dec"/>
    <n v="2025"/>
  </r>
  <r>
    <n v="52"/>
    <x v="0"/>
    <x v="0"/>
    <s v="Actual"/>
    <x v="4"/>
    <m/>
    <s v="Zain Telecom"/>
    <s v="Zain Telecom Services"/>
    <n v="31.476115489193631"/>
    <n v="63"/>
    <d v="2026-01-03T00:00:00"/>
    <s v="N/A"/>
    <s v="Dec"/>
    <n v="2025"/>
  </r>
  <r>
    <n v="53"/>
    <x v="1"/>
    <x v="1"/>
    <s v="Actual"/>
    <x v="4"/>
    <m/>
    <s v="Zain Telecom"/>
    <s v="Zain Telecom Services"/>
    <n v="190.90098380430206"/>
    <n v="63"/>
    <d v="2026-01-03T00:00:00"/>
    <s v="N/A"/>
    <s v="Dec"/>
    <n v="2025"/>
  </r>
  <r>
    <n v="54"/>
    <x v="7"/>
    <x v="18"/>
    <s v="Actual"/>
    <x v="4"/>
    <m/>
    <s v="Zain Telecom"/>
    <s v="Zain Telecom Services"/>
    <n v="584.53797083684299"/>
    <n v="63"/>
    <d v="2026-01-03T00:00:00"/>
    <s v="N/A"/>
    <s v="Dec"/>
    <n v="2025"/>
  </r>
  <r>
    <n v="55"/>
    <x v="4"/>
    <x v="19"/>
    <s v="Actual"/>
    <x v="4"/>
    <m/>
    <s v="Zain Telecom"/>
    <s v="Zain Telecom Services"/>
    <n v="1858.1775681656302"/>
    <n v="63"/>
    <d v="2026-01-03T00:00:00"/>
    <s v="N/A"/>
    <s v="Dec"/>
    <n v="2025"/>
  </r>
  <r>
    <n v="56"/>
    <x v="2"/>
    <x v="2"/>
    <s v="Actual"/>
    <x v="4"/>
    <m/>
    <s v="Zain Telecom"/>
    <s v="Zain Telecom Services"/>
    <n v="1199.9556676062421"/>
    <n v="63"/>
    <d v="2026-01-03T00:00:00"/>
    <s v="N/A"/>
    <s v="Dec"/>
    <n v="2025"/>
  </r>
  <r>
    <n v="57"/>
    <x v="4"/>
    <x v="12"/>
    <s v="Actual"/>
    <x v="5"/>
    <m/>
    <s v="NEPTUNE ALKAWKAB ALAZRAK FOR GENERAL TRANSPORTATION"/>
    <s v="DHL / Courier Fees / Shipping"/>
    <n v="7000"/>
    <s v="296"/>
    <d v="2025-11-17T00:00:00"/>
    <n v="2025404676"/>
    <s v="Dec"/>
    <n v="2025"/>
  </r>
  <r>
    <n v="58"/>
    <x v="4"/>
    <x v="13"/>
    <s v="Actual"/>
    <x v="5"/>
    <m/>
    <s v="Radix General Trading Co"/>
    <s v="DHL / Courier Fees / Shipping"/>
    <n v="7586.2068965517237"/>
    <s v="171"/>
    <d v="2025-12-03T00:00:00"/>
    <n v="2025404675"/>
    <s v="Dec"/>
    <n v="2025"/>
  </r>
  <r>
    <n v="59"/>
    <x v="6"/>
    <x v="7"/>
    <s v="Actual"/>
    <x v="5"/>
    <m/>
    <s v="Radix General Trading Co"/>
    <s v="DHL / Courier Fees / Shipping"/>
    <n v="8078.6206896551721"/>
    <n v="45992"/>
    <d v="2026-01-11T00:00:00"/>
    <n v="2025404939"/>
    <s v="Dec"/>
    <n v="2025"/>
  </r>
  <r>
    <n v="60"/>
    <x v="2"/>
    <x v="2"/>
    <s v="Actual"/>
    <x v="5"/>
    <m/>
    <s v="Petty Cash"/>
    <s v="Material Transportation from iran to basra"/>
    <n v="1241.3793103448277"/>
    <s v="INV/BSR/2025-11-26/01"/>
    <s v="26/11/2025"/>
    <s v="N/A"/>
    <s v="Dec"/>
    <n v="2025"/>
  </r>
  <r>
    <n v="61"/>
    <x v="2"/>
    <x v="2"/>
    <s v="Actual"/>
    <x v="5"/>
    <m/>
    <s v="Petty Cash"/>
    <s v="Shipping basra - dubai ( Govinda )"/>
    <n v="2169.655172413793"/>
    <s v="##"/>
    <s v="15/12/2025"/>
    <s v="N/A"/>
    <s v="Dec"/>
    <n v="2025"/>
  </r>
  <r>
    <n v="62"/>
    <x v="6"/>
    <x v="7"/>
    <s v="Actual"/>
    <x v="6"/>
    <m/>
    <s v="Al-Janoob Garage"/>
    <s v="Fixed Assets"/>
    <n v="5000"/>
    <s v="21"/>
    <d v="2025-08-19T00:00:00"/>
    <n v="2025402966"/>
    <s v="Dec"/>
    <n v="2025"/>
  </r>
  <r>
    <n v="63"/>
    <x v="6"/>
    <x v="7"/>
    <s v="Actual"/>
    <x v="6"/>
    <m/>
    <s v="STAR OF TEAM"/>
    <s v="Fixed Assets"/>
    <n v="3965.5172413793102"/>
    <s v="980184"/>
    <d v="2025-12-11T00:00:00"/>
    <n v="2025404664"/>
    <s v="Dec"/>
    <n v="2025"/>
  </r>
  <r>
    <n v="64"/>
    <x v="6"/>
    <x v="7"/>
    <s v="Actual"/>
    <x v="6"/>
    <m/>
    <s v="SMART TOUCH FOR COMPUTERS &amp; TECHNOLOGY"/>
    <s v="Fixed Assets"/>
    <n v="1427.5862068965516"/>
    <s v="1578"/>
    <d v="2025-12-10T00:00:00"/>
    <n v="2025404668"/>
    <s v="Dec"/>
    <n v="2025"/>
  </r>
  <r>
    <n v="65"/>
    <x v="6"/>
    <x v="7"/>
    <s v="Actual"/>
    <x v="6"/>
    <m/>
    <s v="Al-Usool Genral Trading LTD"/>
    <s v="Fixed Assets"/>
    <n v="3310.344827586207"/>
    <s v="INV/2025/04162"/>
    <d v="2025-12-16T00:00:00"/>
    <n v="2025404574"/>
    <s v="Dec"/>
    <n v="2025"/>
  </r>
  <r>
    <n v="66"/>
    <x v="6"/>
    <x v="7"/>
    <s v="Actual"/>
    <x v="6"/>
    <m/>
    <s v="Al Khaleej Company"/>
    <s v="Fixed Assets"/>
    <n v="4810.3448275862065"/>
    <s v="005027"/>
    <d v="2025-11-29T00:00:00"/>
    <n v="2025404807"/>
    <s v="Dec"/>
    <n v="2025"/>
  </r>
  <r>
    <n v="67"/>
    <x v="3"/>
    <x v="6"/>
    <s v="Actual"/>
    <x v="7"/>
    <m/>
    <s v="Petty Cash"/>
    <s v="Diese x 700ltr for BNGL"/>
    <n v="482.75862068965517"/>
    <s v="##"/>
    <d v="2025-08-11T00:00:00"/>
    <s v="N/A"/>
    <s v="Dec"/>
    <n v="2025"/>
  </r>
  <r>
    <n v="68"/>
    <x v="0"/>
    <x v="0"/>
    <s v="Actual"/>
    <x v="7"/>
    <m/>
    <s v="Petty Cash"/>
    <s v="Diesel For Dec.25"/>
    <n v="124.13793103448276"/>
    <s v="##"/>
    <d v="2025-11-12T00:00:00"/>
    <s v="N/A"/>
    <s v="Dec"/>
    <n v="2025"/>
  </r>
  <r>
    <n v="69"/>
    <x v="6"/>
    <x v="7"/>
    <s v="Actual"/>
    <x v="7"/>
    <m/>
    <s v="IGCC"/>
    <s v="Diesel Official Dec 25"/>
    <n v="0"/>
    <s v="N/A"/>
    <s v="N/A"/>
    <s v="N/A"/>
    <s v="Dec"/>
    <n v="2025"/>
  </r>
  <r>
    <n v="70"/>
    <x v="4"/>
    <x v="20"/>
    <s v="Accrual"/>
    <x v="7"/>
    <m/>
    <s v="IGCC"/>
    <s v="Diesel Sites Dec 25"/>
    <n v="559.44055944055947"/>
    <s v="N/A"/>
    <s v="N/A"/>
    <s v="N/A"/>
    <s v="Dec"/>
    <n v="2025"/>
  </r>
  <r>
    <n v="71"/>
    <x v="1"/>
    <x v="1"/>
    <s v="Accrual"/>
    <x v="7"/>
    <m/>
    <s v="IGCC"/>
    <s v="Diesel Sites Dec 25/Mustafa Taha"/>
    <n v="5793.1034482758623"/>
    <s v="N/A"/>
    <s v="N/A"/>
    <s v="N/A"/>
    <s v="Dec"/>
    <n v="2025"/>
  </r>
  <r>
    <n v="72"/>
    <x v="2"/>
    <x v="2"/>
    <s v="Accrual"/>
    <x v="7"/>
    <m/>
    <s v="IGCC"/>
    <s v="Diesel Sites Dec 25/Mustafa Taha"/>
    <n v="2827.5862068965516"/>
    <s v="N/A"/>
    <s v="N/A"/>
    <s v="N/A"/>
    <s v="Dec"/>
    <n v="2025"/>
  </r>
  <r>
    <n v="73"/>
    <x v="3"/>
    <x v="16"/>
    <s v="Accrual"/>
    <x v="7"/>
    <m/>
    <s v="IGCC"/>
    <s v="Diesel Sites Dec 25"/>
    <n v="2552.4475524475524"/>
    <s v="N/A"/>
    <s v="N/A"/>
    <s v="N/A"/>
    <s v="Dec"/>
    <n v="2025"/>
  </r>
  <r>
    <n v="74"/>
    <x v="3"/>
    <x v="3"/>
    <s v="Accrual"/>
    <x v="7"/>
    <m/>
    <s v="IGCC"/>
    <s v="Diesel Sites Dec 25"/>
    <n v="3230.7692307692309"/>
    <s v="N/A"/>
    <s v="N/A"/>
    <s v="N/A"/>
    <s v="Dec"/>
    <n v="2025"/>
  </r>
  <r>
    <n v="75"/>
    <x v="0"/>
    <x v="0"/>
    <s v="Actual"/>
    <x v="8"/>
    <m/>
    <s v="Petty Cash"/>
    <s v="اجار مكتب أربيل شهر 12"/>
    <n v="248.27586206896552"/>
    <s v="##"/>
    <d v="2025-09-12T00:00:00"/>
    <s v="N/A"/>
    <s v="Dec"/>
    <n v="2025"/>
  </r>
  <r>
    <n v="76"/>
    <x v="3"/>
    <x v="3"/>
    <s v="Actual"/>
    <x v="8"/>
    <m/>
    <s v="Petty Cash"/>
    <s v="Renal Crane 130T for 21,22 Dec.2025"/>
    <n v="3376.5517241379312"/>
    <s v="##"/>
    <s v="28/12/2025"/>
    <s v="N/A"/>
    <s v="Dec"/>
    <n v="2025"/>
  </r>
  <r>
    <n v="77"/>
    <x v="4"/>
    <x v="14"/>
    <s v="Actual"/>
    <x v="8"/>
    <m/>
    <s v="Petty Cash"/>
    <s v="Rental - Spreader Crane for PWRI02"/>
    <n v="395.86206896551727"/>
    <s v="##"/>
    <d v="2025-10-12T00:00:00"/>
    <s v="N/A"/>
    <s v="Dec"/>
    <n v="2025"/>
  </r>
  <r>
    <n v="78"/>
    <x v="6"/>
    <x v="7"/>
    <s v="Actual"/>
    <x v="8"/>
    <m/>
    <s v="IGCC"/>
    <s v="Diesel tanker rental"/>
    <n v="4000"/>
    <s v="N/A"/>
    <s v="N/A"/>
    <s v="N/A"/>
    <s v="Dec"/>
    <n v="2025"/>
  </r>
  <r>
    <n v="79"/>
    <x v="4"/>
    <x v="10"/>
    <s v="Actual"/>
    <x v="8"/>
    <m/>
    <s v="Al Ajdar For General Trading and General Purchasing Ltd"/>
    <s v="Lease &amp; Rent"/>
    <n v="5000"/>
    <s v="42-25"/>
    <d v="2026-01-06T00:00:00"/>
    <n v="2025404887"/>
    <s v="Dec"/>
    <n v="2025"/>
  </r>
  <r>
    <n v="80"/>
    <x v="2"/>
    <x v="2"/>
    <s v="Actual"/>
    <x v="8"/>
    <m/>
    <s v="Al Ajdar For General Trading and General Purchasing Ltd"/>
    <s v="Lease &amp; Rent"/>
    <n v="10500"/>
    <s v="33-25"/>
    <s v="N/A"/>
    <s v="N/A"/>
    <s v="Dec"/>
    <n v="2025"/>
  </r>
  <r>
    <n v="81"/>
    <x v="3"/>
    <x v="16"/>
    <s v="Actual"/>
    <x v="8"/>
    <m/>
    <s v="Al Ajdar For General Trading and General Purchasing Ltd"/>
    <s v="Lease &amp; Rent"/>
    <n v="5500"/>
    <s v="N/A"/>
    <s v="N/A"/>
    <s v="N/A"/>
    <s v="Dec"/>
    <n v="2025"/>
  </r>
  <r>
    <n v="82"/>
    <x v="6"/>
    <x v="7"/>
    <s v="Actual"/>
    <x v="8"/>
    <m/>
    <s v="Al-Janoob Garage"/>
    <s v="Lease &amp; Rent"/>
    <n v="1206.8965517241379"/>
    <n v="42"/>
    <d v="2025-12-31T00:00:00"/>
    <n v="2026400083"/>
    <s v="Dec"/>
    <n v="2025"/>
  </r>
  <r>
    <n v="83"/>
    <x v="4"/>
    <x v="4"/>
    <s v="Actual"/>
    <x v="9"/>
    <m/>
    <s v="Al-Zubair Gate"/>
    <s v="Light equipment rental"/>
    <n v="1324.1379310344828"/>
    <s v="2534"/>
    <d v="2025-12-31T00:00:00"/>
    <s v="N/A"/>
    <s v="Dec"/>
    <n v="2025"/>
  </r>
  <r>
    <n v="84"/>
    <x v="2"/>
    <x v="2"/>
    <s v="Accrual"/>
    <x v="9"/>
    <m/>
    <s v="Neema Abdul Hassan"/>
    <s v="Light equipment rental"/>
    <n v="2080"/>
    <s v="N/A"/>
    <s v="N/A"/>
    <s v="N/A"/>
    <s v="Dec"/>
    <n v="2025"/>
  </r>
  <r>
    <n v="85"/>
    <x v="3"/>
    <x v="15"/>
    <s v="Accrual"/>
    <x v="9"/>
    <m/>
    <s v="Neema Abdul Hassan"/>
    <s v="Light equipment rental"/>
    <n v="1620"/>
    <s v="N/A"/>
    <s v="N/A"/>
    <s v="N/A"/>
    <s v="Dec"/>
    <n v="2025"/>
  </r>
  <r>
    <n v="86"/>
    <x v="3"/>
    <x v="6"/>
    <s v="Accrual"/>
    <x v="9"/>
    <m/>
    <s v="NAC Logistic"/>
    <s v=" Light equipment rental"/>
    <n v="23994.954111888113"/>
    <s v="N/A"/>
    <s v="N/A"/>
    <s v="N/A"/>
    <s v="Dec"/>
    <n v="2025"/>
  </r>
  <r>
    <n v="87"/>
    <x v="6"/>
    <x v="7"/>
    <s v="Accrual"/>
    <x v="9"/>
    <m/>
    <s v="NAC Logistic"/>
    <s v=" Light equipment rental"/>
    <n v="7062.9370629370633"/>
    <s v="N/A"/>
    <s v="N/A"/>
    <s v="N/A"/>
    <s v="Dec"/>
    <n v="2025"/>
  </r>
  <r>
    <n v="88"/>
    <x v="4"/>
    <x v="20"/>
    <s v="Accrual"/>
    <x v="9"/>
    <m/>
    <s v="NAC Logistic"/>
    <s v=" Light equipment rental"/>
    <n v="1958.041958041958"/>
    <s v="N/A"/>
    <s v="N/A"/>
    <s v="N/A"/>
    <s v="Dec"/>
    <n v="2025"/>
  </r>
  <r>
    <n v="89"/>
    <x v="7"/>
    <x v="9"/>
    <s v="Accrual"/>
    <x v="9"/>
    <m/>
    <s v="NAC Logistic"/>
    <s v=" Light equipment rental"/>
    <n v="5396.2703916083919"/>
    <s v="N/A"/>
    <s v="N/A"/>
    <s v="N/A"/>
    <s v="Dec"/>
    <n v="2025"/>
  </r>
  <r>
    <n v="90"/>
    <x v="7"/>
    <x v="21"/>
    <s v="Accrual"/>
    <x v="9"/>
    <m/>
    <s v="NAC Logistic"/>
    <s v=" Light equipment rental"/>
    <n v="6993.0069930069931"/>
    <s v="N/A"/>
    <s v="N/A"/>
    <s v="N/A"/>
    <s v="Dec"/>
    <n v="2025"/>
  </r>
  <r>
    <n v="91"/>
    <x v="4"/>
    <x v="22"/>
    <s v="Accrual"/>
    <x v="9"/>
    <m/>
    <s v="NAC Logistic"/>
    <s v=" Light equipment rental"/>
    <n v="2237.7622377622379"/>
    <s v="N/A"/>
    <s v="N/A"/>
    <s v="N/A"/>
    <s v="Dec"/>
    <n v="2025"/>
  </r>
  <r>
    <n v="92"/>
    <x v="4"/>
    <x v="10"/>
    <s v="Accrual"/>
    <x v="9"/>
    <m/>
    <s v="NAC Logistic"/>
    <s v=" Light equipment rental"/>
    <n v="5422.2701048951049"/>
    <s v="N/A"/>
    <s v="N/A"/>
    <s v="N/A"/>
    <s v="Dec"/>
    <n v="2025"/>
  </r>
  <r>
    <n v="93"/>
    <x v="1"/>
    <x v="1"/>
    <s v="Accrual"/>
    <x v="9"/>
    <m/>
    <s v="NAC Logistic"/>
    <s v=" Light equipment rental"/>
    <n v="8504.5723636363637"/>
    <s v="N/A"/>
    <s v="N/A"/>
    <s v="N/A"/>
    <s v="Dec"/>
    <n v="2025"/>
  </r>
  <r>
    <n v="94"/>
    <x v="2"/>
    <x v="2"/>
    <s v="Accrual"/>
    <x v="9"/>
    <m/>
    <s v="NAC Logistic"/>
    <s v=" Light equipment rental"/>
    <n v="33360.863433566432"/>
    <s v="N/A"/>
    <s v="N/A"/>
    <s v="N/A"/>
    <s v="Dec"/>
    <n v="2025"/>
  </r>
  <r>
    <n v="95"/>
    <x v="3"/>
    <x v="3"/>
    <s v="Accrual"/>
    <x v="9"/>
    <m/>
    <s v="NAC Logistic"/>
    <s v=" Light equipment rental"/>
    <n v="12312.860643356642"/>
    <s v="N/A"/>
    <s v="N/A"/>
    <s v="N/A"/>
    <s v="Dec"/>
    <n v="2025"/>
  </r>
  <r>
    <n v="96"/>
    <x v="3"/>
    <x v="23"/>
    <s v="Accrual"/>
    <x v="9"/>
    <m/>
    <s v="NAC Logistic"/>
    <s v=" Light equipment rental"/>
    <n v="6293.7062937062938"/>
    <s v="N/A"/>
    <s v="N/A"/>
    <s v="N/A"/>
    <s v="Dec"/>
    <n v="2025"/>
  </r>
  <r>
    <n v="97"/>
    <x v="8"/>
    <x v="17"/>
    <s v="Accrual"/>
    <x v="9"/>
    <m/>
    <s v="NAC Logistic"/>
    <s v=" Light equipment rental"/>
    <n v="2197.4179720279722"/>
    <s v="N/A"/>
    <s v="N/A"/>
    <s v="N/A"/>
    <s v="Dec"/>
    <n v="2025"/>
  </r>
  <r>
    <n v="98"/>
    <x v="7"/>
    <x v="24"/>
    <s v="Accrual"/>
    <x v="9"/>
    <m/>
    <s v="NAC Logistic"/>
    <s v=" Light equipment rental"/>
    <n v="139.86013986013987"/>
    <s v="N/A"/>
    <s v="N/A"/>
    <s v="N/A"/>
    <s v="Dec"/>
    <n v="2025"/>
  </r>
  <r>
    <n v="99"/>
    <x v="4"/>
    <x v="12"/>
    <s v="Accrual"/>
    <x v="9"/>
    <m/>
    <s v="NAC Logistic"/>
    <s v=" Light equipment rental"/>
    <n v="3496.5034965034965"/>
    <s v="N/A"/>
    <s v="N/A"/>
    <s v="N/A"/>
    <s v="Dec"/>
    <n v="2025"/>
  </r>
  <r>
    <n v="100"/>
    <x v="4"/>
    <x v="13"/>
    <s v="Accrual"/>
    <x v="9"/>
    <m/>
    <s v="NAC Logistic"/>
    <s v=" Light equipment rental"/>
    <n v="2867.132867132867"/>
    <s v="N/A"/>
    <s v="N/A"/>
    <s v="N/A"/>
    <s v="Dec"/>
    <n v="2025"/>
  </r>
  <r>
    <n v="101"/>
    <x v="4"/>
    <x v="14"/>
    <s v="Accrual"/>
    <x v="9"/>
    <m/>
    <s v="NAC Logistic"/>
    <s v=" Light equipment rental"/>
    <n v="34508.00225174825"/>
    <s v="N/A"/>
    <s v="N/A"/>
    <s v="N/A"/>
    <s v="Dec"/>
    <n v="2025"/>
  </r>
  <r>
    <n v="102"/>
    <x v="4"/>
    <x v="25"/>
    <s v="Accrual"/>
    <x v="9"/>
    <m/>
    <s v="NAC Logistic"/>
    <s v=" Light equipment rental"/>
    <n v="2517.4825174825173"/>
    <s v="N/A"/>
    <s v="N/A"/>
    <s v="N/A"/>
    <s v="Dec"/>
    <n v="2025"/>
  </r>
  <r>
    <n v="103"/>
    <x v="3"/>
    <x v="26"/>
    <s v="Accrual"/>
    <x v="9"/>
    <m/>
    <s v="NAC Logistic"/>
    <s v=" Light equipment rental"/>
    <n v="4803.6579020979016"/>
    <s v="N/A"/>
    <s v="N/A"/>
    <s v="N/A"/>
    <s v="Dec"/>
    <n v="2025"/>
  </r>
  <r>
    <n v="104"/>
    <x v="3"/>
    <x v="16"/>
    <s v="Accrual"/>
    <x v="9"/>
    <m/>
    <s v="NAC Logistic"/>
    <s v=" Light equipment rental"/>
    <n v="19417.755734265735"/>
    <s v="N/A"/>
    <s v="N/A"/>
    <s v="N/A"/>
    <s v="Dec"/>
    <n v="2025"/>
  </r>
  <r>
    <n v="105"/>
    <x v="3"/>
    <x v="6"/>
    <s v="Accrual"/>
    <x v="9"/>
    <m/>
    <s v="Taqadm Albasrah"/>
    <s v=" Light equipment rental"/>
    <n v="12847.901776223776"/>
    <s v="N/A"/>
    <s v="N/A"/>
    <s v="N/A"/>
    <s v="Dec"/>
    <n v="2025"/>
  </r>
  <r>
    <n v="106"/>
    <x v="6"/>
    <x v="7"/>
    <s v="Accrual"/>
    <x v="9"/>
    <m/>
    <s v="Taqadm Albasrah"/>
    <s v=" Light equipment rental"/>
    <n v="26655.710881118885"/>
    <s v="N/A"/>
    <s v="N/A"/>
    <s v="N/A"/>
    <s v="Dec"/>
    <n v="2025"/>
  </r>
  <r>
    <n v="107"/>
    <x v="4"/>
    <x v="20"/>
    <s v="Accrual"/>
    <x v="9"/>
    <m/>
    <s v="Taqadm Albasrah"/>
    <s v=" Light equipment rental"/>
    <n v="17872.980825174825"/>
    <s v="N/A"/>
    <s v="N/A"/>
    <s v="N/A"/>
    <s v="Dec"/>
    <n v="2025"/>
  </r>
  <r>
    <n v="108"/>
    <x v="7"/>
    <x v="9"/>
    <s v="Accrual"/>
    <x v="9"/>
    <m/>
    <s v="Taqadm Albasrah"/>
    <s v=" Light equipment rental"/>
    <n v="3030.3029370629374"/>
    <s v="N/A"/>
    <s v="N/A"/>
    <s v="N/A"/>
    <s v="Dec"/>
    <n v="2025"/>
  </r>
  <r>
    <n v="109"/>
    <x v="7"/>
    <x v="21"/>
    <s v="Accrual"/>
    <x v="9"/>
    <m/>
    <s v="Taqadm Albasrah"/>
    <s v=" Light equipment rental"/>
    <n v="18671.328258741258"/>
    <s v="N/A"/>
    <s v="N/A"/>
    <s v="N/A"/>
    <s v="Dec"/>
    <n v="2025"/>
  </r>
  <r>
    <n v="110"/>
    <x v="4"/>
    <x v="22"/>
    <s v="Accrual"/>
    <x v="9"/>
    <m/>
    <s v="Taqadm Albasrah"/>
    <s v=" Light equipment rental"/>
    <n v="11687.936783216783"/>
    <s v="N/A"/>
    <s v="N/A"/>
    <s v="N/A"/>
    <s v="Dec"/>
    <n v="2025"/>
  </r>
  <r>
    <n v="111"/>
    <x v="4"/>
    <x v="10"/>
    <s v="Accrual"/>
    <x v="9"/>
    <m/>
    <s v="Taqadm Albasrah"/>
    <s v=" Light equipment rental"/>
    <n v="24424.53320979021"/>
    <s v="N/A"/>
    <s v="N/A"/>
    <s v="N/A"/>
    <s v="Dec"/>
    <n v="2025"/>
  </r>
  <r>
    <n v="112"/>
    <x v="1"/>
    <x v="1"/>
    <s v="Accrual"/>
    <x v="9"/>
    <m/>
    <s v="Taqadm Albasrah"/>
    <s v=" Light equipment rental"/>
    <n v="29513.439657342657"/>
    <s v="N/A"/>
    <s v="N/A"/>
    <s v="N/A"/>
    <s v="Dec"/>
    <n v="2025"/>
  </r>
  <r>
    <n v="113"/>
    <x v="2"/>
    <x v="2"/>
    <s v="Accrual"/>
    <x v="9"/>
    <m/>
    <s v="Taqadm Albasrah"/>
    <s v=" Light equipment rental"/>
    <n v="91309.475818181818"/>
    <s v="N/A"/>
    <s v="N/A"/>
    <s v="N/A"/>
    <s v="Dec"/>
    <n v="2025"/>
  </r>
  <r>
    <n v="114"/>
    <x v="0"/>
    <x v="0"/>
    <s v="Accrual"/>
    <x v="9"/>
    <m/>
    <s v="Taqadm Albasrah"/>
    <s v=" Light equipment rental"/>
    <n v="6107.2258951048943"/>
    <s v="N/A"/>
    <s v="N/A"/>
    <s v="N/A"/>
    <s v="Dec"/>
    <n v="2025"/>
  </r>
  <r>
    <n v="115"/>
    <x v="3"/>
    <x v="3"/>
    <s v="Accrual"/>
    <x v="9"/>
    <m/>
    <s v="Taqadm Albasrah"/>
    <s v=" Light equipment rental"/>
    <n v="4905.0115034965038"/>
    <s v="N/A"/>
    <s v="N/A"/>
    <s v="N/A"/>
    <s v="Dec"/>
    <n v="2025"/>
  </r>
  <r>
    <n v="116"/>
    <x v="4"/>
    <x v="27"/>
    <s v="Accrual"/>
    <x v="9"/>
    <m/>
    <s v="Taqadm Albasrah"/>
    <s v=" Light equipment rental"/>
    <n v="10792.540447552448"/>
    <s v="N/A"/>
    <s v="N/A"/>
    <s v="N/A"/>
    <s v="Dec"/>
    <n v="2025"/>
  </r>
  <r>
    <n v="117"/>
    <x v="8"/>
    <x v="17"/>
    <s v="Accrual"/>
    <x v="9"/>
    <m/>
    <s v="Taqadm Albasrah"/>
    <s v=" Light equipment rental"/>
    <n v="5119.477713286713"/>
    <s v="N/A"/>
    <s v="N/A"/>
    <s v="N/A"/>
    <s v="Dec"/>
    <n v="2025"/>
  </r>
  <r>
    <n v="118"/>
    <x v="7"/>
    <x v="28"/>
    <s v="Accrual"/>
    <x v="9"/>
    <m/>
    <s v="Taqadm Albasrah"/>
    <s v=" Light equipment rental"/>
    <n v="1893.9393356643357"/>
    <s v="N/A"/>
    <s v="N/A"/>
    <s v="N/A"/>
    <s v="Dec"/>
    <n v="2025"/>
  </r>
  <r>
    <n v="119"/>
    <x v="7"/>
    <x v="24"/>
    <s v="Accrual"/>
    <x v="9"/>
    <m/>
    <s v="Taqadm Albasrah"/>
    <s v=" Light equipment rental"/>
    <n v="3021.5616783216783"/>
    <s v="N/A"/>
    <s v="N/A"/>
    <s v="N/A"/>
    <s v="Dec"/>
    <n v="2025"/>
  </r>
  <r>
    <n v="120"/>
    <x v="4"/>
    <x v="12"/>
    <s v="Accrual"/>
    <x v="9"/>
    <m/>
    <s v="Taqadm Albasrah"/>
    <s v=" Light equipment rental"/>
    <n v="4708.6245594405591"/>
    <s v="N/A"/>
    <s v="N/A"/>
    <s v="N/A"/>
    <s v="Dec"/>
    <n v="2025"/>
  </r>
  <r>
    <n v="121"/>
    <x v="4"/>
    <x v="13"/>
    <s v="Accrual"/>
    <x v="9"/>
    <m/>
    <s v="Taqadm Albasrah"/>
    <s v=" Light equipment rental"/>
    <n v="17217.423818181818"/>
    <s v="N/A"/>
    <s v="N/A"/>
    <s v="N/A"/>
    <s v="Dec"/>
    <n v="2025"/>
  </r>
  <r>
    <n v="122"/>
    <x v="4"/>
    <x v="14"/>
    <s v="Accrual"/>
    <x v="9"/>
    <m/>
    <s v="Taqadm Albasrah"/>
    <s v=" Light equipment rental"/>
    <n v="21474.416664335662"/>
    <s v="N/A"/>
    <s v="N/A"/>
    <s v="N/A"/>
    <s v="Dec"/>
    <n v="2025"/>
  </r>
  <r>
    <n v="123"/>
    <x v="4"/>
    <x v="25"/>
    <s v="Accrual"/>
    <x v="9"/>
    <m/>
    <s v="Taqadm Albasrah"/>
    <s v=" Light equipment rental"/>
    <n v="3863.6362447552447"/>
    <s v="N/A"/>
    <s v="N/A"/>
    <s v="N/A"/>
    <s v="Dec"/>
    <n v="2025"/>
  </r>
  <r>
    <n v="124"/>
    <x v="4"/>
    <x v="4"/>
    <s v="Accrual"/>
    <x v="9"/>
    <m/>
    <s v="Taqadm Albasrah"/>
    <s v=" Light equipment rental"/>
    <n v="3712.121097902098"/>
    <s v="N/A"/>
    <s v="N/A"/>
    <s v="N/A"/>
    <s v="Dec"/>
    <n v="2025"/>
  </r>
  <r>
    <n v="125"/>
    <x v="3"/>
    <x v="26"/>
    <s v="Accrual"/>
    <x v="9"/>
    <m/>
    <s v="Taqadm Albasrah"/>
    <s v=" Light equipment rental"/>
    <n v="11360.722258741258"/>
    <s v="N/A"/>
    <s v="N/A"/>
    <s v="N/A"/>
    <s v="Dec"/>
    <n v="2025"/>
  </r>
  <r>
    <n v="126"/>
    <x v="3"/>
    <x v="16"/>
    <s v="Accrual"/>
    <x v="9"/>
    <m/>
    <s v="Taqadm Albasrah"/>
    <s v=" Light equipment rental"/>
    <n v="12101.454797202798"/>
    <s v="N/A"/>
    <s v="N/A"/>
    <s v="N/A"/>
    <s v="Dec"/>
    <n v="2025"/>
  </r>
  <r>
    <n v="127"/>
    <x v="3"/>
    <x v="29"/>
    <s v="Accrual"/>
    <x v="9"/>
    <m/>
    <s v="Taqadm Albasrah"/>
    <s v=" Light equipment rental"/>
    <n v="2121.2120559440559"/>
    <s v="N/A"/>
    <s v="N/A"/>
    <s v="N/A"/>
    <s v="Dec"/>
    <n v="2025"/>
  </r>
  <r>
    <n v="128"/>
    <x v="3"/>
    <x v="6"/>
    <s v="Accrual"/>
    <x v="9"/>
    <m/>
    <s v="NAC Logistic"/>
    <s v=" Light equipment rental"/>
    <n v="20313.33455172414"/>
    <s v="N/A"/>
    <s v="N/A"/>
    <s v="N/A"/>
    <s v="Dec"/>
    <n v="2025"/>
  </r>
  <r>
    <n v="129"/>
    <x v="6"/>
    <x v="7"/>
    <s v="Accrual"/>
    <x v="9"/>
    <m/>
    <s v="NAC Logistic"/>
    <s v=" Light equipment rental"/>
    <n v="7448.2758620689656"/>
    <s v="N/A"/>
    <s v="N/A"/>
    <s v="N/A"/>
    <s v="Dec"/>
    <n v="2025"/>
  </r>
  <r>
    <n v="130"/>
    <x v="4"/>
    <x v="20"/>
    <s v="Accrual"/>
    <x v="9"/>
    <m/>
    <s v="NAC Logistic"/>
    <s v=" Light equipment rental"/>
    <n v="3448.2758620689656"/>
    <s v="N/A"/>
    <s v="N/A"/>
    <s v="N/A"/>
    <s v="Dec"/>
    <n v="2025"/>
  </r>
  <r>
    <n v="131"/>
    <x v="7"/>
    <x v="9"/>
    <s v="Accrual"/>
    <x v="9"/>
    <m/>
    <s v="NAC Logistic"/>
    <s v=" Light equipment rental"/>
    <n v="5310.3448275862065"/>
    <s v="N/A"/>
    <s v="N/A"/>
    <s v="N/A"/>
    <s v="Dec"/>
    <n v="2025"/>
  </r>
  <r>
    <n v="132"/>
    <x v="7"/>
    <x v="21"/>
    <s v="Accrual"/>
    <x v="9"/>
    <m/>
    <s v="NAC Logistic"/>
    <s v=" Light equipment rental"/>
    <n v="7034.4827586206893"/>
    <s v="N/A"/>
    <s v="N/A"/>
    <s v="N/A"/>
    <s v="Dec"/>
    <n v="2025"/>
  </r>
  <r>
    <n v="133"/>
    <x v="4"/>
    <x v="10"/>
    <s v="Accrual"/>
    <x v="9"/>
    <m/>
    <s v="NAC Logistic"/>
    <s v=" Light equipment rental"/>
    <n v="5576.1273862068965"/>
    <s v="N/A"/>
    <s v="N/A"/>
    <s v="N/A"/>
    <s v="Dec"/>
    <n v="2025"/>
  </r>
  <r>
    <n v="134"/>
    <x v="1"/>
    <x v="1"/>
    <s v="Accrual"/>
    <x v="9"/>
    <m/>
    <s v="NAC Logistic"/>
    <s v=" Light equipment rental"/>
    <n v="9763.9258068965519"/>
    <s v="N/A"/>
    <s v="N/A"/>
    <s v="N/A"/>
    <s v="Dec"/>
    <n v="2025"/>
  </r>
  <r>
    <n v="135"/>
    <x v="2"/>
    <x v="2"/>
    <s v="Accrual"/>
    <x v="9"/>
    <m/>
    <s v="NAC Logistic"/>
    <s v=" Light equipment rental"/>
    <n v="35385.614965517241"/>
    <s v="N/A"/>
    <s v="N/A"/>
    <s v="N/A"/>
    <s v="Dec"/>
    <n v="2025"/>
  </r>
  <r>
    <n v="136"/>
    <x v="0"/>
    <x v="0"/>
    <s v="Accrual"/>
    <x v="9"/>
    <m/>
    <s v="NAC Logistic"/>
    <s v=" Light equipment rental"/>
    <n v="1098.1432551724138"/>
    <s v="N/A"/>
    <s v="N/A"/>
    <s v="N/A"/>
    <s v="Dec"/>
    <n v="2025"/>
  </r>
  <r>
    <n v="137"/>
    <x v="3"/>
    <x v="3"/>
    <s v="Accrual"/>
    <x v="9"/>
    <m/>
    <s v="NAC Logistic"/>
    <s v=" Light equipment rental"/>
    <n v="11970.875344827586"/>
    <s v="N/A"/>
    <s v="N/A"/>
    <s v="N/A"/>
    <s v="Dec"/>
    <n v="2025"/>
  </r>
  <r>
    <n v="138"/>
    <x v="3"/>
    <x v="23"/>
    <s v="Accrual"/>
    <x v="9"/>
    <m/>
    <s v="NAC Logistic"/>
    <s v=" Light equipment rental"/>
    <n v="9586.2068965517246"/>
    <s v="N/A"/>
    <s v="N/A"/>
    <s v="N/A"/>
    <s v="Dec"/>
    <n v="2025"/>
  </r>
  <r>
    <n v="139"/>
    <x v="4"/>
    <x v="12"/>
    <s v="Accrual"/>
    <x v="9"/>
    <m/>
    <s v="NAC Logistic"/>
    <s v=" Light equipment rental"/>
    <n v="4275.8620689655172"/>
    <s v="N/A"/>
    <s v="N/A"/>
    <s v="N/A"/>
    <s v="Dec"/>
    <n v="2025"/>
  </r>
  <r>
    <n v="140"/>
    <x v="3"/>
    <x v="26"/>
    <s v="Accrual"/>
    <x v="9"/>
    <m/>
    <s v="NAC Logistic"/>
    <s v=" Light equipment rental"/>
    <n v="6136.3565241379301"/>
    <s v="N/A"/>
    <s v="N/A"/>
    <s v="N/A"/>
    <s v="Dec"/>
    <n v="2025"/>
  </r>
  <r>
    <n v="141"/>
    <x v="4"/>
    <x v="13"/>
    <s v="Accrual"/>
    <x v="9"/>
    <m/>
    <s v="NAC Logistic"/>
    <s v=" Light equipment rental"/>
    <n v="7248.2758620689656"/>
    <s v="N/A"/>
    <s v="N/A"/>
    <s v="N/A"/>
    <s v="Dec"/>
    <n v="2025"/>
  </r>
  <r>
    <n v="142"/>
    <x v="4"/>
    <x v="14"/>
    <s v="Accrual"/>
    <x v="9"/>
    <m/>
    <s v="NAC Logistic"/>
    <s v=" Light equipment rental"/>
    <n v="27856.916799999999"/>
    <s v="N/A"/>
    <s v="N/A"/>
    <s v="N/A"/>
    <s v="Dec"/>
    <n v="2025"/>
  </r>
  <r>
    <n v="143"/>
    <x v="4"/>
    <x v="25"/>
    <s v="Accrual"/>
    <x v="9"/>
    <m/>
    <s v="NAC Logistic"/>
    <s v=" Light equipment rental"/>
    <n v="3586.2068965517242"/>
    <s v="N/A"/>
    <s v="N/A"/>
    <s v="N/A"/>
    <s v="Dec"/>
    <n v="2025"/>
  </r>
  <r>
    <n v="144"/>
    <x v="3"/>
    <x v="16"/>
    <s v="Accrual"/>
    <x v="9"/>
    <m/>
    <s v="NAC Logistic"/>
    <s v=" Light equipment rental"/>
    <n v="19060.530517241379"/>
    <s v="N/A"/>
    <s v="N/A"/>
    <s v="N/A"/>
    <s v="Dec"/>
    <n v="2025"/>
  </r>
  <r>
    <n v="145"/>
    <x v="3"/>
    <x v="6"/>
    <s v="Accrual"/>
    <x v="9"/>
    <m/>
    <s v="NAC Logistic"/>
    <s v="Heavy  equipment rental"/>
    <n v="17947.427020689654"/>
    <s v="N/A"/>
    <s v="N/A"/>
    <s v="N/A"/>
    <s v="Dec"/>
    <n v="2025"/>
  </r>
  <r>
    <n v="146"/>
    <x v="7"/>
    <x v="9"/>
    <s v="Accrual"/>
    <x v="9"/>
    <m/>
    <s v="NAC Logistic"/>
    <s v="Heavy  equipment rental"/>
    <n v="491.37931034482756"/>
    <s v="N/A"/>
    <s v="N/A"/>
    <s v="N/A"/>
    <s v="Dec"/>
    <n v="2025"/>
  </r>
  <r>
    <n v="147"/>
    <x v="7"/>
    <x v="21"/>
    <s v="Accrual"/>
    <x v="9"/>
    <m/>
    <s v="NAC Logistic"/>
    <s v="Heavy  equipment rental"/>
    <n v="1693.6339310344829"/>
    <s v="N/A"/>
    <s v="N/A"/>
    <s v="N/A"/>
    <s v="Dec"/>
    <n v="2025"/>
  </r>
  <r>
    <n v="148"/>
    <x v="4"/>
    <x v="10"/>
    <s v="Accrual"/>
    <x v="9"/>
    <m/>
    <s v="NAC Logistic"/>
    <s v="Heavy  equipment rental"/>
    <n v="12935.119289655171"/>
    <s v="N/A"/>
    <s v="N/A"/>
    <s v="N/A"/>
    <s v="Dec"/>
    <n v="2025"/>
  </r>
  <r>
    <n v="149"/>
    <x v="1"/>
    <x v="1"/>
    <s v="Accrual"/>
    <x v="9"/>
    <m/>
    <s v="NAC Logistic"/>
    <s v="Heavy  equipment rental"/>
    <n v="463.1299724137931"/>
    <s v="N/A"/>
    <s v="N/A"/>
    <s v="N/A"/>
    <s v="Dec"/>
    <n v="2025"/>
  </r>
  <r>
    <n v="150"/>
    <x v="2"/>
    <x v="2"/>
    <s v="Accrual"/>
    <x v="9"/>
    <m/>
    <s v="NAC Logistic"/>
    <s v="Heavy  equipment rental"/>
    <n v="97870.454503448273"/>
    <s v="N/A"/>
    <s v="N/A"/>
    <s v="N/A"/>
    <s v="Dec"/>
    <n v="2025"/>
  </r>
  <r>
    <n v="151"/>
    <x v="3"/>
    <x v="3"/>
    <s v="Accrual"/>
    <x v="9"/>
    <m/>
    <s v="NAC Logistic"/>
    <s v="Heavy  equipment rental"/>
    <n v="18048.132606896554"/>
    <s v="N/A"/>
    <s v="N/A"/>
    <s v="N/A"/>
    <s v="Dec"/>
    <n v="2025"/>
  </r>
  <r>
    <n v="152"/>
    <x v="4"/>
    <x v="12"/>
    <s v="Accrual"/>
    <x v="9"/>
    <m/>
    <s v="NAC Logistic"/>
    <s v="Heavy  equipment rental"/>
    <n v="7634.7479862068967"/>
    <s v="N/A"/>
    <s v="N/A"/>
    <s v="N/A"/>
    <s v="Dec"/>
    <n v="2025"/>
  </r>
  <r>
    <n v="153"/>
    <x v="3"/>
    <x v="26"/>
    <s v="Accrual"/>
    <x v="9"/>
    <m/>
    <s v="NAC Logistic"/>
    <s v="Heavy  equipment rental"/>
    <n v="14487.533131034483"/>
    <s v="N/A"/>
    <s v="N/A"/>
    <s v="N/A"/>
    <s v="Dec"/>
    <n v="2025"/>
  </r>
  <r>
    <n v="154"/>
    <x v="4"/>
    <x v="13"/>
    <s v="Accrual"/>
    <x v="9"/>
    <m/>
    <s v="NAC Logistic"/>
    <s v="Heavy  equipment rental"/>
    <n v="2426.6578137931033"/>
    <s v="N/A"/>
    <s v="N/A"/>
    <s v="N/A"/>
    <s v="Dec"/>
    <n v="2025"/>
  </r>
  <r>
    <n v="155"/>
    <x v="4"/>
    <x v="14"/>
    <s v="Accrual"/>
    <x v="9"/>
    <m/>
    <s v="NAC Logistic"/>
    <s v="Heavy  equipment rental"/>
    <n v="82017.670986206896"/>
    <s v="N/A"/>
    <s v="N/A"/>
    <s v="N/A"/>
    <s v="Dec"/>
    <n v="2025"/>
  </r>
  <r>
    <n v="156"/>
    <x v="4"/>
    <x v="25"/>
    <s v="Accrual"/>
    <x v="9"/>
    <m/>
    <s v="NAC Logistic"/>
    <s v="Heavy  equipment rental"/>
    <n v="1159.1511931034483"/>
    <s v="N/A"/>
    <s v="N/A"/>
    <s v="N/A"/>
    <s v="Dec"/>
    <n v="2025"/>
  </r>
  <r>
    <n v="157"/>
    <x v="3"/>
    <x v="16"/>
    <s v="Accrual"/>
    <x v="9"/>
    <m/>
    <s v="NAC Logistic"/>
    <s v="Heavy  equipment rental"/>
    <n v="123845.51149655171"/>
    <s v="N/A"/>
    <s v="N/A"/>
    <s v="N/A"/>
    <s v="Dec"/>
    <n v="2025"/>
  </r>
  <r>
    <n v="158"/>
    <x v="3"/>
    <x v="29"/>
    <s v="Accrual"/>
    <x v="9"/>
    <m/>
    <s v="NAC Logistic"/>
    <s v="Heavy  equipment rental"/>
    <n v="478.24933103448279"/>
    <s v="N/A"/>
    <s v="N/A"/>
    <s v="N/A"/>
    <s v="Dec"/>
    <n v="2025"/>
  </r>
  <r>
    <n v="159"/>
    <x v="3"/>
    <x v="6"/>
    <s v="Accrual"/>
    <x v="9"/>
    <m/>
    <s v="Taqadm Albasrah"/>
    <s v="Heavy  equipment rental"/>
    <n v="13410.015779310344"/>
    <s v="N/A"/>
    <s v="N/A"/>
    <s v="N/A"/>
    <s v="Dec"/>
    <n v="2025"/>
  </r>
  <r>
    <n v="160"/>
    <x v="6"/>
    <x v="7"/>
    <s v="Accrual"/>
    <x v="9"/>
    <m/>
    <s v="Taqadm Albasrah"/>
    <s v="Heavy  equipment rental"/>
    <n v="13125.294344827587"/>
    <s v="N/A"/>
    <s v="N/A"/>
    <s v="N/A"/>
    <s v="Dec"/>
    <n v="2025"/>
  </r>
  <r>
    <n v="161"/>
    <x v="4"/>
    <x v="20"/>
    <s v="Accrual"/>
    <x v="9"/>
    <m/>
    <s v="Taqadm Albasrah"/>
    <s v="Heavy  equipment rental"/>
    <n v="13809.681551724138"/>
    <s v="N/A"/>
    <s v="N/A"/>
    <s v="N/A"/>
    <s v="Dec"/>
    <n v="2025"/>
  </r>
  <r>
    <n v="162"/>
    <x v="7"/>
    <x v="9"/>
    <s v="Accrual"/>
    <x v="9"/>
    <m/>
    <s v="Taqadm Albasrah"/>
    <s v="Heavy  equipment rental"/>
    <n v="3134.3426482758618"/>
    <s v="N/A"/>
    <s v="N/A"/>
    <s v="N/A"/>
    <s v="Dec"/>
    <n v="2025"/>
  </r>
  <r>
    <n v="163"/>
    <x v="7"/>
    <x v="21"/>
    <s v="Accrual"/>
    <x v="9"/>
    <m/>
    <s v="Taqadm Albasrah"/>
    <s v="Heavy  equipment rental"/>
    <n v="29056.975993103446"/>
    <s v="N/A"/>
    <s v="N/A"/>
    <s v="N/A"/>
    <s v="Dec"/>
    <n v="2025"/>
  </r>
  <r>
    <n v="164"/>
    <x v="4"/>
    <x v="22"/>
    <s v="Accrual"/>
    <x v="9"/>
    <m/>
    <s v="Taqadm Albasrah"/>
    <s v="Heavy  equipment rental"/>
    <n v="25730.371310344828"/>
    <s v="N/A"/>
    <s v="N/A"/>
    <s v="N/A"/>
    <s v="Dec"/>
    <n v="2025"/>
  </r>
  <r>
    <n v="165"/>
    <x v="4"/>
    <x v="10"/>
    <s v="Accrual"/>
    <x v="9"/>
    <m/>
    <s v="Taqadm Albasrah"/>
    <s v="Heavy  equipment rental"/>
    <n v="45028.558744827584"/>
    <s v="N/A"/>
    <s v="N/A"/>
    <s v="N/A"/>
    <s v="Dec"/>
    <n v="2025"/>
  </r>
  <r>
    <n v="166"/>
    <x v="1"/>
    <x v="1"/>
    <s v="Accrual"/>
    <x v="9"/>
    <m/>
    <s v="Taqadm Albasrah"/>
    <s v="Heavy  equipment rental"/>
    <n v="20232.753289655171"/>
    <s v="N/A"/>
    <s v="N/A"/>
    <s v="N/A"/>
    <s v="Dec"/>
    <n v="2025"/>
  </r>
  <r>
    <n v="167"/>
    <x v="2"/>
    <x v="2"/>
    <s v="Accrual"/>
    <x v="9"/>
    <m/>
    <s v="Taqadm Albasrah"/>
    <s v="Heavy  equipment rental"/>
    <n v="168116.49788965518"/>
    <s v="N/A"/>
    <s v="N/A"/>
    <s v="N/A"/>
    <s v="Dec"/>
    <n v="2025"/>
  </r>
  <r>
    <n v="168"/>
    <x v="3"/>
    <x v="3"/>
    <s v="Accrual"/>
    <x v="9"/>
    <m/>
    <s v="Taqadm Albasrah"/>
    <s v="Heavy  equipment rental"/>
    <n v="3045.0927793103451"/>
    <s v="N/A"/>
    <s v="N/A"/>
    <s v="N/A"/>
    <s v="Dec"/>
    <n v="2025"/>
  </r>
  <r>
    <n v="169"/>
    <x v="7"/>
    <x v="24"/>
    <s v="Accrual"/>
    <x v="9"/>
    <m/>
    <s v="Taqadm Albasrah"/>
    <s v="Heavy  equipment rental"/>
    <n v="1358.090151724138"/>
    <s v="N/A"/>
    <s v="N/A"/>
    <s v="N/A"/>
    <s v="Dec"/>
    <n v="2025"/>
  </r>
  <r>
    <n v="170"/>
    <x v="4"/>
    <x v="12"/>
    <s v="Accrual"/>
    <x v="9"/>
    <m/>
    <s v="Taqadm Albasrah"/>
    <s v="Heavy  equipment rental"/>
    <n v="12542.408455172415"/>
    <s v="N/A"/>
    <s v="N/A"/>
    <s v="N/A"/>
    <s v="Dec"/>
    <n v="2025"/>
  </r>
  <r>
    <n v="171"/>
    <x v="3"/>
    <x v="30"/>
    <s v="Accrual"/>
    <x v="9"/>
    <m/>
    <s v="Taqadm Albasrah"/>
    <s v="Heavy  equipment rental"/>
    <n v="7034.0795310344829"/>
    <s v="N/A"/>
    <s v="N/A"/>
    <s v="N/A"/>
    <s v="Dec"/>
    <n v="2025"/>
  </r>
  <r>
    <n v="172"/>
    <x v="4"/>
    <x v="13"/>
    <s v="Accrual"/>
    <x v="9"/>
    <m/>
    <s v="Taqadm Albasrah"/>
    <s v="Heavy  equipment rental"/>
    <n v="24003.183027586208"/>
    <s v="N/A"/>
    <s v="N/A"/>
    <s v="N/A"/>
    <s v="Dec"/>
    <n v="2025"/>
  </r>
  <r>
    <n v="173"/>
    <x v="4"/>
    <x v="14"/>
    <s v="Accrual"/>
    <x v="9"/>
    <m/>
    <s v="Taqadm Albasrah"/>
    <s v="Heavy  equipment rental"/>
    <n v="73887.058179310348"/>
    <s v="N/A"/>
    <s v="N/A"/>
    <s v="N/A"/>
    <s v="Dec"/>
    <n v="2025"/>
  </r>
  <r>
    <n v="174"/>
    <x v="4"/>
    <x v="25"/>
    <s v="Accrual"/>
    <x v="9"/>
    <m/>
    <s v="Taqadm Albasrah"/>
    <s v="Heavy  equipment rental"/>
    <n v="4257.5490896551719"/>
    <s v="N/A"/>
    <s v="N/A"/>
    <s v="N/A"/>
    <s v="Dec"/>
    <n v="2025"/>
  </r>
  <r>
    <n v="175"/>
    <x v="4"/>
    <x v="4"/>
    <s v="Accrual"/>
    <x v="9"/>
    <m/>
    <s v="Taqadm Albasrah"/>
    <s v="Heavy  equipment rental"/>
    <n v="12323.225372413792"/>
    <s v="N/A"/>
    <s v="N/A"/>
    <s v="N/A"/>
    <s v="Dec"/>
    <n v="2025"/>
  </r>
  <r>
    <n v="176"/>
    <x v="3"/>
    <x v="16"/>
    <s v="Accrual"/>
    <x v="9"/>
    <m/>
    <s v="Taqadm Albasrah"/>
    <s v="Heavy  equipment rental"/>
    <n v="22707.426931034483"/>
    <s v="N/A"/>
    <s v="N/A"/>
    <s v="N/A"/>
    <s v="Dec"/>
    <n v="2025"/>
  </r>
  <r>
    <n v="177"/>
    <x v="3"/>
    <x v="6"/>
    <s v="Accrual"/>
    <x v="9"/>
    <m/>
    <s v="Taqadm Albasrah"/>
    <s v="Light equipment rental"/>
    <n v="15495.553972413794"/>
    <s v="N/A"/>
    <s v="N/A"/>
    <s v="N/A"/>
    <s v="Dec"/>
    <n v="2025"/>
  </r>
  <r>
    <n v="178"/>
    <x v="6"/>
    <x v="7"/>
    <s v="Accrual"/>
    <x v="9"/>
    <m/>
    <s v="Taqadm Albasrah"/>
    <s v="Light equipment rental"/>
    <n v="25463.244634482759"/>
    <s v="N/A"/>
    <s v="N/A"/>
    <s v="N/A"/>
    <s v="Dec"/>
    <n v="2025"/>
  </r>
  <r>
    <n v="179"/>
    <x v="4"/>
    <x v="20"/>
    <s v="Accrual"/>
    <x v="9"/>
    <m/>
    <s v="Taqadm Albasrah"/>
    <s v="Light equipment rental"/>
    <n v="14007.957586206896"/>
    <s v="N/A"/>
    <s v="N/A"/>
    <s v="N/A"/>
    <s v="Dec"/>
    <n v="2025"/>
  </r>
  <r>
    <n v="180"/>
    <x v="7"/>
    <x v="9"/>
    <s v="Accrual"/>
    <x v="9"/>
    <m/>
    <s v="Taqadm Albasrah"/>
    <s v="Light equipment rental"/>
    <n v="3517.2413793103447"/>
    <s v="N/A"/>
    <s v="N/A"/>
    <s v="N/A"/>
    <s v="Dec"/>
    <n v="2025"/>
  </r>
  <r>
    <n v="181"/>
    <x v="7"/>
    <x v="21"/>
    <s v="Accrual"/>
    <x v="9"/>
    <m/>
    <s v="Taqadm Albasrah"/>
    <s v="Light equipment rental"/>
    <n v="17013.793131034483"/>
    <s v="N/A"/>
    <s v="N/A"/>
    <s v="N/A"/>
    <s v="Dec"/>
    <n v="2025"/>
  </r>
  <r>
    <n v="182"/>
    <x v="4"/>
    <x v="22"/>
    <s v="Accrual"/>
    <x v="9"/>
    <m/>
    <s v="Taqadm Albasrah"/>
    <s v="Light equipment rental"/>
    <n v="12383.023827586207"/>
    <s v="N/A"/>
    <s v="N/A"/>
    <s v="N/A"/>
    <s v="Dec"/>
    <n v="2025"/>
  </r>
  <r>
    <n v="183"/>
    <x v="4"/>
    <x v="10"/>
    <s v="Accrual"/>
    <x v="9"/>
    <m/>
    <s v="Taqadm Albasrah"/>
    <s v="Light equipment rental"/>
    <n v="22242.175117241379"/>
    <s v="N/A"/>
    <s v="N/A"/>
    <s v="N/A"/>
    <s v="Dec"/>
    <n v="2025"/>
  </r>
  <r>
    <n v="184"/>
    <x v="1"/>
    <x v="1"/>
    <s v="Accrual"/>
    <x v="9"/>
    <m/>
    <s v="Taqadm Albasrah"/>
    <s v="Light equipment rental"/>
    <n v="24432.413993103448"/>
    <s v="N/A"/>
    <s v="N/A"/>
    <s v="N/A"/>
    <s v="Dec"/>
    <n v="2025"/>
  </r>
  <r>
    <n v="185"/>
    <x v="2"/>
    <x v="2"/>
    <s v="Accrual"/>
    <x v="9"/>
    <m/>
    <s v="Taqadm Albasrah"/>
    <s v="Light equipment rental"/>
    <n v="93100.960620689657"/>
    <s v="N/A"/>
    <s v="N/A"/>
    <s v="N/A"/>
    <s v="Dec"/>
    <n v="2025"/>
  </r>
  <r>
    <n v="186"/>
    <x v="0"/>
    <x v="0"/>
    <s v="Accrual"/>
    <x v="9"/>
    <m/>
    <s v="Taqadm Albasrah"/>
    <s v="Light equipment rental"/>
    <n v="4758.6207724137921"/>
    <s v="N/A"/>
    <s v="N/A"/>
    <s v="N/A"/>
    <s v="Dec"/>
    <n v="2025"/>
  </r>
  <r>
    <n v="187"/>
    <x v="3"/>
    <x v="3"/>
    <s v="Accrual"/>
    <x v="9"/>
    <m/>
    <s v="Taqadm Albasrah"/>
    <s v="Light equipment rental"/>
    <n v="4814.3236275862064"/>
    <s v="N/A"/>
    <s v="N/A"/>
    <s v="N/A"/>
    <s v="Dec"/>
    <n v="2025"/>
  </r>
  <r>
    <n v="188"/>
    <x v="4"/>
    <x v="27"/>
    <s v="Accrual"/>
    <x v="9"/>
    <m/>
    <s v="Taqadm Albasrah"/>
    <s v="Light equipment rental"/>
    <n v="15318.30244137931"/>
    <s v="N/A"/>
    <s v="N/A"/>
    <s v="N/A"/>
    <s v="Dec"/>
    <n v="2025"/>
  </r>
  <r>
    <n v="189"/>
    <x v="7"/>
    <x v="28"/>
    <s v="Accrual"/>
    <x v="9"/>
    <m/>
    <s v="Taqadm Albasrah"/>
    <s v="Light equipment rental"/>
    <n v="1724.1379310344828"/>
    <s v="N/A"/>
    <s v="N/A"/>
    <s v="N/A"/>
    <s v="Dec"/>
    <n v="2025"/>
  </r>
  <r>
    <n v="190"/>
    <x v="7"/>
    <x v="24"/>
    <s v="Accrual"/>
    <x v="9"/>
    <m/>
    <s v="Taqadm Albasrah"/>
    <s v="Light equipment rental"/>
    <n v="1793.1034482758621"/>
    <s v="N/A"/>
    <s v="N/A"/>
    <s v="N/A"/>
    <s v="Dec"/>
    <n v="2025"/>
  </r>
  <r>
    <n v="191"/>
    <x v="4"/>
    <x v="12"/>
    <s v="Accrual"/>
    <x v="9"/>
    <m/>
    <s v="Taqadm Albasrah"/>
    <s v="Light equipment rental"/>
    <n v="8435.0132965517241"/>
    <s v="N/A"/>
    <s v="N/A"/>
    <s v="N/A"/>
    <s v="Dec"/>
    <n v="2025"/>
  </r>
  <r>
    <n v="192"/>
    <x v="3"/>
    <x v="26"/>
    <s v="Accrual"/>
    <x v="9"/>
    <m/>
    <s v="Taqadm Albasrah"/>
    <s v="Light equipment rental"/>
    <n v="11701.326289655173"/>
    <s v="N/A"/>
    <s v="N/A"/>
    <s v="N/A"/>
    <s v="Dec"/>
    <n v="2025"/>
  </r>
  <r>
    <n v="193"/>
    <x v="4"/>
    <x v="13"/>
    <s v="Accrual"/>
    <x v="9"/>
    <m/>
    <s v="Taqadm Albasrah"/>
    <s v="Light equipment rental"/>
    <n v="23344.35428965517"/>
    <s v="N/A"/>
    <s v="N/A"/>
    <s v="N/A"/>
    <s v="Dec"/>
    <n v="2025"/>
  </r>
  <r>
    <n v="194"/>
    <x v="4"/>
    <x v="14"/>
    <s v="Accrual"/>
    <x v="9"/>
    <m/>
    <s v="Taqadm Albasrah"/>
    <s v="Light equipment rental"/>
    <n v="20814.376696551724"/>
    <s v="N/A"/>
    <s v="N/A"/>
    <s v="N/A"/>
    <s v="Dec"/>
    <n v="2025"/>
  </r>
  <r>
    <n v="195"/>
    <x v="4"/>
    <x v="25"/>
    <s v="Accrual"/>
    <x v="9"/>
    <m/>
    <s v="Taqadm Albasrah"/>
    <s v="Light equipment rental"/>
    <n v="1793.1034482758621"/>
    <s v="N/A"/>
    <s v="N/A"/>
    <s v="N/A"/>
    <s v="Dec"/>
    <n v="2025"/>
  </r>
  <r>
    <n v="196"/>
    <x v="4"/>
    <x v="4"/>
    <s v="Accrual"/>
    <x v="9"/>
    <m/>
    <s v="Taqadm Albasrah"/>
    <s v="Light equipment rental"/>
    <n v="1724.1379310344828"/>
    <s v="N/A"/>
    <s v="N/A"/>
    <s v="N/A"/>
    <s v="Dec"/>
    <n v="2025"/>
  </r>
  <r>
    <n v="197"/>
    <x v="3"/>
    <x v="16"/>
    <s v="Accrual"/>
    <x v="9"/>
    <m/>
    <s v="Taqadm Albasrah"/>
    <s v="Light equipment rental"/>
    <n v="13019.151241379312"/>
    <s v="N/A"/>
    <s v="N/A"/>
    <s v="N/A"/>
    <s v="Dec"/>
    <n v="2025"/>
  </r>
  <r>
    <n v="198"/>
    <x v="3"/>
    <x v="29"/>
    <s v="Accrual"/>
    <x v="9"/>
    <m/>
    <s v="Taqadm Albasrah"/>
    <s v="Light equipment rental"/>
    <n v="543.76657931034481"/>
    <s v="N/A"/>
    <s v="N/A"/>
    <s v="N/A"/>
    <s v="Dec"/>
    <n v="2025"/>
  </r>
  <r>
    <n v="199"/>
    <x v="6"/>
    <x v="7"/>
    <s v="Accrual"/>
    <x v="9"/>
    <m/>
    <s v="Border Transportaion / Al Hodod"/>
    <s v="Heavy  equipment rental"/>
    <n v="18465.517200000002"/>
    <s v="N/A"/>
    <s v="N/A"/>
    <s v="N/A"/>
    <s v="Dec"/>
    <n v="2025"/>
  </r>
  <r>
    <n v="200"/>
    <x v="4"/>
    <x v="20"/>
    <s v="Accrual"/>
    <x v="9"/>
    <m/>
    <s v="Border Transportaion / Al Hodod"/>
    <s v="Heavy  equipment rental"/>
    <n v="6366.0477586206898"/>
    <s v="N/A"/>
    <s v="N/A"/>
    <s v="N/A"/>
    <s v="Dec"/>
    <n v="2025"/>
  </r>
  <r>
    <n v="201"/>
    <x v="7"/>
    <x v="9"/>
    <s v="Accrual"/>
    <x v="9"/>
    <m/>
    <s v="Border Transportaion / Al Hodod"/>
    <s v="Heavy  equipment rental"/>
    <n v="509.28382068965522"/>
    <s v="N/A"/>
    <s v="N/A"/>
    <s v="N/A"/>
    <s v="Dec"/>
    <n v="2025"/>
  </r>
  <r>
    <n v="202"/>
    <x v="4"/>
    <x v="10"/>
    <s v="Accrual"/>
    <x v="9"/>
    <m/>
    <s v="Border Transportaion / Al Hodod"/>
    <s v="Heavy  equipment rental"/>
    <n v="6368.1366068965517"/>
    <s v="N/A"/>
    <s v="N/A"/>
    <s v="N/A"/>
    <s v="Dec"/>
    <n v="2025"/>
  </r>
  <r>
    <n v="203"/>
    <x v="1"/>
    <x v="1"/>
    <s v="Accrual"/>
    <x v="9"/>
    <m/>
    <s v="Border Transportaion / Al Hodod"/>
    <s v="Heavy  equipment rental"/>
    <n v="6763.6605724137935"/>
    <s v="N/A"/>
    <s v="N/A"/>
    <s v="N/A"/>
    <s v="Dec"/>
    <n v="2025"/>
  </r>
  <r>
    <n v="204"/>
    <x v="2"/>
    <x v="2"/>
    <s v="Accrual"/>
    <x v="9"/>
    <m/>
    <s v="Border Transportaion / Al Hodod"/>
    <s v="Heavy  equipment rental"/>
    <n v="27083.852875862071"/>
    <s v="N/A"/>
    <s v="N/A"/>
    <s v="N/A"/>
    <s v="Dec"/>
    <n v="2025"/>
  </r>
  <r>
    <n v="205"/>
    <x v="0"/>
    <x v="0"/>
    <s v="Accrual"/>
    <x v="9"/>
    <m/>
    <s v="Border Transportaion / Al Hodod"/>
    <s v="Heavy  equipment rental"/>
    <n v="1293.1034482758621"/>
    <s v="N/A"/>
    <s v="N/A"/>
    <s v="N/A"/>
    <s v="Dec"/>
    <n v="2025"/>
  </r>
  <r>
    <n v="206"/>
    <x v="4"/>
    <x v="14"/>
    <s v="Accrual"/>
    <x v="9"/>
    <m/>
    <s v="Border Transportaion / Al Hodod"/>
    <s v="Heavy  equipment rental"/>
    <n v="26425.232213793104"/>
    <s v="N/A"/>
    <s v="N/A"/>
    <s v="N/A"/>
    <s v="Dec"/>
    <n v="2025"/>
  </r>
  <r>
    <n v="207"/>
    <x v="6"/>
    <x v="7"/>
    <s v="Actual"/>
    <x v="10"/>
    <m/>
    <s v="Petty Cash"/>
    <s v="Petty Cash for CAMP"/>
    <n v="1116.5517241379309"/>
    <s v="IGCC-00211"/>
    <d v="2025-02-12T00:00:00"/>
    <s v="N/A"/>
    <s v="Dec"/>
    <n v="2025"/>
  </r>
  <r>
    <n v="208"/>
    <x v="6"/>
    <x v="7"/>
    <s v="Actual"/>
    <x v="10"/>
    <m/>
    <s v="Petty Cash"/>
    <s v="Petty Cash for CAMP"/>
    <n v="1580"/>
    <s v="IGCC-00212"/>
    <d v="2025-06-12T00:00:00"/>
    <s v="N/A"/>
    <s v="Dec"/>
    <n v="2025"/>
  </r>
  <r>
    <n v="209"/>
    <x v="6"/>
    <x v="7"/>
    <s v="Actual"/>
    <x v="10"/>
    <m/>
    <s v="Petty Cash"/>
    <s v="Petty Cash for CAMP"/>
    <n v="3710.344827586207"/>
    <s v="IGCC00216"/>
    <s v="25/12/2025"/>
    <s v="N/A"/>
    <s v="Dec"/>
    <n v="2025"/>
  </r>
  <r>
    <n v="210"/>
    <x v="6"/>
    <x v="7"/>
    <s v="Actual"/>
    <x v="10"/>
    <m/>
    <s v="Petty Cash"/>
    <s v="Petty Cash for CAMP"/>
    <n v="1966.3793103448277"/>
    <s v="IGCC00213"/>
    <s v="17/12/2025"/>
    <s v="N/A"/>
    <s v="Dec"/>
    <n v="2025"/>
  </r>
  <r>
    <n v="211"/>
    <x v="6"/>
    <x v="7"/>
    <s v="Actual"/>
    <x v="10"/>
    <m/>
    <s v="Petty Cash"/>
    <s v="Petty Cash for CAMP"/>
    <n v="5386.2068965517237"/>
    <s v="##"/>
    <s v="18/12/2025"/>
    <s v="N/A"/>
    <s v="Dec"/>
    <n v="2025"/>
  </r>
  <r>
    <n v="212"/>
    <x v="4"/>
    <x v="8"/>
    <s v="Actual"/>
    <x v="10"/>
    <m/>
    <s v="Petty Cash"/>
    <s v="Petty Cash for CPSs"/>
    <n v="1482.7586206896551"/>
    <s v="##"/>
    <s v="29/10/2025"/>
    <s v="N/A"/>
    <s v="Dec"/>
    <n v="2025"/>
  </r>
  <r>
    <n v="213"/>
    <x v="4"/>
    <x v="8"/>
    <s v="Actual"/>
    <x v="10"/>
    <m/>
    <s v="Petty Cash"/>
    <s v="Gift for CPS05-HSE"/>
    <n v="502.06896551724139"/>
    <s v="##"/>
    <s v="30/12/2025"/>
    <s v="N/A"/>
    <s v="Dec"/>
    <n v="2025"/>
  </r>
  <r>
    <n v="214"/>
    <x v="4"/>
    <x v="8"/>
    <s v="Actual"/>
    <x v="10"/>
    <m/>
    <s v="Petty Cash"/>
    <s v="Petty Cash for CPS05"/>
    <n v="568.9655172413793"/>
    <s v="##"/>
    <s v="25/11/2025"/>
    <s v="N/A"/>
    <s v="Dec"/>
    <n v="2025"/>
  </r>
  <r>
    <n v="215"/>
    <x v="7"/>
    <x v="9"/>
    <s v="Actual"/>
    <x v="10"/>
    <m/>
    <s v="Petty Cash"/>
    <s v="جكر بليت 1.5*6*6ملم عدد2// برماخ 120*12م عدد1"/>
    <n v="1341.3793103448277"/>
    <n v="3646"/>
    <s v="24/11/2024"/>
    <s v="N/A"/>
    <s v="Dec"/>
    <n v="2025"/>
  </r>
  <r>
    <n v="216"/>
    <x v="7"/>
    <x v="9"/>
    <s v="Actual"/>
    <x v="10"/>
    <m/>
    <s v="Petty Cash"/>
    <s v="Consumable tools"/>
    <n v="206.89655172413794"/>
    <n v="583"/>
    <s v="16/11/2024"/>
    <s v="N/A"/>
    <s v="Dec"/>
    <n v="2025"/>
  </r>
  <r>
    <n v="217"/>
    <x v="7"/>
    <x v="21"/>
    <s v="Actual"/>
    <x v="10"/>
    <m/>
    <s v="Petty Cash"/>
    <s v="Petty Cash for EISP"/>
    <n v="789.31034482758616"/>
    <s v="##"/>
    <d v="2025-02-12T00:00:00"/>
    <s v="N/A"/>
    <s v="Dec"/>
    <n v="2025"/>
  </r>
  <r>
    <n v="218"/>
    <x v="4"/>
    <x v="22"/>
    <s v="Actual"/>
    <x v="10"/>
    <m/>
    <s v="Petty Cash"/>
    <s v="Petty Cash for FFF"/>
    <n v="388.62068965517244"/>
    <s v="##"/>
    <d v="2025-04-12T00:00:00"/>
    <s v="N/A"/>
    <s v="Dec"/>
    <n v="2025"/>
  </r>
  <r>
    <n v="219"/>
    <x v="4"/>
    <x v="22"/>
    <s v="Actual"/>
    <x v="10"/>
    <m/>
    <s v="Petty Cash"/>
    <s v="Petty Cash for FFF"/>
    <n v="173.10344827586206"/>
    <s v="##"/>
    <s v="20/12/2025"/>
    <s v="N/A"/>
    <s v="Dec"/>
    <n v="2025"/>
  </r>
  <r>
    <n v="220"/>
    <x v="4"/>
    <x v="10"/>
    <s v="Actual"/>
    <x v="10"/>
    <m/>
    <s v="Petty Cash"/>
    <s v="Petty Cash for FL - ROO"/>
    <n v="1554.4827586206898"/>
    <s v="##"/>
    <d v="2025-12-11T00:00:00"/>
    <s v="N/A"/>
    <s v="Dec"/>
    <n v="2025"/>
  </r>
  <r>
    <n v="221"/>
    <x v="4"/>
    <x v="10"/>
    <s v="Actual"/>
    <x v="10"/>
    <m/>
    <s v="Petty Cash"/>
    <s v="Petty Cash for FL - ROO"/>
    <n v="1181.7241379310344"/>
    <s v="##"/>
    <d v="2025-11-12T00:00:00"/>
    <s v="N/A"/>
    <s v="Dec"/>
    <n v="2025"/>
  </r>
  <r>
    <n v="222"/>
    <x v="9"/>
    <x v="31"/>
    <s v="Actual"/>
    <x v="10"/>
    <m/>
    <s v="Petty Cash"/>
    <s v="Petty Cash for Erbil - KRK"/>
    <n v="1679.3103448275863"/>
    <s v="##"/>
    <s v="24/12/2025"/>
    <s v="N/A"/>
    <s v="Dec"/>
    <n v="2025"/>
  </r>
  <r>
    <n v="223"/>
    <x v="1"/>
    <x v="1"/>
    <s v="Actual"/>
    <x v="10"/>
    <m/>
    <s v="Petty Cash"/>
    <s v="Petty Cash for ROOG"/>
    <n v="431.0344827586207"/>
    <s v="##"/>
    <d v="2025-03-11T00:00:00"/>
    <s v="N/A"/>
    <s v="Dec"/>
    <n v="2025"/>
  </r>
  <r>
    <n v="224"/>
    <x v="1"/>
    <x v="1"/>
    <s v="Actual"/>
    <x v="10"/>
    <m/>
    <s v="Petty Cash"/>
    <s v="Petty Cash for ROOG"/>
    <n v="1244.8275862068965"/>
    <s v="##"/>
    <s v="25/11/2025"/>
    <s v="N/A"/>
    <s v="Dec"/>
    <n v="2025"/>
  </r>
  <r>
    <n v="225"/>
    <x v="1"/>
    <x v="1"/>
    <s v="Actual"/>
    <x v="10"/>
    <m/>
    <s v="Petty Cash"/>
    <s v="Petty Cash for ROOG"/>
    <n v="206.89655172413794"/>
    <s v="##"/>
    <s v="24/11/2025"/>
    <s v="N/A"/>
    <s v="Dec"/>
    <n v="2025"/>
  </r>
  <r>
    <n v="226"/>
    <x v="2"/>
    <x v="2"/>
    <s v="Actual"/>
    <x v="10"/>
    <m/>
    <s v="Petty Cash"/>
    <s v="رود ماركنك ابيض 20 لتر عدد 2"/>
    <n v="315.86206896551727"/>
    <n v="30566"/>
    <d v="2025-01-12T00:00:00"/>
    <s v="N/A"/>
    <s v="Dec"/>
    <n v="2025"/>
  </r>
  <r>
    <n v="227"/>
    <x v="2"/>
    <x v="2"/>
    <s v="Actual"/>
    <x v="10"/>
    <m/>
    <s v="Petty Cash"/>
    <s v="لوحات تعريفية عدد31"/>
    <n v="1158.6206896551723"/>
    <n v="2442"/>
    <d v="2025-07-12T00:00:00"/>
    <s v="N/A"/>
    <s v="Dec"/>
    <n v="2025"/>
  </r>
  <r>
    <n v="228"/>
    <x v="2"/>
    <x v="2"/>
    <s v="Actual"/>
    <x v="10"/>
    <m/>
    <s v="Petty Cash"/>
    <s v="دوشك نفر عدد 15 الى الحراس"/>
    <n v="362.06896551724139"/>
    <n v="27"/>
    <s v="28/12/2025"/>
    <s v="N/A"/>
    <s v="Dec"/>
    <n v="2025"/>
  </r>
  <r>
    <n v="229"/>
    <x v="2"/>
    <x v="2"/>
    <s v="Actual"/>
    <x v="10"/>
    <m/>
    <s v="Petty Cash"/>
    <s v="هارد توب base 2 XP مع المصلب 20 لتر عدد1"/>
    <n v="310.34482758620692"/>
    <n v="32380"/>
    <s v="20/12/2025"/>
    <s v="N/A"/>
    <s v="Dec"/>
    <n v="2025"/>
  </r>
  <r>
    <n v="230"/>
    <x v="2"/>
    <x v="2"/>
    <s v="Actual"/>
    <x v="10"/>
    <m/>
    <s v="Petty Cash"/>
    <s v="Petty Cash for TOTAL - HSE"/>
    <n v="375.86206896551727"/>
    <s v="##"/>
    <s v="25/11/2025"/>
    <s v="N/A"/>
    <s v="Dec"/>
    <n v="2025"/>
  </r>
  <r>
    <n v="231"/>
    <x v="2"/>
    <x v="2"/>
    <s v="Actual"/>
    <x v="10"/>
    <m/>
    <s v="Petty Cash"/>
    <s v="Petty Cash for Total"/>
    <n v="1545.1724137931035"/>
    <s v="##"/>
    <s v="13/12/2025"/>
    <s v="N/A"/>
    <s v="Dec"/>
    <n v="2025"/>
  </r>
  <r>
    <n v="232"/>
    <x v="2"/>
    <x v="2"/>
    <s v="Actual"/>
    <x v="10"/>
    <m/>
    <s v="Petty Cash"/>
    <s v="Petty Cash for Total"/>
    <n v="1321.3793103448277"/>
    <s v="##"/>
    <s v="27/12/2025"/>
    <s v="N/A"/>
    <s v="Dec"/>
    <n v="2025"/>
  </r>
  <r>
    <n v="233"/>
    <x v="2"/>
    <x v="2"/>
    <s v="Actual"/>
    <x v="10"/>
    <m/>
    <s v="Petty Cash"/>
    <s v="Petty Cash for Total-FL"/>
    <n v="867.24137931034488"/>
    <s v="##"/>
    <s v="20/12/2025"/>
    <s v="N/A"/>
    <s v="Dec"/>
    <n v="2025"/>
  </r>
  <r>
    <n v="234"/>
    <x v="2"/>
    <x v="2"/>
    <s v="Actual"/>
    <x v="10"/>
    <m/>
    <s v="Petty Cash"/>
    <s v="Petty Cash for Total"/>
    <n v="1479.3103448275863"/>
    <s v="##"/>
    <s v="21/12/2025"/>
    <s v="N/A"/>
    <s v="Dec"/>
    <n v="2025"/>
  </r>
  <r>
    <n v="235"/>
    <x v="0"/>
    <x v="0"/>
    <s v="Actual"/>
    <x v="10"/>
    <m/>
    <s v="Petty Cash"/>
    <s v="كراسي مكتب عدد4"/>
    <n v="275.86206896551727"/>
    <s v="##"/>
    <s v="22/11/2025"/>
    <s v="N/A"/>
    <s v="Dec"/>
    <n v="2025"/>
  </r>
  <r>
    <n v="236"/>
    <x v="3"/>
    <x v="3"/>
    <s v="Actual"/>
    <x v="10"/>
    <m/>
    <s v="Petty Cash"/>
    <s v="Petty Cash for KAZ"/>
    <n v="649.65517241379314"/>
    <s v="##"/>
    <d v="2025-10-12T00:00:00"/>
    <s v="N/A"/>
    <s v="Dec"/>
    <n v="2025"/>
  </r>
  <r>
    <n v="237"/>
    <x v="3"/>
    <x v="3"/>
    <s v="Actual"/>
    <x v="10"/>
    <m/>
    <s v="Petty Cash"/>
    <s v="OMEG Hot Dip Galvanized Pipe Clamp 2&quot; x 80ea"/>
    <n v="551.72413793103453"/>
    <n v="7019"/>
    <d v="2025-01-11T00:00:00"/>
    <s v="N/A"/>
    <s v="Dec"/>
    <n v="2025"/>
  </r>
  <r>
    <n v="238"/>
    <x v="3"/>
    <x v="3"/>
    <s v="Actual"/>
    <x v="10"/>
    <m/>
    <s v="Petty Cash"/>
    <s v="Petty Cash for BGC"/>
    <n v="431.0344827586207"/>
    <s v="##"/>
    <s v="25/12/2025"/>
    <s v="N/A"/>
    <s v="Dec"/>
    <n v="2025"/>
  </r>
  <r>
    <n v="239"/>
    <x v="3"/>
    <x v="3"/>
    <s v="Actual"/>
    <x v="10"/>
    <m/>
    <s v="Petty Cash"/>
    <s v="Gift for KAZ-HSE"/>
    <n v="1034.4827586206898"/>
    <s v="##"/>
    <d v="2025-04-12T00:00:00"/>
    <s v="N/A"/>
    <s v="Dec"/>
    <n v="2025"/>
  </r>
  <r>
    <n v="240"/>
    <x v="4"/>
    <x v="27"/>
    <s v="Actual"/>
    <x v="10"/>
    <m/>
    <s v="Petty Cash"/>
    <s v="Petty Cash for KBR"/>
    <n v="717.58620689655174"/>
    <s v="##"/>
    <d v="2025-08-12T00:00:00"/>
    <s v="N/A"/>
    <s v="Dec"/>
    <n v="2025"/>
  </r>
  <r>
    <n v="241"/>
    <x v="8"/>
    <x v="17"/>
    <s v="Actual"/>
    <x v="10"/>
    <m/>
    <s v="Petty Cash"/>
    <s v="Petty Cash for Mitash"/>
    <n v="931.0344827586207"/>
    <s v="##"/>
    <s v="30/11/2025"/>
    <s v="N/A"/>
    <s v="Dec"/>
    <n v="2025"/>
  </r>
  <r>
    <n v="242"/>
    <x v="4"/>
    <x v="13"/>
    <s v="Actual"/>
    <x v="10"/>
    <m/>
    <s v="Petty Cash"/>
    <s v="Petty Cash for OHTL"/>
    <n v="371.37931034482756"/>
    <s v="##"/>
    <d v="2025-04-12T00:00:00"/>
    <s v="N/A"/>
    <s v="Dec"/>
    <n v="2025"/>
  </r>
  <r>
    <n v="243"/>
    <x v="4"/>
    <x v="13"/>
    <s v="Actual"/>
    <x v="10"/>
    <m/>
    <s v="Petty Cash"/>
    <s v="Petty Cash for OHTL"/>
    <n v="549.65517241379314"/>
    <s v="##"/>
    <s v="20/12/2025"/>
    <s v="N/A"/>
    <s v="Dec"/>
    <n v="2025"/>
  </r>
  <r>
    <n v="244"/>
    <x v="4"/>
    <x v="14"/>
    <s v="Actual"/>
    <x v="10"/>
    <m/>
    <s v="Petty Cash"/>
    <s v="Petty Cash for PWRI2"/>
    <n v="1035.1724137931035"/>
    <s v="##"/>
    <d v="2025-03-12T00:00:00"/>
    <s v="N/A"/>
    <s v="Dec"/>
    <n v="2025"/>
  </r>
  <r>
    <n v="245"/>
    <x v="4"/>
    <x v="14"/>
    <s v="Actual"/>
    <x v="10"/>
    <m/>
    <s v="Petty Cash"/>
    <s v="Petty Cash for PWRI02"/>
    <n v="1013.7931034482758"/>
    <s v="##"/>
    <s v="29/12/2025"/>
    <s v="N/A"/>
    <s v="Dec"/>
    <n v="2025"/>
  </r>
  <r>
    <n v="246"/>
    <x v="4"/>
    <x v="4"/>
    <s v="Actual"/>
    <x v="10"/>
    <m/>
    <s v="Petty Cash"/>
    <s v="Petty Cash for QA"/>
    <n v="820"/>
    <s v="##"/>
    <d v="2025-03-12T00:00:00"/>
    <s v="N/A"/>
    <s v="Dec"/>
    <n v="2025"/>
  </r>
  <r>
    <n v="247"/>
    <x v="3"/>
    <x v="26"/>
    <s v="Actual"/>
    <x v="10"/>
    <m/>
    <s v="Petty Cash"/>
    <s v="Petty Cash for NGL"/>
    <n v="935.17241379310349"/>
    <s v="##"/>
    <s v="30/11/2025"/>
    <s v="N/A"/>
    <s v="Dec"/>
    <n v="2025"/>
  </r>
  <r>
    <n v="248"/>
    <x v="3"/>
    <x v="16"/>
    <s v="Actual"/>
    <x v="10"/>
    <m/>
    <s v="Petty Cash"/>
    <s v="Petty Cash for UQ"/>
    <n v="2750.344827586207"/>
    <s v="##"/>
    <s v="26/11/2025"/>
    <s v="N/A"/>
    <s v="Dec"/>
    <n v="2025"/>
  </r>
  <r>
    <n v="249"/>
    <x v="3"/>
    <x v="16"/>
    <s v="Actual"/>
    <x v="10"/>
    <m/>
    <s v="Petty Cash"/>
    <s v="Petty Cash for CPSs"/>
    <n v="1384.8275862068965"/>
    <s v="##"/>
    <s v="23/11/2025"/>
    <s v="N/A"/>
    <s v="Dec"/>
    <n v="2025"/>
  </r>
  <r>
    <n v="250"/>
    <x v="3"/>
    <x v="16"/>
    <s v="Actual"/>
    <x v="10"/>
    <m/>
    <s v="Petty Cash"/>
    <s v="Petty Cash for UQ"/>
    <n v="1453.7931034482758"/>
    <s v="##"/>
    <d v="2025-03-12T00:00:00"/>
    <s v="N/A"/>
    <s v="Dec"/>
    <n v="2025"/>
  </r>
  <r>
    <n v="251"/>
    <x v="3"/>
    <x v="16"/>
    <s v="Actual"/>
    <x v="10"/>
    <m/>
    <s v="Petty Cash"/>
    <s v="لوحات تعريفية عدد15"/>
    <n v="258.62068965517244"/>
    <n v="2341"/>
    <d v="2025-07-12T00:00:00"/>
    <s v="N/A"/>
    <s v="Dec"/>
    <n v="2025"/>
  </r>
  <r>
    <n v="252"/>
    <x v="3"/>
    <x v="16"/>
    <s v="Actual"/>
    <x v="10"/>
    <m/>
    <s v="Petty Cash"/>
    <s v="Petty Cash for UQ"/>
    <n v="2228.9655172413795"/>
    <s v="##"/>
    <s v="14/12/2025"/>
    <s v="N/A"/>
    <s v="Dec"/>
    <n v="2025"/>
  </r>
  <r>
    <n v="253"/>
    <x v="4"/>
    <x v="32"/>
    <s v="Actual"/>
    <x v="10"/>
    <m/>
    <s v="Petty Cash"/>
    <s v="Petty Cash for WOD"/>
    <n v="2535.8620689655172"/>
    <s v="##"/>
    <s v="15/12/2025"/>
    <s v="N/A"/>
    <s v="Dec"/>
    <n v="2025"/>
  </r>
  <r>
    <n v="254"/>
    <x v="6"/>
    <x v="7"/>
    <s v="Actual"/>
    <x v="10"/>
    <m/>
    <s v="Petty Cash"/>
    <s v="Food &amp; Meal"/>
    <n v="189.65517241379311"/>
    <s v="##"/>
    <d v="2025-10-12T00:00:00"/>
    <s v="N/A"/>
    <s v="Dec"/>
    <n v="2025"/>
  </r>
  <r>
    <n v="255"/>
    <x v="6"/>
    <x v="7"/>
    <s v="Actual"/>
    <x v="10"/>
    <m/>
    <s v="Petty Cash"/>
    <s v="Food &amp; Meal for CAMP"/>
    <n v="546.20689655172418"/>
    <s v="##"/>
    <s v="17/12/2025"/>
    <s v="N/A"/>
    <s v="Dec"/>
    <n v="2025"/>
  </r>
  <r>
    <n v="256"/>
    <x v="2"/>
    <x v="2"/>
    <s v="Actual"/>
    <x v="10"/>
    <m/>
    <s v="Petty Cash"/>
    <s v="Food &amp; Meal fot TOTAL-FL"/>
    <n v="1005.8620689655172"/>
    <s v="##"/>
    <s v="26/11/2025"/>
    <s v="N/A"/>
    <s v="Dec"/>
    <n v="2025"/>
  </r>
  <r>
    <n v="257"/>
    <x v="2"/>
    <x v="2"/>
    <s v="Actual"/>
    <x v="10"/>
    <m/>
    <s v="Petty Cash"/>
    <s v="Food &amp; Meal fot TOTAL-FL"/>
    <n v="493.44827586206895"/>
    <s v="##"/>
    <s v="30/11/2025"/>
    <s v="N/A"/>
    <s v="Dec"/>
    <n v="2025"/>
  </r>
  <r>
    <n v="258"/>
    <x v="2"/>
    <x v="2"/>
    <s v="Actual"/>
    <x v="10"/>
    <m/>
    <s v="Petty Cash"/>
    <s v="Food &amp; Meal for TOTAL-FL ( 28/10/2025 - 17/11/2025)"/>
    <n v="3955.1724137931033"/>
    <s v="##"/>
    <d v="2025-09-12T00:00:00"/>
    <s v="N/A"/>
    <s v="Dec"/>
    <n v="2025"/>
  </r>
  <r>
    <n v="259"/>
    <x v="2"/>
    <x v="2"/>
    <s v="Actual"/>
    <x v="10"/>
    <m/>
    <s v="Petty Cash"/>
    <s v="Food &amp; Meal fot TOTAL-FL"/>
    <n v="1096.8965517241379"/>
    <s v="##"/>
    <d v="2025-03-12T00:00:00"/>
    <s v="N/A"/>
    <s v="Dec"/>
    <n v="2025"/>
  </r>
  <r>
    <n v="260"/>
    <x v="2"/>
    <x v="2"/>
    <s v="Actual"/>
    <x v="10"/>
    <m/>
    <s v="Petty Cash"/>
    <s v="Food &amp; Meal fot TOTAL-FL"/>
    <n v="355.17241379310343"/>
    <s v="##"/>
    <d v="2025-06-12T00:00:00"/>
    <s v="N/A"/>
    <s v="Dec"/>
    <n v="2025"/>
  </r>
  <r>
    <n v="261"/>
    <x v="2"/>
    <x v="2"/>
    <s v="Actual"/>
    <x v="10"/>
    <m/>
    <s v="Petty Cash"/>
    <s v="Food &amp; Meal fot TOTAL-FL"/>
    <n v="1281.0344827586207"/>
    <s v="##"/>
    <d v="2025-11-12T00:00:00"/>
    <s v="N/A"/>
    <s v="Dec"/>
    <n v="2025"/>
  </r>
  <r>
    <n v="262"/>
    <x v="2"/>
    <x v="2"/>
    <s v="Actual"/>
    <x v="10"/>
    <m/>
    <s v="Petty Cash"/>
    <s v="Petty Cash for TOTAL"/>
    <n v="1541.3793103448277"/>
    <s v="##"/>
    <s v="25/11/2025"/>
    <s v="N/A"/>
    <s v="Dec"/>
    <n v="2025"/>
  </r>
  <r>
    <n v="263"/>
    <x v="2"/>
    <x v="2"/>
    <s v="Actual"/>
    <x v="10"/>
    <m/>
    <s v="Petty Cash"/>
    <s v="Petty Cash for TOTAL - HSE"/>
    <n v="484.13793103448273"/>
    <s v="##"/>
    <d v="2025-11-12T00:00:00"/>
    <s v="N/A"/>
    <s v="Dec"/>
    <n v="2025"/>
  </r>
  <r>
    <n v="264"/>
    <x v="2"/>
    <x v="2"/>
    <s v="Actual"/>
    <x v="10"/>
    <m/>
    <s v="Petty Cash"/>
    <s v="Petty Cash for TOTAL"/>
    <n v="1712.7586206896551"/>
    <s v="##"/>
    <d v="2025-06-12T00:00:00"/>
    <s v="N/A"/>
    <s v="Dec"/>
    <n v="2025"/>
  </r>
  <r>
    <n v="265"/>
    <x v="2"/>
    <x v="2"/>
    <s v="Actual"/>
    <x v="10"/>
    <m/>
    <s v="Petty Cash"/>
    <s v="Food &amp; Meal for TOTAL-FL"/>
    <n v="1204.8275862068965"/>
    <s v="##"/>
    <s v="23/12/2025"/>
    <s v="N/A"/>
    <s v="Dec"/>
    <n v="2025"/>
  </r>
  <r>
    <n v="266"/>
    <x v="2"/>
    <x v="2"/>
    <s v="Actual"/>
    <x v="10"/>
    <m/>
    <s v="Petty Cash"/>
    <s v="Food &amp; Meal for TOTAL-FL"/>
    <n v="1347.5862068965516"/>
    <s v="##"/>
    <s v="16/12/2025"/>
    <s v="N/A"/>
    <s v="Dec"/>
    <n v="2025"/>
  </r>
  <r>
    <n v="267"/>
    <x v="2"/>
    <x v="2"/>
    <s v="Actual"/>
    <x v="10"/>
    <m/>
    <s v="Petty Cash"/>
    <s v="Food &amp; Meal for Total-FL"/>
    <n v="1270"/>
    <s v="##"/>
    <s v="29/12/2025"/>
    <s v="N/A"/>
    <s v="Dec"/>
    <n v="2025"/>
  </r>
  <r>
    <n v="268"/>
    <x v="4"/>
    <x v="14"/>
    <s v="Actual"/>
    <x v="10"/>
    <m/>
    <s v="Abdullah Gallery"/>
    <s v="Materials/Safety"/>
    <n v="5531.0344827586205"/>
    <s v="0623"/>
    <d v="2025-12-01T00:00:00"/>
    <n v="2025404495"/>
    <s v="Dec"/>
    <n v="2025"/>
  </r>
  <r>
    <n v="269"/>
    <x v="4"/>
    <x v="13"/>
    <s v="Actual"/>
    <x v="10"/>
    <m/>
    <s v="Abdullah Gallery"/>
    <s v="Materials/Safety"/>
    <n v="2758.6206896551726"/>
    <s v="0638"/>
    <d v="2025-12-16T00:00:00"/>
    <n v="2025404568"/>
    <s v="Dec"/>
    <n v="2025"/>
  </r>
  <r>
    <n v="270"/>
    <x v="6"/>
    <x v="33"/>
    <s v="Actual"/>
    <x v="10"/>
    <m/>
    <s v="Advance Welding Solutions Co"/>
    <s v="Materials/wire"/>
    <n v="5862.0689655172409"/>
    <s v="02657"/>
    <d v="2025-12-02T00:00:00"/>
    <n v="2025404606"/>
    <s v="Dec"/>
    <n v="2025"/>
  </r>
  <r>
    <n v="271"/>
    <x v="6"/>
    <x v="33"/>
    <s v="Actual"/>
    <x v="10"/>
    <m/>
    <s v="Advance Welding Solutions Co"/>
    <s v="Materials/wire"/>
    <n v="413.79310344827587"/>
    <s v="02691"/>
    <d v="2025-12-14T00:00:00"/>
    <n v="2025404753"/>
    <s v="Dec"/>
    <n v="2025"/>
  </r>
  <r>
    <n v="272"/>
    <x v="6"/>
    <x v="33"/>
    <s v="Actual"/>
    <x v="10"/>
    <m/>
    <s v="AL ADWA OFFICE"/>
    <s v="Materials"/>
    <n v="5070"/>
    <s v="#"/>
    <d v="2025-12-13T00:00:00"/>
    <n v="2025404692"/>
    <s v="Dec"/>
    <n v="2025"/>
  </r>
  <r>
    <n v="273"/>
    <x v="4"/>
    <x v="13"/>
    <s v="Actual"/>
    <x v="10"/>
    <m/>
    <s v="AL JUTHOOR WORKSHOP"/>
    <s v="Materials"/>
    <n v="786.20689655172418"/>
    <s v="000687"/>
    <d v="2025-12-15T00:00:00"/>
    <n v="2026400001"/>
    <s v="Dec"/>
    <n v="2025"/>
  </r>
  <r>
    <n v="274"/>
    <x v="3"/>
    <x v="16"/>
    <s v="Actual"/>
    <x v="10"/>
    <m/>
    <s v="AL MUSTAFA INDUSTRIAL IRON TRADING"/>
    <s v="Materials/Iron"/>
    <n v="2452.8000000000002"/>
    <s v="420"/>
    <d v="2025-12-08T00:00:00"/>
    <n v="2025404428"/>
    <s v="Dec"/>
    <n v="2025"/>
  </r>
  <r>
    <n v="275"/>
    <x v="3"/>
    <x v="16"/>
    <s v="Actual"/>
    <x v="10"/>
    <m/>
    <s v="AL MUSTAFA INDUSTRIAL IRON TRADING"/>
    <s v="Materials/Iron"/>
    <n v="378"/>
    <s v="422"/>
    <d v="2025-12-03T00:00:00"/>
    <n v="2025404465"/>
    <s v="Dec"/>
    <n v="2025"/>
  </r>
  <r>
    <n v="276"/>
    <x v="3"/>
    <x v="16"/>
    <s v="Actual"/>
    <x v="10"/>
    <m/>
    <s v="AL MUSTAFA INDUSTRIAL IRON TRADING"/>
    <s v="Materials/Iron"/>
    <n v="1550"/>
    <s v="414"/>
    <d v="2025-12-13T00:00:00"/>
    <n v="2025404421"/>
    <s v="Dec"/>
    <n v="2025"/>
  </r>
  <r>
    <n v="277"/>
    <x v="4"/>
    <x v="14"/>
    <s v="Actual"/>
    <x v="10"/>
    <m/>
    <s v="AL MUSTAFA INDUSTRIAL IRON TRADING"/>
    <s v="Materials/Iron"/>
    <n v="26350"/>
    <s v="416"/>
    <d v="2025-12-14T00:00:00"/>
    <n v="2025404296"/>
    <s v="Dec"/>
    <n v="2025"/>
  </r>
  <r>
    <n v="278"/>
    <x v="4"/>
    <x v="14"/>
    <s v="Actual"/>
    <x v="10"/>
    <m/>
    <s v="AL MUSTAFA INDUSTRIAL IRON TRADING"/>
    <s v="Materials/Iron"/>
    <n v="556.6"/>
    <s v="418"/>
    <d v="2025-12-13T00:00:00"/>
    <n v="2025404436"/>
    <s v="Dec"/>
    <n v="2025"/>
  </r>
  <r>
    <n v="279"/>
    <x v="4"/>
    <x v="14"/>
    <s v="Actual"/>
    <x v="10"/>
    <m/>
    <s v="AL MUSTAFA INDUSTRIAL IRON TRADING"/>
    <s v="Materials/Iron"/>
    <n v="1215"/>
    <s v="424"/>
    <d v="2025-12-13T00:00:00"/>
    <n v="2025404504"/>
    <s v="Dec"/>
    <n v="2025"/>
  </r>
  <r>
    <n v="280"/>
    <x v="2"/>
    <x v="2"/>
    <s v="Actual"/>
    <x v="10"/>
    <m/>
    <s v="AL MUSTAFA INDUSTRIAL IRON TRADING"/>
    <s v="Materials/Iron"/>
    <n v="6494.7"/>
    <s v="428"/>
    <d v="2025-12-13T00:00:00"/>
    <n v="2025404544"/>
    <s v="Dec"/>
    <n v="2025"/>
  </r>
  <r>
    <n v="281"/>
    <x v="2"/>
    <x v="2"/>
    <s v="Actual"/>
    <x v="10"/>
    <m/>
    <s v="AL MUSTAFA INDUSTRIAL IRON TRADING"/>
    <s v="Materials/Iron"/>
    <n v="5699.4"/>
    <s v="426"/>
    <d v="2025-12-13T00:00:00"/>
    <n v="2025404543"/>
    <s v="Dec"/>
    <n v="2025"/>
  </r>
  <r>
    <n v="282"/>
    <x v="6"/>
    <x v="33"/>
    <s v="Actual"/>
    <x v="10"/>
    <m/>
    <s v="AL MUSTAFA INDUSTRIAL IRON TRADING"/>
    <s v="Materials/Iron"/>
    <n v="742.3"/>
    <s v="442"/>
    <d v="2025-12-24T00:00:00"/>
    <n v="2025404752"/>
    <s v="Dec"/>
    <n v="2025"/>
  </r>
  <r>
    <n v="283"/>
    <x v="2"/>
    <x v="2"/>
    <s v="Actual"/>
    <x v="10"/>
    <m/>
    <s v="AL MUSTAFA INDUSTRIAL IRON TRADING"/>
    <s v="Materials/Iron"/>
    <n v="33820"/>
    <s v="452"/>
    <d v="2025-12-28T00:00:00"/>
    <n v="2025404788"/>
    <s v="Dec"/>
    <n v="2025"/>
  </r>
  <r>
    <n v="284"/>
    <x v="4"/>
    <x v="14"/>
    <s v="Actual"/>
    <x v="10"/>
    <m/>
    <s v="AL MUSTAFA INDUSTRIAL IRON TRADING"/>
    <s v="Materials/Iron"/>
    <n v="763.7"/>
    <s v="444"/>
    <d v="2025-12-31T00:00:00"/>
    <n v="2025404780"/>
    <s v="Dec"/>
    <n v="2025"/>
  </r>
  <r>
    <n v="285"/>
    <x v="7"/>
    <x v="9"/>
    <s v="Actual"/>
    <x v="10"/>
    <m/>
    <s v="AL MUSTAFA INDUSTRIAL IRON TRADING"/>
    <s v="Materials/Iron"/>
    <n v="1591.4"/>
    <s v="462"/>
    <d v="2025-12-31T00:00:00"/>
    <n v="2025404828"/>
    <s v="Dec"/>
    <n v="2025"/>
  </r>
  <r>
    <n v="286"/>
    <x v="2"/>
    <x v="2"/>
    <s v="Actual"/>
    <x v="10"/>
    <m/>
    <s v="AL MUSTAFA INDUSTRIAL IRON TRADING"/>
    <s v="Materials/Iron"/>
    <n v="12855.9"/>
    <s v="432"/>
    <d v="2025-12-17T00:00:00"/>
    <n v="2025404554"/>
    <s v="Dec"/>
    <n v="2025"/>
  </r>
  <r>
    <n v="287"/>
    <x v="3"/>
    <x v="3"/>
    <s v="Actual"/>
    <x v="10"/>
    <m/>
    <s v="AL MUSTAFA INDUSTRIAL IRON TRADING"/>
    <s v="Materials/Iron"/>
    <n v="7750"/>
    <s v="448"/>
    <d v="2026-01-03T00:00:00"/>
    <n v="2025404776"/>
    <s v="Dec"/>
    <n v="2025"/>
  </r>
  <r>
    <n v="288"/>
    <x v="3"/>
    <x v="6"/>
    <s v="Actual"/>
    <x v="10"/>
    <m/>
    <s v="AL MUSTAFA INDUSTRIAL IRON TRADING"/>
    <s v="Materials/Iron"/>
    <n v="385.8"/>
    <s v="438"/>
    <d v="2025-12-28T00:00:00"/>
    <n v="2025404719"/>
    <s v="Dec"/>
    <n v="2025"/>
  </r>
  <r>
    <n v="289"/>
    <x v="2"/>
    <x v="2"/>
    <s v="Actual"/>
    <x v="10"/>
    <m/>
    <s v="AL MUSTAFA INDUSTRIAL IRON TRADING"/>
    <s v="Materials/Iron"/>
    <n v="3520.2"/>
    <s v="440"/>
    <d v="2026-01-08T00:00:00"/>
    <n v="2025404690"/>
    <s v="Dec"/>
    <n v="2025"/>
  </r>
  <r>
    <n v="290"/>
    <x v="4"/>
    <x v="13"/>
    <s v="Actual"/>
    <x v="10"/>
    <m/>
    <s v="AL MUSTAFA INDUSTRIAL IRON TRADING"/>
    <s v="Materials/Iron"/>
    <n v="24637.5"/>
    <s v="450"/>
    <d v="2026-01-08T00:00:00"/>
    <n v="2025404787"/>
    <s v="Dec"/>
    <n v="2025"/>
  </r>
  <r>
    <n v="291"/>
    <x v="4"/>
    <x v="20"/>
    <s v="Actual"/>
    <x v="10"/>
    <m/>
    <s v="Al Narges Company for Pipes"/>
    <s v="Materials/PIPES"/>
    <n v="1965.5172413793102"/>
    <s v="9776"/>
    <d v="2025-12-13T00:00:00"/>
    <n v="2025404511"/>
    <s v="Dec"/>
    <n v="2025"/>
  </r>
  <r>
    <n v="292"/>
    <x v="7"/>
    <x v="9"/>
    <s v="Actual"/>
    <x v="10"/>
    <m/>
    <s v="AL SADIQ FURNITURE GALLERY"/>
    <s v="Materials"/>
    <n v="1793.1034482758621"/>
    <s v="0003803"/>
    <d v="2025-12-08T00:00:00"/>
    <n v="2025404509"/>
    <s v="Dec"/>
    <n v="2025"/>
  </r>
  <r>
    <n v="293"/>
    <x v="3"/>
    <x v="16"/>
    <s v="Actual"/>
    <x v="10"/>
    <m/>
    <s v="ALDOLPHIN CO"/>
    <s v="Materials"/>
    <n v="13670"/>
    <s v="8637"/>
    <d v="2025-12-04T00:00:00"/>
    <n v="2025404426"/>
    <s v="Dec"/>
    <n v="2025"/>
  </r>
  <r>
    <n v="294"/>
    <x v="2"/>
    <x v="2"/>
    <s v="Actual"/>
    <x v="10"/>
    <m/>
    <s v="Al-Ghadeer Print"/>
    <s v="Materials"/>
    <n v="517.24137931034488"/>
    <s v="0385"/>
    <d v="2025-11-30T00:00:00"/>
    <n v="2025404541"/>
    <s v="Dec"/>
    <n v="2025"/>
  </r>
  <r>
    <n v="295"/>
    <x v="6"/>
    <x v="33"/>
    <s v="Actual"/>
    <x v="10"/>
    <m/>
    <s v="Al-Ghadeer Print"/>
    <s v="Materials"/>
    <n v="110.34482758620689"/>
    <s v="0396"/>
    <d v="2025-12-29T00:00:00"/>
    <n v="2025404838"/>
    <s v="Dec"/>
    <n v="2025"/>
  </r>
  <r>
    <n v="296"/>
    <x v="3"/>
    <x v="3"/>
    <s v="Actual"/>
    <x v="10"/>
    <m/>
    <s v="Al-Ghadeer Print"/>
    <s v="Materials"/>
    <n v="44.137931034482762"/>
    <s v="0389"/>
    <d v="2025-12-11T00:00:00"/>
    <n v="2026400013"/>
    <s v="Dec"/>
    <n v="2025"/>
  </r>
  <r>
    <n v="297"/>
    <x v="6"/>
    <x v="7"/>
    <s v="Actual"/>
    <x v="10"/>
    <m/>
    <s v="Al-Ghader Gallary"/>
    <s v="Materials"/>
    <n v="6551.7241379310344"/>
    <s v="3012"/>
    <d v="2025-12-01T00:00:00"/>
    <n v="2025404499"/>
    <s v="Dec"/>
    <n v="2025"/>
  </r>
  <r>
    <n v="298"/>
    <x v="6"/>
    <x v="7"/>
    <s v="Actual"/>
    <x v="10"/>
    <m/>
    <s v="Al-Janaeen Al-Mualaka for Water"/>
    <s v="Materials/Water"/>
    <n v="6670.3448275862065"/>
    <s v="3142"/>
    <d v="2025-12-08T00:00:00"/>
    <n v="2025404791"/>
    <s v="Dec"/>
    <n v="2025"/>
  </r>
  <r>
    <n v="299"/>
    <x v="2"/>
    <x v="2"/>
    <s v="Actual"/>
    <x v="10"/>
    <m/>
    <s v="Al-Janaeen Al-Mualaka for Water"/>
    <s v="Materials/Water"/>
    <n v="5594.4827586206893"/>
    <s v="3124"/>
    <d v="2025-12-06T00:00:00"/>
    <n v="2025404357"/>
    <s v="Dec"/>
    <n v="2025"/>
  </r>
  <r>
    <n v="300"/>
    <x v="6"/>
    <x v="7"/>
    <s v="Actual"/>
    <x v="10"/>
    <m/>
    <s v="Al-Janaeen Al-Mualaka for Water"/>
    <s v="Materials/Water"/>
    <n v="5594.4827586206893"/>
    <s v="3080"/>
    <d v="2025-11-30T00:00:00"/>
    <n v="2025404497"/>
    <s v="Dec"/>
    <n v="2025"/>
  </r>
  <r>
    <n v="301"/>
    <x v="6"/>
    <x v="7"/>
    <s v="Actual"/>
    <x v="10"/>
    <m/>
    <s v="Al-Janaeen Al-Mualaka for Water"/>
    <s v="Materials/Water"/>
    <n v="5594.4827586206893"/>
    <s v="3192"/>
    <d v="2025-12-16T00:00:00"/>
    <n v="2025404791"/>
    <s v="Dec"/>
    <n v="2025"/>
  </r>
  <r>
    <n v="302"/>
    <x v="4"/>
    <x v="14"/>
    <s v="Actual"/>
    <x v="10"/>
    <m/>
    <s v="Al-Janaeen Al-Mualaka for Water"/>
    <s v="Materials/Water"/>
    <n v="4034.4827586206898"/>
    <s v="3176"/>
    <d v="2025-12-13T00:00:00"/>
    <n v="2025404656"/>
    <s v="Dec"/>
    <n v="2025"/>
  </r>
  <r>
    <n v="303"/>
    <x v="4"/>
    <x v="12"/>
    <s v="Actual"/>
    <x v="10"/>
    <m/>
    <s v="Al-Janaeen Al-Mualaka for Water"/>
    <s v="Materials/Water"/>
    <n v="489.65517241379308"/>
    <s v="21839"/>
    <d v="2025-12-15T00:00:00"/>
    <n v="2025404899"/>
    <s v="Dec"/>
    <n v="2025"/>
  </r>
  <r>
    <n v="304"/>
    <x v="6"/>
    <x v="33"/>
    <s v="Actual"/>
    <x v="10"/>
    <m/>
    <s v="Al-Jawadain Stores"/>
    <s v="Materials"/>
    <n v="12125"/>
    <s v="0747"/>
    <d v="2026-12-10T00:00:00"/>
    <n v="2025404803"/>
    <s v="Dec"/>
    <n v="2025"/>
  </r>
  <r>
    <n v="305"/>
    <x v="2"/>
    <x v="2"/>
    <s v="Actual"/>
    <x v="10"/>
    <m/>
    <s v="Al-Karar Gallery for Wood &amp; MDF"/>
    <s v="Materials/Wood"/>
    <n v="5227.5862068965516"/>
    <s v="0843"/>
    <d v="2025-12-10T00:00:00"/>
    <n v="2026400055"/>
    <s v="Dec"/>
    <n v="2025"/>
  </r>
  <r>
    <n v="306"/>
    <x v="3"/>
    <x v="3"/>
    <s v="Actual"/>
    <x v="10"/>
    <m/>
    <s v="Al-Karar Gallery for Wood &amp; MDF"/>
    <s v="Materials/Wood"/>
    <n v="1896.5517241379309"/>
    <s v="0845"/>
    <d v="2025-12-22T00:00:00"/>
    <n v="2026400009"/>
    <s v="Dec"/>
    <n v="2025"/>
  </r>
  <r>
    <n v="307"/>
    <x v="6"/>
    <x v="33"/>
    <s v="Actual"/>
    <x v="10"/>
    <m/>
    <s v="Al-Karar Gallery for Wood &amp; MDF"/>
    <s v="Materials/Wood"/>
    <n v="827.58620689655174"/>
    <s v="0844"/>
    <d v="2025-12-22T00:00:00"/>
    <n v="2025404830"/>
    <s v="Dec"/>
    <n v="2025"/>
  </r>
  <r>
    <n v="308"/>
    <x v="4"/>
    <x v="13"/>
    <s v="Actual"/>
    <x v="10"/>
    <m/>
    <s v="Al-qanaat Altijaria shops"/>
    <s v="Materials"/>
    <n v="2689.655172413793"/>
    <s v="3844"/>
    <d v="2025-12-06T00:00:00"/>
    <n v="2025404598"/>
    <s v="Dec"/>
    <n v="2025"/>
  </r>
  <r>
    <n v="309"/>
    <x v="2"/>
    <x v="2"/>
    <s v="Actual"/>
    <x v="10"/>
    <m/>
    <s v="Al-qanaat Altijaria shops"/>
    <s v="Materials"/>
    <n v="1196.5517241379309"/>
    <s v="1771"/>
    <d v="2025-12-15T00:00:00"/>
    <n v="2025404784"/>
    <s v="Dec"/>
    <n v="2025"/>
  </r>
  <r>
    <n v="310"/>
    <x v="6"/>
    <x v="33"/>
    <s v="Actual"/>
    <x v="10"/>
    <m/>
    <s v="Al-qanaat Altijaria shops"/>
    <s v="Materials"/>
    <n v="689.65517241379314"/>
    <s v="01896"/>
    <d v="2025-12-20T00:00:00"/>
    <n v="2025404764"/>
    <s v="Dec"/>
    <n v="2025"/>
  </r>
  <r>
    <n v="311"/>
    <x v="4"/>
    <x v="14"/>
    <s v="Actual"/>
    <x v="10"/>
    <m/>
    <s v="AL-Wajeeh Company"/>
    <s v="Materials"/>
    <n v="2220.54"/>
    <s v="17441-1"/>
    <d v="2025-12-14T00:00:00"/>
    <n v="2025404490"/>
    <s v="Dec"/>
    <n v="2025"/>
  </r>
  <r>
    <n v="312"/>
    <x v="3"/>
    <x v="3"/>
    <s v="Actual"/>
    <x v="10"/>
    <m/>
    <s v="AL-Wajeeh Company"/>
    <s v="Materials"/>
    <n v="1581.9"/>
    <s v="17370-1"/>
    <d v="2025-12-14T00:00:00"/>
    <n v="2025404516"/>
    <s v="Dec"/>
    <n v="2025"/>
  </r>
  <r>
    <n v="313"/>
    <x v="7"/>
    <x v="9"/>
    <s v="Actual"/>
    <x v="10"/>
    <m/>
    <s v="AL-Wajeeh Company"/>
    <s v="Materials"/>
    <n v="248.83"/>
    <s v="17395"/>
    <d v="2025-12-14T00:00:00"/>
    <n v="2025404461"/>
    <s v="Dec"/>
    <n v="2025"/>
  </r>
  <r>
    <n v="314"/>
    <x v="3"/>
    <x v="29"/>
    <s v="Actual"/>
    <x v="10"/>
    <m/>
    <s v="AL-Wajeeh Company"/>
    <s v="Materials"/>
    <n v="290.39999999999998"/>
    <s v="17444"/>
    <d v="2025-12-09T00:00:00"/>
    <n v="2025404475"/>
    <s v="Dec"/>
    <n v="2025"/>
  </r>
  <r>
    <n v="315"/>
    <x v="7"/>
    <x v="9"/>
    <s v="Actual"/>
    <x v="10"/>
    <m/>
    <s v="AL-Wajeeh Company"/>
    <s v="Materials"/>
    <n v="1211.04"/>
    <s v="17429"/>
    <d v="2025-12-11T00:00:00"/>
    <n v="2025404459"/>
    <s v="Dec"/>
    <n v="2025"/>
  </r>
  <r>
    <n v="316"/>
    <x v="4"/>
    <x v="12"/>
    <s v="Actual"/>
    <x v="10"/>
    <m/>
    <s v="AL-Wajeeh Company"/>
    <s v="Materials"/>
    <n v="285"/>
    <s v="17428"/>
    <d v="2025-12-11T00:00:00"/>
    <n v="2025404456"/>
    <s v="Dec"/>
    <n v="2025"/>
  </r>
  <r>
    <n v="317"/>
    <x v="4"/>
    <x v="14"/>
    <s v="Actual"/>
    <x v="10"/>
    <m/>
    <s v="AL-Wajeeh Company"/>
    <s v="Materials"/>
    <n v="1955.6"/>
    <s v="17417"/>
    <d v="2025-12-09T00:00:00"/>
    <n v="2025404449"/>
    <s v="Dec"/>
    <n v="2025"/>
  </r>
  <r>
    <n v="318"/>
    <x v="7"/>
    <x v="9"/>
    <s v="Actual"/>
    <x v="10"/>
    <m/>
    <s v="AL-Wajeeh Company"/>
    <s v="Materials"/>
    <n v="1066.49"/>
    <s v="17413"/>
    <d v="2025-12-15T00:00:00"/>
    <n v="2025404445"/>
    <s v="Dec"/>
    <n v="2025"/>
  </r>
  <r>
    <n v="319"/>
    <x v="2"/>
    <x v="2"/>
    <s v="Actual"/>
    <x v="10"/>
    <m/>
    <s v="AL-Wajeeh Company"/>
    <s v="Materials"/>
    <n v="500.92"/>
    <s v="17420"/>
    <d v="2025-11-26T00:00:00"/>
    <n v="2025404518"/>
    <s v="Dec"/>
    <n v="2025"/>
  </r>
  <r>
    <n v="320"/>
    <x v="4"/>
    <x v="13"/>
    <s v="Actual"/>
    <x v="10"/>
    <m/>
    <s v="AL-Wajeeh Company"/>
    <s v="Materials"/>
    <n v="800"/>
    <s v="17442-1"/>
    <d v="2025-12-16T00:00:00"/>
    <n v="2025404482"/>
    <s v="Dec"/>
    <n v="2025"/>
  </r>
  <r>
    <n v="321"/>
    <x v="7"/>
    <x v="9"/>
    <s v="Actual"/>
    <x v="10"/>
    <m/>
    <s v="AL-Wajeeh Company"/>
    <s v="Materials"/>
    <n v="2721"/>
    <s v="17382-A-1"/>
    <d v="2025-12-16T00:00:00"/>
    <n v="2025404472"/>
    <s v="Dec"/>
    <n v="2025"/>
  </r>
  <r>
    <n v="322"/>
    <x v="7"/>
    <x v="9"/>
    <s v="Actual"/>
    <x v="10"/>
    <m/>
    <s v="AL-Wajeeh Company"/>
    <s v="Materials"/>
    <n v="2721"/>
    <s v="17381-A-2"/>
    <d v="2025-12-16T00:00:00"/>
    <n v="2025404454"/>
    <s v="Dec"/>
    <n v="2025"/>
  </r>
  <r>
    <n v="323"/>
    <x v="5"/>
    <x v="5"/>
    <s v="Actual"/>
    <x v="10"/>
    <m/>
    <s v="AL-Wajeeh Company"/>
    <s v="Materials"/>
    <n v="383.67"/>
    <s v="17418"/>
    <d v="2025-11-12T00:00:00"/>
    <n v="2025404442"/>
    <s v="Dec"/>
    <n v="2025"/>
  </r>
  <r>
    <n v="324"/>
    <x v="7"/>
    <x v="9"/>
    <s v="Actual"/>
    <x v="10"/>
    <m/>
    <s v="AL-Wajeeh Company"/>
    <s v="Materials"/>
    <n v="519.58000000000004"/>
    <s v="17419"/>
    <d v="2025-12-14T00:00:00"/>
    <n v="2025404513"/>
    <s v="Dec"/>
    <n v="2025"/>
  </r>
  <r>
    <n v="325"/>
    <x v="7"/>
    <x v="9"/>
    <s v="Actual"/>
    <x v="10"/>
    <m/>
    <s v="AL-Wajeeh Company"/>
    <s v="Materials"/>
    <n v="123.66"/>
    <s v="17447"/>
    <d v="2025-12-27T00:00:00"/>
    <n v="2025404714"/>
    <s v="Dec"/>
    <n v="2025"/>
  </r>
  <r>
    <n v="326"/>
    <x v="6"/>
    <x v="33"/>
    <s v="Actual"/>
    <x v="10"/>
    <m/>
    <s v="AL-Wajeeh Company"/>
    <s v="Materials"/>
    <n v="2215.4"/>
    <s v="17448"/>
    <d v="2025-12-25T00:00:00"/>
    <n v="2025404717"/>
    <s v="Dec"/>
    <n v="2025"/>
  </r>
  <r>
    <n v="327"/>
    <x v="6"/>
    <x v="7"/>
    <s v="Actual"/>
    <x v="10"/>
    <m/>
    <s v="AL-Wajeeh Company"/>
    <s v="Materials"/>
    <n v="2110.0500000000002"/>
    <s v="15980-A"/>
    <d v="2025-12-27T00:00:00"/>
    <n v="2025404707"/>
    <s v="Dec"/>
    <n v="2025"/>
  </r>
  <r>
    <n v="328"/>
    <x v="3"/>
    <x v="16"/>
    <s v="Actual"/>
    <x v="10"/>
    <m/>
    <s v="Anwar Al Zubear Factory"/>
    <s v="Materials/Caravan"/>
    <n v="12689.655172413793"/>
    <s v="02522"/>
    <d v="2025-12-14T00:00:00"/>
    <n v="2025404792"/>
    <s v="Dec"/>
    <n v="2025"/>
  </r>
  <r>
    <n v="329"/>
    <x v="4"/>
    <x v="14"/>
    <s v="Actual"/>
    <x v="10"/>
    <m/>
    <s v="Ataa Al Khalid Co."/>
    <s v="Materials"/>
    <n v="3586.2068965517242"/>
    <s v="INV0005621"/>
    <d v="2025-12-18T00:00:00"/>
    <n v="2025404659"/>
    <s v="Dec"/>
    <n v="2025"/>
  </r>
  <r>
    <n v="330"/>
    <x v="4"/>
    <x v="14"/>
    <s v="Actual"/>
    <x v="10"/>
    <m/>
    <s v="BASHEER FOR DECORATION"/>
    <s v="Materials"/>
    <n v="2922.7586206896553"/>
    <s v="#"/>
    <d v="2025-12-16T00:00:00"/>
    <n v="2025404770"/>
    <s v="Dec"/>
    <n v="2025"/>
  </r>
  <r>
    <n v="331"/>
    <x v="3"/>
    <x v="3"/>
    <s v="Actual"/>
    <x v="10"/>
    <m/>
    <s v="BLUE LINE"/>
    <s v="Materials"/>
    <n v="71.14"/>
    <s v="6611"/>
    <d v="2025-11-26T00:00:00"/>
    <n v="2025404443"/>
    <s v="Dec"/>
    <n v="2025"/>
  </r>
  <r>
    <n v="332"/>
    <x v="4"/>
    <x v="22"/>
    <s v="Actual"/>
    <x v="10"/>
    <m/>
    <s v="BLUE LINE"/>
    <s v="Materials"/>
    <n v="784.32"/>
    <s v="6610"/>
    <d v="2025-11-26T00:00:00"/>
    <n v="2025404448"/>
    <s v="Dec"/>
    <n v="2025"/>
  </r>
  <r>
    <n v="333"/>
    <x v="7"/>
    <x v="9"/>
    <s v="Actual"/>
    <x v="10"/>
    <m/>
    <s v="BLUE LINE"/>
    <s v="Materials"/>
    <n v="292.49"/>
    <s v="6620"/>
    <d v="2025-11-26T00:00:00"/>
    <n v="2025404451"/>
    <s v="Dec"/>
    <n v="2025"/>
  </r>
  <r>
    <n v="334"/>
    <x v="3"/>
    <x v="3"/>
    <s v="Actual"/>
    <x v="10"/>
    <m/>
    <s v="BLUE LINE"/>
    <s v="Materials"/>
    <n v="106.28"/>
    <s v="6627"/>
    <d v="2025-12-01T00:00:00"/>
    <n v="2025404473"/>
    <s v="Dec"/>
    <n v="2025"/>
  </r>
  <r>
    <n v="335"/>
    <x v="7"/>
    <x v="9"/>
    <s v="Actual"/>
    <x v="10"/>
    <m/>
    <s v="BLUE LINE"/>
    <s v="Materials"/>
    <n v="342.04"/>
    <s v="6564"/>
    <d v="2025-11-28T00:00:00"/>
    <n v="2025404480"/>
    <s v="Dec"/>
    <n v="2025"/>
  </r>
  <r>
    <n v="336"/>
    <x v="7"/>
    <x v="9"/>
    <s v="Actual"/>
    <x v="10"/>
    <m/>
    <s v="BLUE LINE"/>
    <s v="Materials"/>
    <n v="258.48"/>
    <s v="6624"/>
    <d v="2025-12-01T00:00:00"/>
    <n v="2025404481"/>
    <s v="Dec"/>
    <n v="2025"/>
  </r>
  <r>
    <n v="337"/>
    <x v="7"/>
    <x v="9"/>
    <s v="Actual"/>
    <x v="10"/>
    <m/>
    <s v="BLUE LINE"/>
    <s v="Materials"/>
    <n v="480"/>
    <s v="6636"/>
    <d v="2025-12-01T00:00:00"/>
    <n v="2025404488"/>
    <s v="Dec"/>
    <n v="2025"/>
  </r>
  <r>
    <n v="338"/>
    <x v="4"/>
    <x v="14"/>
    <s v="Actual"/>
    <x v="10"/>
    <m/>
    <s v="BLUE LINE"/>
    <s v="Materials"/>
    <n v="1383.6"/>
    <s v="6608"/>
    <d v="2025-11-27T00:00:00"/>
    <n v="2025404450"/>
    <s v="Dec"/>
    <n v="2025"/>
  </r>
  <r>
    <n v="339"/>
    <x v="3"/>
    <x v="3"/>
    <s v="Actual"/>
    <x v="10"/>
    <m/>
    <s v="BLUE LINE"/>
    <s v="Materials"/>
    <n v="76.2"/>
    <s v="6647"/>
    <d v="2025-12-01T00:00:00"/>
    <n v="2025404468"/>
    <s v="Dec"/>
    <n v="2025"/>
  </r>
  <r>
    <n v="340"/>
    <x v="7"/>
    <x v="9"/>
    <s v="Actual"/>
    <x v="10"/>
    <m/>
    <s v="BLUE LINE"/>
    <s v="Materials"/>
    <n v="122.36"/>
    <s v="6641"/>
    <d v="2025-12-01T00:00:00"/>
    <n v="2025404483"/>
    <s v="Dec"/>
    <n v="2025"/>
  </r>
  <r>
    <n v="341"/>
    <x v="4"/>
    <x v="12"/>
    <s v="Actual"/>
    <x v="10"/>
    <m/>
    <s v="BLUE LINE"/>
    <s v="Materials"/>
    <n v="147.69999999999999"/>
    <s v="6639"/>
    <d v="2025-12-01T00:00:00"/>
    <n v="2025404484"/>
    <s v="Dec"/>
    <n v="2025"/>
  </r>
  <r>
    <n v="342"/>
    <x v="7"/>
    <x v="9"/>
    <s v="Actual"/>
    <x v="10"/>
    <m/>
    <s v="BLUE LINE"/>
    <s v="Materials"/>
    <n v="480"/>
    <s v="6637"/>
    <d v="2025-12-01T00:00:00"/>
    <n v="2025404486"/>
    <s v="Dec"/>
    <n v="2025"/>
  </r>
  <r>
    <n v="343"/>
    <x v="7"/>
    <x v="9"/>
    <s v="Actual"/>
    <x v="10"/>
    <m/>
    <s v="BLUE LINE"/>
    <s v="Materials"/>
    <n v="129.15"/>
    <s v="6640"/>
    <d v="2025-12-01T00:00:00"/>
    <n v="2025404485"/>
    <s v="Dec"/>
    <n v="2025"/>
  </r>
  <r>
    <n v="344"/>
    <x v="2"/>
    <x v="2"/>
    <s v="Actual"/>
    <x v="10"/>
    <m/>
    <s v="BLUE LINE"/>
    <s v="Materials"/>
    <n v="1877"/>
    <s v="6628"/>
    <d v="2025-12-01T00:00:00"/>
    <n v="2025404487"/>
    <s v="Dec"/>
    <n v="2025"/>
  </r>
  <r>
    <n v="345"/>
    <x v="7"/>
    <x v="9"/>
    <s v="Actual"/>
    <x v="10"/>
    <m/>
    <s v="BLUE LINE"/>
    <s v="Materials"/>
    <n v="76.84"/>
    <s v="6623"/>
    <d v="2025-12-01T00:00:00"/>
    <n v="2025404586"/>
    <s v="Dec"/>
    <n v="2025"/>
  </r>
  <r>
    <n v="346"/>
    <x v="7"/>
    <x v="9"/>
    <s v="Actual"/>
    <x v="10"/>
    <m/>
    <s v="BLUE LINE"/>
    <s v="Materials"/>
    <n v="747.6"/>
    <s v="6621"/>
    <d v="2025-11-25T00:00:00"/>
    <n v="2025404587"/>
    <s v="Dec"/>
    <n v="2025"/>
  </r>
  <r>
    <n v="347"/>
    <x v="7"/>
    <x v="9"/>
    <s v="Actual"/>
    <x v="10"/>
    <m/>
    <s v="BLUE LINE"/>
    <s v="Materials"/>
    <n v="253.75"/>
    <s v="6640"/>
    <d v="2025-12-01T00:00:00"/>
    <n v="2025404588"/>
    <s v="Dec"/>
    <n v="2025"/>
  </r>
  <r>
    <n v="348"/>
    <x v="4"/>
    <x v="14"/>
    <s v="Actual"/>
    <x v="10"/>
    <m/>
    <s v="BLUE LINE"/>
    <s v="Materials"/>
    <n v="1313.36"/>
    <s v="6648"/>
    <d v="2025-12-02T00:00:00"/>
    <n v="2025404596"/>
    <s v="Dec"/>
    <n v="2025"/>
  </r>
  <r>
    <n v="349"/>
    <x v="3"/>
    <x v="16"/>
    <s v="Actual"/>
    <x v="10"/>
    <m/>
    <s v="BLUE LINE"/>
    <s v="Materials"/>
    <n v="715.5"/>
    <s v="6685"/>
    <d v="2025-12-10T00:00:00"/>
    <n v="2025404724"/>
    <s v="Dec"/>
    <n v="2025"/>
  </r>
  <r>
    <n v="350"/>
    <x v="4"/>
    <x v="14"/>
    <s v="Actual"/>
    <x v="10"/>
    <m/>
    <s v="BLUE LINE"/>
    <s v="Materials"/>
    <n v="974.12"/>
    <s v="6686"/>
    <d v="2025-12-10T00:00:00"/>
    <n v="2025404725"/>
    <s v="Dec"/>
    <n v="2025"/>
  </r>
  <r>
    <n v="351"/>
    <x v="7"/>
    <x v="21"/>
    <s v="Actual"/>
    <x v="10"/>
    <m/>
    <s v="BLUE LINE"/>
    <s v="Materials"/>
    <n v="492.46"/>
    <s v="6530"/>
    <d v="2025-12-01T00:00:00"/>
    <n v="2025404730"/>
    <s v="Dec"/>
    <n v="2025"/>
  </r>
  <r>
    <n v="352"/>
    <x v="4"/>
    <x v="4"/>
    <s v="Actual"/>
    <x v="10"/>
    <m/>
    <s v="BLUE LINE"/>
    <s v="Materials"/>
    <n v="377.55"/>
    <s v="6642"/>
    <d v="2025-12-10T00:00:00"/>
    <n v="2025404732"/>
    <s v="Dec"/>
    <n v="2025"/>
  </r>
  <r>
    <n v="353"/>
    <x v="2"/>
    <x v="2"/>
    <s v="Actual"/>
    <x v="10"/>
    <m/>
    <s v="BLUE LINE"/>
    <s v="Materials"/>
    <n v="990"/>
    <s v="6679"/>
    <d v="2025-12-10T00:00:00"/>
    <n v="2025404738"/>
    <s v="Dec"/>
    <n v="2025"/>
  </r>
  <r>
    <n v="354"/>
    <x v="6"/>
    <x v="33"/>
    <s v="Actual"/>
    <x v="10"/>
    <m/>
    <s v="BLUE LINE"/>
    <s v="Materials"/>
    <n v="69.23"/>
    <s v="6561"/>
    <d v="2025-11-26T00:00:00"/>
    <n v="2025404743"/>
    <s v="Dec"/>
    <n v="2025"/>
  </r>
  <r>
    <n v="355"/>
    <x v="4"/>
    <x v="13"/>
    <s v="Actual"/>
    <x v="10"/>
    <m/>
    <s v="BLUE LINE"/>
    <s v="Materials"/>
    <n v="203"/>
    <s v="6671"/>
    <d v="2025-12-14T00:00:00"/>
    <n v="2025404746"/>
    <s v="Dec"/>
    <n v="2025"/>
  </r>
  <r>
    <n v="356"/>
    <x v="4"/>
    <x v="14"/>
    <s v="Actual"/>
    <x v="10"/>
    <m/>
    <s v="BLUE LINE"/>
    <s v="Materials"/>
    <n v="692.28"/>
    <s v="6643"/>
    <d v="2025-12-01T00:00:00"/>
    <n v="2025404748"/>
    <s v="Dec"/>
    <n v="2025"/>
  </r>
  <r>
    <n v="357"/>
    <x v="2"/>
    <x v="2"/>
    <s v="Actual"/>
    <x v="10"/>
    <m/>
    <s v="BLUE LINE"/>
    <s v="Materials"/>
    <n v="1983.51"/>
    <s v="6562"/>
    <d v="2025-11-26T00:00:00"/>
    <n v="2025404759"/>
    <s v="Dec"/>
    <n v="2025"/>
  </r>
  <r>
    <n v="358"/>
    <x v="2"/>
    <x v="2"/>
    <s v="Actual"/>
    <x v="10"/>
    <m/>
    <s v="BLUE LINE"/>
    <s v="Materials"/>
    <n v="1906.2"/>
    <s v="6673"/>
    <d v="2025-12-10T00:00:00"/>
    <n v="2025404760"/>
    <s v="Dec"/>
    <n v="2025"/>
  </r>
  <r>
    <n v="359"/>
    <x v="2"/>
    <x v="2"/>
    <s v="Actual"/>
    <x v="10"/>
    <m/>
    <s v="BLUE LINE"/>
    <s v="Materials"/>
    <n v="761.56"/>
    <s v="6646"/>
    <d v="2025-12-14T00:00:00"/>
    <n v="2025404761"/>
    <s v="Dec"/>
    <n v="2025"/>
  </r>
  <r>
    <n v="360"/>
    <x v="2"/>
    <x v="2"/>
    <s v="Actual"/>
    <x v="10"/>
    <m/>
    <s v="BLUE LINE"/>
    <s v="Materials"/>
    <n v="1194.48"/>
    <s v="6672"/>
    <d v="2025-12-14T00:00:00"/>
    <n v="2025404763"/>
    <s v="Dec"/>
    <n v="2025"/>
  </r>
  <r>
    <n v="361"/>
    <x v="6"/>
    <x v="33"/>
    <s v="Actual"/>
    <x v="10"/>
    <m/>
    <s v="BLUE LINE"/>
    <s v="Materials"/>
    <n v="470.76"/>
    <s v="6674"/>
    <d v="2025-12-14T00:00:00"/>
    <n v="2025404765"/>
    <s v="Dec"/>
    <n v="2025"/>
  </r>
  <r>
    <n v="362"/>
    <x v="4"/>
    <x v="25"/>
    <s v="Actual"/>
    <x v="10"/>
    <m/>
    <s v="BLUE LINE"/>
    <s v="Materials"/>
    <n v="332.32"/>
    <s v="6638"/>
    <d v="2025-12-01T00:00:00"/>
    <n v="2025404731"/>
    <s v="Dec"/>
    <n v="2025"/>
  </r>
  <r>
    <n v="363"/>
    <x v="3"/>
    <x v="3"/>
    <s v="Actual"/>
    <x v="10"/>
    <m/>
    <s v="BLUE LINE"/>
    <s v="Materials"/>
    <n v="238.62"/>
    <s v="6681"/>
    <d v="2025-12-10T00:00:00"/>
    <n v="2025404740"/>
    <s v="Dec"/>
    <n v="2025"/>
  </r>
  <r>
    <n v="364"/>
    <x v="3"/>
    <x v="26"/>
    <s v="Actual"/>
    <x v="10"/>
    <m/>
    <s v="BLUE LINE"/>
    <s v="Materials"/>
    <n v="133.41999999999999"/>
    <s v="6680"/>
    <d v="2025-12-10T00:00:00"/>
    <n v="2025404742"/>
    <s v="Dec"/>
    <n v="2025"/>
  </r>
  <r>
    <n v="365"/>
    <x v="3"/>
    <x v="26"/>
    <s v="Actual"/>
    <x v="10"/>
    <m/>
    <s v="BLUE LINE"/>
    <s v="Materials"/>
    <n v="305.99"/>
    <s v="6680"/>
    <d v="2025-12-10T00:00:00"/>
    <n v="2025404723"/>
    <s v="Dec"/>
    <n v="2025"/>
  </r>
  <r>
    <n v="366"/>
    <x v="4"/>
    <x v="13"/>
    <s v="Actual"/>
    <x v="10"/>
    <m/>
    <s v="BLUE LINE"/>
    <s v="Materials"/>
    <n v="81.209999999999994"/>
    <s v="6644"/>
    <d v="2025-12-31T00:00:00"/>
    <n v="2025404747"/>
    <s v="Dec"/>
    <n v="2025"/>
  </r>
  <r>
    <n v="367"/>
    <x v="0"/>
    <x v="0"/>
    <s v="Actual"/>
    <x v="10"/>
    <m/>
    <s v="BLUE LINE"/>
    <s v="Materials"/>
    <n v="764.94"/>
    <s v="6683"/>
    <d v="2025-12-14T00:00:00"/>
    <n v="2026400021"/>
    <s v="Dec"/>
    <n v="2025"/>
  </r>
  <r>
    <n v="368"/>
    <x v="3"/>
    <x v="3"/>
    <s v="Actual"/>
    <x v="10"/>
    <m/>
    <s v="BLUE LINE"/>
    <s v="Materials"/>
    <n v="55.38"/>
    <s v="6649"/>
    <d v="2025-12-01T00:00:00"/>
    <n v="2025404804"/>
    <s v="Dec"/>
    <n v="2025"/>
  </r>
  <r>
    <n v="369"/>
    <x v="3"/>
    <x v="3"/>
    <s v="Actual"/>
    <x v="10"/>
    <m/>
    <s v="BLUE LINE"/>
    <s v="Materials"/>
    <n v="245.04"/>
    <s v="6642"/>
    <d v="2025-12-01T00:00:00"/>
    <n v="2025404805"/>
    <s v="Dec"/>
    <n v="2025"/>
  </r>
  <r>
    <n v="370"/>
    <x v="7"/>
    <x v="9"/>
    <s v="Actual"/>
    <x v="10"/>
    <m/>
    <s v="BLUE LINE"/>
    <s v="Materials"/>
    <n v="304.60000000000002"/>
    <s v="6695"/>
    <d v="2025-12-10T00:00:00"/>
    <n v="2026400023"/>
    <s v="Dec"/>
    <n v="2025"/>
  </r>
  <r>
    <n v="371"/>
    <x v="7"/>
    <x v="9"/>
    <s v="Actual"/>
    <x v="10"/>
    <m/>
    <s v="BLUE LINE"/>
    <s v="Materials"/>
    <n v="559.58000000000004"/>
    <s v="6710"/>
    <d v="2025-12-20T00:00:00"/>
    <n v="2026400040"/>
    <s v="Dec"/>
    <n v="2025"/>
  </r>
  <r>
    <n v="372"/>
    <x v="7"/>
    <x v="9"/>
    <s v="Actual"/>
    <x v="10"/>
    <m/>
    <s v="BLUE LINE"/>
    <s v="Materials"/>
    <n v="1476.92"/>
    <s v="6709"/>
    <d v="2025-12-20T00:00:00"/>
    <n v="2026400041"/>
    <s v="Dec"/>
    <n v="2025"/>
  </r>
  <r>
    <n v="373"/>
    <x v="3"/>
    <x v="6"/>
    <s v="Actual"/>
    <x v="10"/>
    <m/>
    <s v="BLUE LINE"/>
    <s v="Materials"/>
    <n v="402.31"/>
    <s v="6596"/>
    <d v="2025-12-10T00:00:00"/>
    <n v="2026400042"/>
    <s v="Dec"/>
    <n v="2025"/>
  </r>
  <r>
    <n v="374"/>
    <x v="3"/>
    <x v="6"/>
    <s v="Actual"/>
    <x v="10"/>
    <m/>
    <s v="BLUE LINE"/>
    <s v="Materials"/>
    <n v="119.82"/>
    <s v="6684"/>
    <d v="2025-12-10T00:00:00"/>
    <n v="2026400044"/>
    <s v="Dec"/>
    <n v="2025"/>
  </r>
  <r>
    <n v="375"/>
    <x v="3"/>
    <x v="16"/>
    <s v="Actual"/>
    <x v="10"/>
    <m/>
    <s v="Cargo Ship Company"/>
    <s v="Materials"/>
    <n v="1356"/>
    <s v="250"/>
    <d v="2025-12-29T00:00:00"/>
    <n v="2025404799"/>
    <s v="Dec"/>
    <n v="2025"/>
  </r>
  <r>
    <n v="376"/>
    <x v="2"/>
    <x v="2"/>
    <s v="Actual"/>
    <x v="10"/>
    <m/>
    <s v="EPT LLC (SIKA)"/>
    <s v="Materials"/>
    <n v="1517.2413793103449"/>
    <s v="Invoice INV/2025/03855"/>
    <d v="2025-12-29T00:00:00"/>
    <n v="2025404860"/>
    <s v="Dec"/>
    <n v="2025"/>
  </r>
  <r>
    <n v="377"/>
    <x v="4"/>
    <x v="14"/>
    <s v="Actual"/>
    <x v="10"/>
    <m/>
    <s v="EPT LLC (SIKA)"/>
    <s v="Materials"/>
    <n v="1448.2758620689656"/>
    <s v="102"/>
    <d v="2025-12-02T00:00:00"/>
    <n v="2025404531"/>
    <s v="Dec"/>
    <n v="2025"/>
  </r>
  <r>
    <n v="378"/>
    <x v="3"/>
    <x v="3"/>
    <s v="Actual"/>
    <x v="10"/>
    <m/>
    <s v="Fasco LLC FZ"/>
    <s v="Materials"/>
    <n v="15626.449591280654"/>
    <s v="2025000120"/>
    <d v="2025-12-30T00:00:00"/>
    <n v="2025403864"/>
    <s v="Dec"/>
    <n v="2025"/>
  </r>
  <r>
    <n v="379"/>
    <x v="6"/>
    <x v="7"/>
    <s v="Actual"/>
    <x v="10"/>
    <m/>
    <s v="GULF PEARL GROUP"/>
    <s v="Materials"/>
    <n v="7800"/>
    <s v="27962025"/>
    <d v="2025-12-08T00:00:00"/>
    <n v="2025404354"/>
    <s v="Dec"/>
    <n v="2025"/>
  </r>
  <r>
    <n v="380"/>
    <x v="6"/>
    <x v="7"/>
    <s v="Actual"/>
    <x v="10"/>
    <m/>
    <s v="HEATER WORLD"/>
    <s v="Materials"/>
    <n v="1655.1724137931035"/>
    <s v="000943"/>
    <d v="2025-12-03T00:00:00"/>
    <n v="2025404387"/>
    <s v="Dec"/>
    <n v="2025"/>
  </r>
  <r>
    <n v="381"/>
    <x v="6"/>
    <x v="33"/>
    <s v="Actual"/>
    <x v="10"/>
    <m/>
    <s v="Khan Alhadded Company"/>
    <s v="Materials/Iron"/>
    <n v="4450"/>
    <s v="0960"/>
    <d v="2025-12-06T00:00:00"/>
    <n v="2025404607"/>
    <s v="Dec"/>
    <n v="2025"/>
  </r>
  <r>
    <n v="382"/>
    <x v="6"/>
    <x v="33"/>
    <s v="Actual"/>
    <x v="10"/>
    <m/>
    <s v="Khan Alhadded Company"/>
    <s v="Materials/Iron"/>
    <n v="4125"/>
    <s v="0958"/>
    <d v="2025-12-04T00:00:00"/>
    <n v="2025404629"/>
    <s v="Dec"/>
    <n v="2025"/>
  </r>
  <r>
    <n v="383"/>
    <x v="7"/>
    <x v="24"/>
    <s v="Actual"/>
    <x v="10"/>
    <m/>
    <s v="Khan Alhadded Company"/>
    <s v="Materials/Iron"/>
    <n v="760"/>
    <s v="0976"/>
    <d v="2025-11-30T00:00:00"/>
    <n v="2025404627"/>
    <s v="Dec"/>
    <n v="2025"/>
  </r>
  <r>
    <n v="384"/>
    <x v="7"/>
    <x v="9"/>
    <s v="Actual"/>
    <x v="10"/>
    <m/>
    <s v="Khan Alhadded Company"/>
    <s v="Materials/Iron"/>
    <n v="350"/>
    <s v="0969"/>
    <d v="2025-12-16T00:00:00"/>
    <n v="2025404783"/>
    <s v="Dec"/>
    <n v="2025"/>
  </r>
  <r>
    <n v="385"/>
    <x v="6"/>
    <x v="33"/>
    <s v="Actual"/>
    <x v="10"/>
    <m/>
    <s v="Khan Alhadded Company"/>
    <s v="Materials/Iron"/>
    <n v="2600"/>
    <s v="0974"/>
    <d v="2025-12-21T00:00:00"/>
    <n v="2025404751"/>
    <s v="Dec"/>
    <n v="2025"/>
  </r>
  <r>
    <n v="386"/>
    <x v="4"/>
    <x v="25"/>
    <s v="Actual"/>
    <x v="10"/>
    <m/>
    <s v="Khan Alhadded Company"/>
    <s v="Materials/Iron"/>
    <n v="3360"/>
    <s v="0967"/>
    <d v="2025-12-13T00:00:00"/>
    <n v="2025404835"/>
    <s v="Dec"/>
    <n v="2025"/>
  </r>
  <r>
    <n v="387"/>
    <x v="4"/>
    <x v="14"/>
    <s v="Actual"/>
    <x v="10"/>
    <m/>
    <s v="Khan Alhadded Company"/>
    <s v="Materials/Iron"/>
    <n v="960"/>
    <s v="0968"/>
    <d v="2025-12-16T00:00:00"/>
    <n v="2025404782"/>
    <s v="Dec"/>
    <n v="2025"/>
  </r>
  <r>
    <n v="388"/>
    <x v="4"/>
    <x v="13"/>
    <s v="Actual"/>
    <x v="10"/>
    <m/>
    <s v="Khan Alhadded Company"/>
    <s v="Materials/Iron"/>
    <n v="66880"/>
    <s v="0962"/>
    <d v="2025-12-07T00:00:00"/>
    <n v="2025404802"/>
    <s v="Dec"/>
    <n v="2025"/>
  </r>
  <r>
    <n v="389"/>
    <x v="2"/>
    <x v="2"/>
    <s v="Actual"/>
    <x v="10"/>
    <m/>
    <s v="Khan Alhadded Company"/>
    <s v="Materials/Iron"/>
    <n v="600"/>
    <s v="0956"/>
    <d v="2025-12-01T00:00:00"/>
    <n v="2025404542"/>
    <s v="Dec"/>
    <n v="2025"/>
  </r>
  <r>
    <n v="390"/>
    <x v="3"/>
    <x v="16"/>
    <s v="Actual"/>
    <x v="10"/>
    <m/>
    <s v="Mohammed Abdulraheem Office"/>
    <s v="Materials"/>
    <n v="6896.5517241379312"/>
    <s v="000246"/>
    <d v="2025-12-28T00:00:00"/>
    <n v="2025404565"/>
    <s v="Dec"/>
    <n v="2025"/>
  </r>
  <r>
    <n v="391"/>
    <x v="6"/>
    <x v="33"/>
    <s v="Actual"/>
    <x v="10"/>
    <m/>
    <s v="Mohammed Abdulraheem Office"/>
    <s v="Materials"/>
    <n v="3600"/>
    <s v="000235"/>
    <d v="2025-12-07T00:00:00"/>
    <n v="2025404581"/>
    <s v="Dec"/>
    <n v="2025"/>
  </r>
  <r>
    <n v="392"/>
    <x v="2"/>
    <x v="2"/>
    <s v="Actual"/>
    <x v="10"/>
    <m/>
    <s v="MOHAMMED HADAD OFFICE"/>
    <s v="Materials"/>
    <n v="1379.3103448275863"/>
    <s v="00503"/>
    <d v="2025-12-21T00:00:00"/>
    <n v="2025404756"/>
    <s v="Dec"/>
    <n v="2025"/>
  </r>
  <r>
    <n v="393"/>
    <x v="2"/>
    <x v="2"/>
    <s v="Actual"/>
    <x v="10"/>
    <m/>
    <s v="MOHAMMED HADAD OFFICE"/>
    <s v="Materials"/>
    <n v="862.06896551724139"/>
    <s v="00501"/>
    <d v="2025-12-11T00:00:00"/>
    <n v="2025404755"/>
    <s v="Dec"/>
    <n v="2025"/>
  </r>
  <r>
    <n v="394"/>
    <x v="4"/>
    <x v="13"/>
    <s v="Actual"/>
    <x v="10"/>
    <m/>
    <s v="Rawat Emaar AL-Iraq Co. (JOTUN)"/>
    <s v="Materials/Paint"/>
    <n v="3521.7241379310344"/>
    <s v="#"/>
    <d v="2025-12-07T00:00:00"/>
    <n v="2025404566"/>
    <s v="Dec"/>
    <n v="2025"/>
  </r>
  <r>
    <n v="395"/>
    <x v="6"/>
    <x v="7"/>
    <s v="Actual"/>
    <x v="10"/>
    <m/>
    <s v="Rawat Emaar AL-Iraq Co. (JOTUN)"/>
    <s v="Materials/Paint"/>
    <n v="1972.4137931034484"/>
    <s v="30670"/>
    <d v="2025-12-02T00:00:00"/>
    <n v="2025404353"/>
    <s v="Dec"/>
    <n v="2025"/>
  </r>
  <r>
    <n v="396"/>
    <x v="2"/>
    <x v="2"/>
    <s v="Actual"/>
    <x v="10"/>
    <m/>
    <s v="Rawat Emaar AL-Iraq Co. (JOTUN)"/>
    <s v="Materials/Paint"/>
    <n v="1710.344827586207"/>
    <s v="30671"/>
    <d v="2025-12-02T00:00:00"/>
    <n v="2025404356"/>
    <s v="Dec"/>
    <n v="2025"/>
  </r>
  <r>
    <n v="397"/>
    <x v="4"/>
    <x v="14"/>
    <s v="Actual"/>
    <x v="10"/>
    <m/>
    <s v="Rawat Emaar AL-Iraq Co. (JOTUN)"/>
    <s v="Materials/Paint"/>
    <n v="1577.9310344827586"/>
    <s v="31367"/>
    <d v="2025-12-08T00:00:00"/>
    <n v="2025404500"/>
    <s v="Dec"/>
    <n v="2025"/>
  </r>
  <r>
    <n v="398"/>
    <x v="2"/>
    <x v="2"/>
    <s v="Actual"/>
    <x v="10"/>
    <m/>
    <s v="Rawat Emaar AL-Iraq Co. (JOTUN)"/>
    <s v="Materials/Paint"/>
    <n v="1421.3793103448277"/>
    <s v="32010"/>
    <d v="2025-12-16T00:00:00"/>
    <n v="2025404529"/>
    <s v="Dec"/>
    <n v="2025"/>
  </r>
  <r>
    <n v="399"/>
    <x v="2"/>
    <x v="2"/>
    <s v="Actual"/>
    <x v="10"/>
    <m/>
    <s v="Rawat Emaar AL-Iraq Co. (JOTUN)"/>
    <s v="Materials/Paint"/>
    <n v="1406.8965517241379"/>
    <s v="32381"/>
    <d v="2025-12-20T00:00:00"/>
    <n v="2025404662"/>
    <s v="Dec"/>
    <n v="2025"/>
  </r>
  <r>
    <n v="400"/>
    <x v="7"/>
    <x v="9"/>
    <s v="Actual"/>
    <x v="10"/>
    <m/>
    <s v="ROWNAK COMPANY"/>
    <s v="Materials"/>
    <n v="15000"/>
    <s v="43625731"/>
    <d v="2025-12-08T00:00:00"/>
    <n v="2025404440"/>
    <s v="Dec"/>
    <n v="2025"/>
  </r>
  <r>
    <n v="401"/>
    <x v="6"/>
    <x v="33"/>
    <s v="Actual"/>
    <x v="10"/>
    <m/>
    <s v="Sahba Technnnology"/>
    <s v="Materials"/>
    <n v="2665.1724137931033"/>
    <s v="8155"/>
    <d v="2025-12-13T00:00:00"/>
    <n v="2025404613"/>
    <s v="Dec"/>
    <n v="2025"/>
  </r>
  <r>
    <n v="402"/>
    <x v="7"/>
    <x v="21"/>
    <s v="Actual"/>
    <x v="10"/>
    <m/>
    <s v="Sahba Technnnology"/>
    <s v="Materials"/>
    <n v="673.10344827586209"/>
    <s v="8014"/>
    <d v="2025-12-01T00:00:00"/>
    <n v="2025404604"/>
    <s v="Dec"/>
    <n v="2025"/>
  </r>
  <r>
    <n v="403"/>
    <x v="3"/>
    <x v="3"/>
    <s v="Actual"/>
    <x v="10"/>
    <m/>
    <s v="Sahba Technnnology"/>
    <s v="Materials"/>
    <n v="544.82758620689651"/>
    <s v="8135"/>
    <d v="2025-12-10T00:00:00"/>
    <n v="2025404129"/>
    <s v="Dec"/>
    <n v="2025"/>
  </r>
  <r>
    <n v="404"/>
    <x v="6"/>
    <x v="7"/>
    <s v="Actual"/>
    <x v="10"/>
    <m/>
    <s v="Taqadm Albasrah"/>
    <s v="Materials"/>
    <n v="7540.6896551724139"/>
    <s v="522"/>
    <d v="2025-12-10T00:00:00"/>
    <n v="2025404571"/>
    <s v="Dec"/>
    <n v="2025"/>
  </r>
  <r>
    <n v="405"/>
    <x v="2"/>
    <x v="2"/>
    <s v="Actual"/>
    <x v="10"/>
    <m/>
    <s v="World of Concrete"/>
    <s v="Materials"/>
    <n v="827.58620689655174"/>
    <s v="2025-3136"/>
    <d v="2025-12-16T00:00:00"/>
    <n v="2025404824"/>
    <s v="Dec"/>
    <n v="2025"/>
  </r>
  <r>
    <n v="406"/>
    <x v="0"/>
    <x v="0"/>
    <s v="Actual"/>
    <x v="10"/>
    <m/>
    <s v="Xinke Protective Technology Co., Ltd&quot;"/>
    <s v="Materials"/>
    <n v="3751"/>
    <s v="XK03251124-1"/>
    <d v="2025-12-24T00:00:00"/>
    <n v="2025404809"/>
    <s v="Dec"/>
    <n v="2025"/>
  </r>
  <r>
    <n v="407"/>
    <x v="2"/>
    <x v="2"/>
    <s v="Actual"/>
    <x v="10"/>
    <m/>
    <s v="Zamzam Land Construction Trading"/>
    <s v="Materials"/>
    <n v="1953.7931034482758"/>
    <s v="INV/2025/10984"/>
    <d v="2025-12-03T00:00:00"/>
    <n v="2025404411"/>
    <s v="Dec"/>
    <n v="2025"/>
  </r>
  <r>
    <n v="408"/>
    <x v="3"/>
    <x v="3"/>
    <s v="Actual"/>
    <x v="10"/>
    <m/>
    <s v="Zamzam Land Construction Trading"/>
    <s v="Materials"/>
    <n v="1473.1034482758621"/>
    <s v="S21942"/>
    <d v="2025-12-10T00:00:00"/>
    <n v="2025404492"/>
    <s v="Dec"/>
    <n v="2025"/>
  </r>
  <r>
    <n v="409"/>
    <x v="2"/>
    <x v="2"/>
    <s v="Actual"/>
    <x v="10"/>
    <m/>
    <s v="Zamzam Land Construction Trading"/>
    <s v="Materials"/>
    <n v="1241.3793103448277"/>
    <s v="INV/2025/10984"/>
    <d v="2025-12-03T00:00:00"/>
    <n v="2025404412"/>
    <s v="Dec"/>
    <n v="2025"/>
  </r>
  <r>
    <n v="410"/>
    <x v="2"/>
    <x v="2"/>
    <s v="Actual"/>
    <x v="10"/>
    <m/>
    <s v="ZUMZUM ALFAYHAA INSAAT"/>
    <s v="Materials"/>
    <n v="1596.9"/>
    <s v="12388"/>
    <d v="2025-12-03T00:00:00"/>
    <n v="2025404195"/>
    <s v="Dec"/>
    <n v="2025"/>
  </r>
  <r>
    <n v="411"/>
    <x v="7"/>
    <x v="9"/>
    <s v="Actual"/>
    <x v="10"/>
    <m/>
    <s v="ZUMZUM ALFAYHAA INSAAT"/>
    <s v="Materials"/>
    <n v="170"/>
    <s v="12386"/>
    <d v="2025-12-03T00:00:00"/>
    <n v="2025404287"/>
    <s v="Dec"/>
    <n v="2025"/>
  </r>
  <r>
    <n v="412"/>
    <x v="4"/>
    <x v="27"/>
    <s v="Actual"/>
    <x v="10"/>
    <m/>
    <s v="ZUMZUM ALFAYHAA INSAAT"/>
    <s v="Materials"/>
    <n v="634.29999999999995"/>
    <n v="12418"/>
    <d v="2025-12-03T00:00:00"/>
    <n v="2025404301"/>
    <s v="Dec"/>
    <n v="2025"/>
  </r>
  <r>
    <n v="413"/>
    <x v="4"/>
    <x v="13"/>
    <s v="Actual"/>
    <x v="10"/>
    <m/>
    <s v="ZUMZUM ALFAYHAA INSAAT"/>
    <s v="Materials"/>
    <n v="832"/>
    <s v="12392"/>
    <d v="2025-12-03T00:00:00"/>
    <n v="2025404324"/>
    <s v="Dec"/>
    <n v="2025"/>
  </r>
  <r>
    <n v="414"/>
    <x v="7"/>
    <x v="9"/>
    <s v="Actual"/>
    <x v="10"/>
    <m/>
    <s v="ZUMZUM ALFAYHAA INSAAT"/>
    <s v="Materials"/>
    <n v="2931.7"/>
    <s v="12382"/>
    <d v="2025-12-03T00:00:00"/>
    <n v="2025404327"/>
    <s v="Dec"/>
    <n v="2025"/>
  </r>
  <r>
    <n v="415"/>
    <x v="4"/>
    <x v="13"/>
    <s v="Actual"/>
    <x v="10"/>
    <m/>
    <s v="ZUMZUM ALFAYHAA INSAAT"/>
    <s v="Materials"/>
    <n v="75"/>
    <s v="12390"/>
    <d v="2025-12-03T00:00:00"/>
    <n v="2025404332"/>
    <s v="Dec"/>
    <n v="2025"/>
  </r>
  <r>
    <n v="416"/>
    <x v="7"/>
    <x v="9"/>
    <s v="Actual"/>
    <x v="10"/>
    <m/>
    <s v="ZUMZUM ALFAYHAA INSAAT"/>
    <s v="Materials"/>
    <n v="295"/>
    <s v="12394"/>
    <d v="2025-10-05T00:00:00"/>
    <n v="2025404333"/>
    <s v="Dec"/>
    <n v="2025"/>
  </r>
  <r>
    <n v="417"/>
    <x v="4"/>
    <x v="10"/>
    <s v="Actual"/>
    <x v="10"/>
    <m/>
    <s v="ZUMZUM ALFAYHAA INSAAT"/>
    <s v="Materials"/>
    <n v="3075"/>
    <s v="12396"/>
    <d v="2025-12-03T00:00:00"/>
    <n v="2025404335"/>
    <s v="Dec"/>
    <n v="2025"/>
  </r>
  <r>
    <n v="418"/>
    <x v="7"/>
    <x v="9"/>
    <s v="Actual"/>
    <x v="10"/>
    <m/>
    <s v="ZUMZUM ALFAYHAA INSAAT"/>
    <s v="Materials"/>
    <n v="2931.7"/>
    <s v="12384"/>
    <d v="2025-12-03T00:00:00"/>
    <n v="2025404336"/>
    <s v="Dec"/>
    <n v="2025"/>
  </r>
  <r>
    <n v="419"/>
    <x v="4"/>
    <x v="27"/>
    <s v="Actual"/>
    <x v="10"/>
    <m/>
    <s v="ZUMZUM ALFAYHAA INSAAT"/>
    <s v="Materials"/>
    <n v="70"/>
    <s v="12372"/>
    <d v="2025-12-03T00:00:00"/>
    <n v="2025404337"/>
    <s v="Dec"/>
    <n v="2025"/>
  </r>
  <r>
    <n v="420"/>
    <x v="7"/>
    <x v="9"/>
    <s v="Actual"/>
    <x v="10"/>
    <m/>
    <s v="ZUMZUM ALFAYHAA INSAAT"/>
    <s v="Materials"/>
    <n v="684"/>
    <s v="12380"/>
    <d v="2025-12-03T00:00:00"/>
    <n v="2025404338"/>
    <s v="Dec"/>
    <n v="2025"/>
  </r>
  <r>
    <n v="421"/>
    <x v="4"/>
    <x v="22"/>
    <s v="Actual"/>
    <x v="10"/>
    <m/>
    <s v="ZUMZUM ALFAYHAA INSAAT"/>
    <s v="Materials"/>
    <n v="627"/>
    <s v="12374"/>
    <d v="2025-12-03T00:00:00"/>
    <n v="2025404339"/>
    <s v="Dec"/>
    <n v="2025"/>
  </r>
  <r>
    <n v="422"/>
    <x v="3"/>
    <x v="6"/>
    <s v="Actual"/>
    <x v="10"/>
    <m/>
    <s v="ZUMZUM ALFAYHAA INSAAT"/>
    <s v="Materials"/>
    <n v="340"/>
    <s v="12378"/>
    <d v="2025-12-03T00:00:00"/>
    <n v="2025404342"/>
    <s v="Dec"/>
    <n v="2025"/>
  </r>
  <r>
    <n v="423"/>
    <x v="2"/>
    <x v="2"/>
    <s v="Actual"/>
    <x v="10"/>
    <m/>
    <s v="ZUMZUM ALFAYHAA INSAAT"/>
    <s v="Materials"/>
    <n v="248.7"/>
    <s v="12370"/>
    <d v="2025-12-03T00:00:00"/>
    <n v="2025404348"/>
    <s v="Dec"/>
    <n v="2025"/>
  </r>
  <r>
    <n v="424"/>
    <x v="4"/>
    <x v="14"/>
    <s v="Actual"/>
    <x v="10"/>
    <m/>
    <s v="ZUMZUM ALFAYHAA INSAAT"/>
    <s v="Materials"/>
    <n v="795"/>
    <s v="12366"/>
    <d v="2025-12-03T00:00:00"/>
    <n v="2025404358"/>
    <s v="Dec"/>
    <n v="2025"/>
  </r>
  <r>
    <n v="425"/>
    <x v="7"/>
    <x v="9"/>
    <s v="Actual"/>
    <x v="10"/>
    <m/>
    <s v="ZUMZUM ALFAYHAA INSAAT"/>
    <s v="Materials"/>
    <n v="170"/>
    <s v="12404"/>
    <d v="2025-12-03T00:00:00"/>
    <n v="2025404362"/>
    <s v="Dec"/>
    <n v="2025"/>
  </r>
  <r>
    <n v="426"/>
    <x v="2"/>
    <x v="2"/>
    <s v="Actual"/>
    <x v="10"/>
    <m/>
    <s v="ZUMZUM ALFAYHAA INSAAT"/>
    <s v="Materials"/>
    <n v="390"/>
    <s v="12420"/>
    <d v="2025-12-03T00:00:00"/>
    <n v="2025404366"/>
    <s v="Dec"/>
    <n v="2025"/>
  </r>
  <r>
    <n v="427"/>
    <x v="4"/>
    <x v="14"/>
    <s v="Actual"/>
    <x v="10"/>
    <m/>
    <s v="ZUMZUM ALFAYHAA INSAAT"/>
    <s v="Materials"/>
    <n v="898.5"/>
    <s v="12432"/>
    <d v="2025-12-03T00:00:00"/>
    <n v="2025404385"/>
    <s v="Dec"/>
    <n v="2025"/>
  </r>
  <r>
    <n v="428"/>
    <x v="4"/>
    <x v="14"/>
    <s v="Actual"/>
    <x v="10"/>
    <m/>
    <s v="ZUMZUM ALFAYHAA INSAAT"/>
    <s v="Materials"/>
    <n v="195.5"/>
    <s v="12442"/>
    <d v="2025-12-03T00:00:00"/>
    <n v="2025404408"/>
    <s v="Dec"/>
    <n v="2025"/>
  </r>
  <r>
    <n v="429"/>
    <x v="3"/>
    <x v="3"/>
    <s v="Actual"/>
    <x v="10"/>
    <m/>
    <s v="ZUMZUM ALFAYHAA INSAAT"/>
    <s v="Materials"/>
    <n v="1408.7"/>
    <s v="12408"/>
    <d v="2025-12-03T00:00:00"/>
    <n v="2025403968"/>
    <s v="Dec"/>
    <n v="2025"/>
  </r>
  <r>
    <n v="430"/>
    <x v="6"/>
    <x v="7"/>
    <s v="Actual"/>
    <x v="10"/>
    <m/>
    <s v="ZUMZUM ALFAYHAA INSAAT"/>
    <s v="Materials"/>
    <n v="350"/>
    <s v="12364"/>
    <d v="2025-12-03T00:00:00"/>
    <n v="2025404355"/>
    <s v="Dec"/>
    <n v="2025"/>
  </r>
  <r>
    <n v="431"/>
    <x v="4"/>
    <x v="13"/>
    <s v="Actual"/>
    <x v="10"/>
    <m/>
    <s v="ZUMZUM ALFAYHAA INSAAT"/>
    <s v="Materials"/>
    <n v="140"/>
    <s v="12478"/>
    <d v="2025-12-10T00:00:00"/>
    <n v="2025404496"/>
    <s v="Dec"/>
    <n v="2025"/>
  </r>
  <r>
    <n v="432"/>
    <x v="4"/>
    <x v="22"/>
    <s v="Actual"/>
    <x v="10"/>
    <m/>
    <s v="ZUMZUM ALFAYHAA INSAAT"/>
    <s v="Materials"/>
    <n v="214.1"/>
    <s v="12476"/>
    <d v="2025-12-10T00:00:00"/>
    <n v="2025404502"/>
    <s v="Dec"/>
    <n v="2025"/>
  </r>
  <r>
    <n v="433"/>
    <x v="4"/>
    <x v="4"/>
    <s v="Actual"/>
    <x v="10"/>
    <m/>
    <s v="ZUMZUM ALFAYHAA INSAAT"/>
    <s v="Materials"/>
    <n v="535"/>
    <s v="12506"/>
    <d v="2025-12-10T00:00:00"/>
    <n v="2025404469"/>
    <s v="Dec"/>
    <n v="2025"/>
  </r>
  <r>
    <n v="434"/>
    <x v="4"/>
    <x v="14"/>
    <s v="Actual"/>
    <x v="10"/>
    <m/>
    <s v="ZUMZUM ALFAYHAA INSAAT"/>
    <s v="Materials"/>
    <n v="2598.6999999999998"/>
    <s v="12504"/>
    <d v="2025-12-10T00:00:00"/>
    <n v="2025404474"/>
    <s v="Dec"/>
    <n v="2025"/>
  </r>
  <r>
    <n v="435"/>
    <x v="3"/>
    <x v="16"/>
    <s v="Actual"/>
    <x v="10"/>
    <m/>
    <s v="ZUMZUM ALFAYHAA INSAAT"/>
    <s v="Materials"/>
    <n v="390"/>
    <s v="12502"/>
    <d v="2025-12-10T00:00:00"/>
    <n v="2025404476"/>
    <s v="Dec"/>
    <n v="2025"/>
  </r>
  <r>
    <n v="436"/>
    <x v="4"/>
    <x v="25"/>
    <s v="Actual"/>
    <x v="10"/>
    <m/>
    <s v="ZUMZUM ALFAYHAA INSAAT"/>
    <s v="Materials"/>
    <n v="140"/>
    <s v="12500"/>
    <d v="2025-12-10T00:00:00"/>
    <n v="2025404470"/>
    <s v="Dec"/>
    <n v="2025"/>
  </r>
  <r>
    <n v="437"/>
    <x v="3"/>
    <x v="3"/>
    <s v="Actual"/>
    <x v="10"/>
    <m/>
    <s v="ZUMZUM ALFAYHAA INSAAT"/>
    <s v="Materials"/>
    <n v="650"/>
    <s v="12498"/>
    <d v="2025-12-10T00:00:00"/>
    <n v="2025404477"/>
    <s v="Dec"/>
    <n v="2025"/>
  </r>
  <r>
    <n v="438"/>
    <x v="3"/>
    <x v="6"/>
    <s v="Actual"/>
    <x v="10"/>
    <m/>
    <s v="ZUMZUM ALFAYHAA INSAAT"/>
    <s v="Materials"/>
    <n v="45"/>
    <s v="12496"/>
    <d v="2025-12-10T00:00:00"/>
    <n v="2025404478"/>
    <s v="Dec"/>
    <n v="2025"/>
  </r>
  <r>
    <n v="439"/>
    <x v="4"/>
    <x v="14"/>
    <s v="Actual"/>
    <x v="10"/>
    <m/>
    <s v="ZUMZUM ALFAYHAA INSAAT"/>
    <s v="Materials"/>
    <n v="260"/>
    <s v="12494"/>
    <d v="2025-12-10T00:00:00"/>
    <n v="2025404479"/>
    <s v="Dec"/>
    <n v="2025"/>
  </r>
  <r>
    <n v="440"/>
    <x v="2"/>
    <x v="2"/>
    <s v="Actual"/>
    <x v="10"/>
    <m/>
    <s v="ZUMZUM ALFAYHAA INSAAT"/>
    <s v="Materials"/>
    <n v="280"/>
    <s v="12490"/>
    <d v="2025-12-10T00:00:00"/>
    <n v="2025404444"/>
    <s v="Dec"/>
    <n v="2025"/>
  </r>
  <r>
    <n v="441"/>
    <x v="4"/>
    <x v="25"/>
    <s v="Actual"/>
    <x v="10"/>
    <m/>
    <s v="ZUMZUM ALFAYHAA INSAAT"/>
    <s v="Materials"/>
    <n v="510"/>
    <s v="12486"/>
    <d v="2025-12-10T00:00:00"/>
    <n v="2025404458"/>
    <s v="Dec"/>
    <n v="2025"/>
  </r>
  <r>
    <n v="442"/>
    <x v="3"/>
    <x v="16"/>
    <s v="Actual"/>
    <x v="10"/>
    <m/>
    <s v="ZUMZUM ALFAYHAA INSAAT"/>
    <s v="Materials"/>
    <n v="768.9"/>
    <s v="12484"/>
    <d v="2025-12-10T00:00:00"/>
    <n v="2025404466"/>
    <s v="Dec"/>
    <n v="2025"/>
  </r>
  <r>
    <n v="443"/>
    <x v="7"/>
    <x v="21"/>
    <s v="Actual"/>
    <x v="10"/>
    <m/>
    <s v="ZUMZUM ALFAYHAA INSAAT"/>
    <s v="Materials"/>
    <n v="479.6"/>
    <s v="12482"/>
    <d v="2025-12-10T00:00:00"/>
    <n v="2025404457"/>
    <s v="Dec"/>
    <n v="2025"/>
  </r>
  <r>
    <n v="444"/>
    <x v="3"/>
    <x v="16"/>
    <s v="Actual"/>
    <x v="10"/>
    <m/>
    <s v="ZUMZUM ALFAYHAA INSAAT"/>
    <s v="Materials"/>
    <n v="1829.5"/>
    <s v="12460"/>
    <d v="2025-12-10T00:00:00"/>
    <n v="2025404345"/>
    <s v="Dec"/>
    <n v="2025"/>
  </r>
  <r>
    <n v="445"/>
    <x v="7"/>
    <x v="21"/>
    <s v="Actual"/>
    <x v="10"/>
    <m/>
    <s v="ZUMZUM ALFAYHAA INSAAT"/>
    <s v="Materials"/>
    <n v="953.3"/>
    <s v="12456"/>
    <d v="2025-12-10T00:00:00"/>
    <n v="2025404434"/>
    <s v="Dec"/>
    <n v="2025"/>
  </r>
  <r>
    <n v="446"/>
    <x v="4"/>
    <x v="27"/>
    <s v="Actual"/>
    <x v="10"/>
    <m/>
    <s v="ZUMZUM ALFAYHAA INSAAT"/>
    <s v="Materials"/>
    <n v="210.8"/>
    <s v="12352"/>
    <d v="2025-12-10T00:00:00"/>
    <n v="2025404315"/>
    <s v="Dec"/>
    <n v="2025"/>
  </r>
  <r>
    <n v="447"/>
    <x v="3"/>
    <x v="26"/>
    <s v="Actual"/>
    <x v="10"/>
    <m/>
    <s v="ZUMZUM ALFAYHAA INSAAT"/>
    <s v="Materials"/>
    <n v="1592.9"/>
    <s v="12524"/>
    <d v="2025-12-14T00:00:00"/>
    <n v="2025404537"/>
    <s v="Dec"/>
    <n v="2025"/>
  </r>
  <r>
    <n v="448"/>
    <x v="2"/>
    <x v="2"/>
    <s v="Actual"/>
    <x v="10"/>
    <m/>
    <s v="ZUMZUM ALFAYHAA INSAAT"/>
    <s v="Materials"/>
    <n v="480"/>
    <s v="12458"/>
    <d v="2025-12-10T00:00:00"/>
    <n v="2025404431"/>
    <s v="Dec"/>
    <n v="2025"/>
  </r>
  <r>
    <n v="449"/>
    <x v="2"/>
    <x v="2"/>
    <s v="Actual"/>
    <x v="10"/>
    <m/>
    <s v="ZUMZUM ALFAYHAA INSAAT"/>
    <s v="Materials"/>
    <n v="3301.5"/>
    <s v="12558"/>
    <d v="2025-12-13T00:00:00"/>
    <n v="2025404530"/>
    <s v="Dec"/>
    <n v="2025"/>
  </r>
  <r>
    <n v="450"/>
    <x v="3"/>
    <x v="26"/>
    <s v="Actual"/>
    <x v="10"/>
    <m/>
    <s v="ZUMZUM ALFAYHAA INSAAT"/>
    <s v="Materials"/>
    <n v="57.5"/>
    <s v="12520"/>
    <d v="2025-12-14T00:00:00"/>
    <n v="2025404540"/>
    <s v="Dec"/>
    <n v="2025"/>
  </r>
  <r>
    <n v="451"/>
    <x v="6"/>
    <x v="7"/>
    <s v="Actual"/>
    <x v="10"/>
    <m/>
    <s v="ZUMZUM ALFAYHAA INSAAT"/>
    <s v="Materials"/>
    <n v="800"/>
    <s v="12560"/>
    <d v="2025-12-13T00:00:00"/>
    <n v="2025404527"/>
    <s v="Dec"/>
    <n v="2025"/>
  </r>
  <r>
    <n v="452"/>
    <x v="4"/>
    <x v="13"/>
    <s v="Actual"/>
    <x v="10"/>
    <m/>
    <s v="ZUMZUM ALFAYHAA INSAAT"/>
    <s v="Materials"/>
    <n v="192"/>
    <s v="12568"/>
    <d v="2025-12-13T00:00:00"/>
    <n v="2025404528"/>
    <s v="Dec"/>
    <n v="2025"/>
  </r>
  <r>
    <n v="453"/>
    <x v="3"/>
    <x v="26"/>
    <s v="Actual"/>
    <x v="10"/>
    <m/>
    <s v="ZUMZUM ALFAYHAA INSAAT"/>
    <s v="Materials"/>
    <n v="155"/>
    <s v="12522"/>
    <d v="2025-12-13T00:00:00"/>
    <n v="2025404538"/>
    <s v="Dec"/>
    <n v="2025"/>
  </r>
  <r>
    <n v="454"/>
    <x v="2"/>
    <x v="2"/>
    <s v="Actual"/>
    <x v="10"/>
    <m/>
    <s v="ZUMZUM ALFAYHAA INSAAT"/>
    <s v="Materials"/>
    <n v="170"/>
    <s v="12516"/>
    <d v="2025-12-13T00:00:00"/>
    <n v="2025404539"/>
    <s v="Dec"/>
    <n v="2025"/>
  </r>
  <r>
    <n v="455"/>
    <x v="2"/>
    <x v="2"/>
    <s v="Actual"/>
    <x v="10"/>
    <m/>
    <s v="ZUMZUM ALFAYHAA INSAAT"/>
    <s v="Materials"/>
    <n v="2050"/>
    <s v="12554"/>
    <d v="2025-12-13T00:00:00"/>
    <n v="2025404521"/>
    <s v="Dec"/>
    <n v="2025"/>
  </r>
  <r>
    <n v="456"/>
    <x v="4"/>
    <x v="13"/>
    <s v="Actual"/>
    <x v="10"/>
    <m/>
    <s v="ZUMZUM ALFAYHAA INSAAT"/>
    <s v="Materials"/>
    <n v="1277"/>
    <s v="12492"/>
    <d v="2025-12-13T00:00:00"/>
    <n v="2025404489"/>
    <s v="Dec"/>
    <n v="2025"/>
  </r>
  <r>
    <n v="457"/>
    <x v="3"/>
    <x v="3"/>
    <s v="Actual"/>
    <x v="10"/>
    <m/>
    <s v="ZUMZUM ALFAYHAA INSAAT"/>
    <s v="Materials"/>
    <n v="416"/>
    <s v="12470"/>
    <d v="2025-12-14T00:00:00"/>
    <n v="2025404491"/>
    <s v="Dec"/>
    <n v="2025"/>
  </r>
  <r>
    <n v="458"/>
    <x v="4"/>
    <x v="13"/>
    <s v="Actual"/>
    <x v="10"/>
    <m/>
    <s v="ZUMZUM ALFAYHAA INSAAT"/>
    <s v="Materials"/>
    <n v="1097.5"/>
    <s v="12474"/>
    <d v="2025-12-13T00:00:00"/>
    <n v="2025404494"/>
    <s v="Dec"/>
    <n v="2025"/>
  </r>
  <r>
    <n v="459"/>
    <x v="7"/>
    <x v="21"/>
    <s v="Actual"/>
    <x v="10"/>
    <m/>
    <s v="ZUMZUM ALFAYHAA INSAAT"/>
    <s v="Materials"/>
    <n v="100"/>
    <s v="12436"/>
    <d v="2025-12-03T00:00:00"/>
    <n v="2025404410"/>
    <s v="Dec"/>
    <n v="2025"/>
  </r>
  <r>
    <n v="460"/>
    <x v="7"/>
    <x v="21"/>
    <s v="Actual"/>
    <x v="10"/>
    <m/>
    <s v="ZUMZUM ALFAYHAA INSAAT"/>
    <s v="Materials"/>
    <n v="1860.5"/>
    <s v="12438"/>
    <d v="2025-12-03T00:00:00"/>
    <n v="2025404409"/>
    <s v="Dec"/>
    <n v="2025"/>
  </r>
  <r>
    <n v="461"/>
    <x v="4"/>
    <x v="13"/>
    <s v="Actual"/>
    <x v="10"/>
    <m/>
    <s v="ZUMZUM ALFAYHAA INSAAT"/>
    <s v="Materials"/>
    <n v="182"/>
    <s v="12562"/>
    <d v="2025-12-14T00:00:00"/>
    <n v="2025404532"/>
    <s v="Dec"/>
    <n v="2025"/>
  </r>
  <r>
    <n v="462"/>
    <x v="6"/>
    <x v="7"/>
    <s v="Actual"/>
    <x v="10"/>
    <m/>
    <s v="ZUMZUM ALFAYHAA INSAAT"/>
    <s v="Materials"/>
    <n v="640"/>
    <s v="12472"/>
    <d v="2025-12-13T00:00:00"/>
    <n v="2025404498"/>
    <s v="Dec"/>
    <n v="2025"/>
  </r>
  <r>
    <n v="463"/>
    <x v="3"/>
    <x v="23"/>
    <s v="Actual"/>
    <x v="10"/>
    <m/>
    <s v="ZUMZUM ALFAYHAA INSAAT"/>
    <s v="Materials"/>
    <n v="75"/>
    <s v="12566"/>
    <d v="2025-12-13T00:00:00"/>
    <n v="2025404526"/>
    <s v="Dec"/>
    <n v="2025"/>
  </r>
  <r>
    <n v="464"/>
    <x v="7"/>
    <x v="9"/>
    <s v="Actual"/>
    <x v="10"/>
    <m/>
    <s v="ZUMZUM ALFAYHAA INSAAT"/>
    <s v="Materials"/>
    <n v="545.79999999999995"/>
    <s v="12586"/>
    <d v="2025-12-18T00:00:00"/>
    <n v="2025404591"/>
    <s v="Dec"/>
    <n v="2025"/>
  </r>
  <r>
    <n v="465"/>
    <x v="3"/>
    <x v="16"/>
    <s v="Actual"/>
    <x v="10"/>
    <m/>
    <s v="ZUMZUM ALFAYHAA INSAAT"/>
    <s v="Materials"/>
    <n v="1420"/>
    <s v="12590"/>
    <d v="2025-12-18T00:00:00"/>
    <n v="2025404589"/>
    <s v="Dec"/>
    <n v="2025"/>
  </r>
  <r>
    <n v="466"/>
    <x v="7"/>
    <x v="9"/>
    <s v="Actual"/>
    <x v="10"/>
    <m/>
    <s v="ZUMZUM ALFAYHAA INSAAT"/>
    <s v="Materials"/>
    <n v="331"/>
    <s v="12592"/>
    <d v="2025-12-18T00:00:00"/>
    <n v="2025404583"/>
    <s v="Dec"/>
    <n v="2025"/>
  </r>
  <r>
    <n v="467"/>
    <x v="7"/>
    <x v="9"/>
    <s v="Actual"/>
    <x v="10"/>
    <m/>
    <s v="ZUMZUM ALFAYHAA INSAAT"/>
    <s v="Materials"/>
    <n v="202"/>
    <s v="12584"/>
    <d v="2025-12-18T00:00:00"/>
    <n v="2025404592"/>
    <s v="Dec"/>
    <n v="2025"/>
  </r>
  <r>
    <n v="468"/>
    <x v="4"/>
    <x v="14"/>
    <s v="Actual"/>
    <x v="10"/>
    <m/>
    <s v="ZUMZUM ALFAYHAA INSAAT"/>
    <s v="Materials"/>
    <n v="580"/>
    <s v="12582"/>
    <d v="2025-12-18T00:00:00"/>
    <n v="2025404593"/>
    <s v="Dec"/>
    <n v="2025"/>
  </r>
  <r>
    <n v="469"/>
    <x v="4"/>
    <x v="14"/>
    <s v="Actual"/>
    <x v="10"/>
    <m/>
    <s v="ZUMZUM ALFAYHAA INSAAT"/>
    <s v="Materials"/>
    <n v="560"/>
    <s v="12588"/>
    <d v="2025-12-18T00:00:00"/>
    <n v="2025404590"/>
    <s v="Dec"/>
    <n v="2025"/>
  </r>
  <r>
    <n v="470"/>
    <x v="4"/>
    <x v="25"/>
    <s v="Actual"/>
    <x v="10"/>
    <m/>
    <s v="ZUMZUM ALFAYHAA INSAAT"/>
    <s v="Materials"/>
    <n v="661.2"/>
    <s v="12594"/>
    <d v="2025-12-18T00:00:00"/>
    <n v="2025404584"/>
    <s v="Dec"/>
    <n v="2025"/>
  </r>
  <r>
    <n v="471"/>
    <x v="6"/>
    <x v="33"/>
    <s v="Actual"/>
    <x v="10"/>
    <m/>
    <s v="ZUMZUM ALFAYHAA INSAAT"/>
    <s v="Materials"/>
    <n v="210"/>
    <s v="12578"/>
    <d v="2025-12-18T00:00:00"/>
    <n v="2025404597"/>
    <s v="Dec"/>
    <n v="2025"/>
  </r>
  <r>
    <n v="472"/>
    <x v="6"/>
    <x v="33"/>
    <s v="Actual"/>
    <x v="10"/>
    <m/>
    <s v="ZUMZUM ALFAYHAA INSAAT"/>
    <s v="Materials"/>
    <n v="2281"/>
    <s v="12580"/>
    <d v="2025-12-18T00:00:00"/>
    <n v="2025404582"/>
    <s v="Dec"/>
    <n v="2025"/>
  </r>
  <r>
    <n v="473"/>
    <x v="7"/>
    <x v="21"/>
    <s v="Actual"/>
    <x v="10"/>
    <m/>
    <s v="ZUMZUM ALFAYHAA INSAAT"/>
    <s v="Materials"/>
    <n v="693.2"/>
    <s v="12596"/>
    <d v="2025-12-18T00:00:00"/>
    <n v="2025404601"/>
    <s v="Dec"/>
    <n v="2025"/>
  </r>
  <r>
    <n v="474"/>
    <x v="4"/>
    <x v="20"/>
    <s v="Actual"/>
    <x v="10"/>
    <m/>
    <s v="ZUMZUM ALFAYHAA INSAAT"/>
    <s v="Materials"/>
    <n v="2074"/>
    <s v="12598"/>
    <d v="2025-12-18T00:00:00"/>
    <n v="2025404602"/>
    <s v="Dec"/>
    <n v="2025"/>
  </r>
  <r>
    <n v="475"/>
    <x v="6"/>
    <x v="33"/>
    <s v="Actual"/>
    <x v="10"/>
    <m/>
    <s v="ZUMZUM ALFAYHAA INSAAT"/>
    <s v="Materials"/>
    <n v="230"/>
    <s v="12610"/>
    <d v="2025-12-18T00:00:00"/>
    <n v="2025404611"/>
    <s v="Dec"/>
    <n v="2025"/>
  </r>
  <r>
    <n v="476"/>
    <x v="4"/>
    <x v="12"/>
    <s v="Actual"/>
    <x v="10"/>
    <m/>
    <s v="ZUMZUM ALFAYHAA INSAAT"/>
    <s v="Materials"/>
    <n v="96"/>
    <s v="12570"/>
    <d v="2025-12-18T00:00:00"/>
    <n v="2025404569"/>
    <s v="Dec"/>
    <n v="2025"/>
  </r>
  <r>
    <n v="477"/>
    <x v="4"/>
    <x v="13"/>
    <s v="Actual"/>
    <x v="10"/>
    <m/>
    <s v="ZUMZUM ALFAYHAA INSAAT"/>
    <s v="Materials"/>
    <n v="50"/>
    <s v="12604"/>
    <d v="2025-12-18T00:00:00"/>
    <n v="2025404608"/>
    <s v="Dec"/>
    <n v="2025"/>
  </r>
  <r>
    <n v="478"/>
    <x v="4"/>
    <x v="13"/>
    <s v="Actual"/>
    <x v="10"/>
    <m/>
    <s v="ZUMZUM ALFAYHAA INSAAT"/>
    <s v="Materials"/>
    <n v="395.2"/>
    <s v="12572"/>
    <d v="2025-12-18T00:00:00"/>
    <n v="2025404567"/>
    <s v="Dec"/>
    <n v="2025"/>
  </r>
  <r>
    <n v="479"/>
    <x v="3"/>
    <x v="16"/>
    <s v="Actual"/>
    <x v="10"/>
    <m/>
    <s v="ZUMZUM ALFAYHAA INSAAT"/>
    <s v="Materials"/>
    <n v="1110"/>
    <s v="12600"/>
    <d v="2025-12-18T00:00:00"/>
    <n v="2025404595"/>
    <s v="Dec"/>
    <n v="2025"/>
  </r>
  <r>
    <n v="480"/>
    <x v="6"/>
    <x v="33"/>
    <s v="Actual"/>
    <x v="10"/>
    <m/>
    <s v="ZUMZUM ALFAYHAA INSAAT"/>
    <s v="Materials"/>
    <n v="1600"/>
    <s v="12614"/>
    <d v="2025-12-18T00:00:00"/>
    <n v="2025404628"/>
    <s v="Dec"/>
    <n v="2025"/>
  </r>
  <r>
    <n v="481"/>
    <x v="4"/>
    <x v="14"/>
    <s v="Actual"/>
    <x v="10"/>
    <m/>
    <s v="ZUMZUM ALFAYHAA INSAAT"/>
    <s v="Materials"/>
    <n v="175"/>
    <s v="12606"/>
    <d v="2025-12-21T00:00:00"/>
    <n v="2025404609"/>
    <s v="Dec"/>
    <n v="2025"/>
  </r>
  <r>
    <n v="482"/>
    <x v="2"/>
    <x v="2"/>
    <s v="Actual"/>
    <x v="10"/>
    <m/>
    <s v="ZUMZUM ALFAYHAA INSAAT"/>
    <s v="Materials"/>
    <n v="701.8"/>
    <s v="12616"/>
    <d v="2025-12-21T00:00:00"/>
    <n v="2025404575"/>
    <s v="Dec"/>
    <n v="2025"/>
  </r>
  <r>
    <n v="483"/>
    <x v="6"/>
    <x v="33"/>
    <s v="Actual"/>
    <x v="10"/>
    <m/>
    <s v="ZUMZUM ALFAYHAA INSAAT"/>
    <s v="Materials"/>
    <n v="2250.6"/>
    <s v="12452"/>
    <d v="2025-12-13T00:00:00"/>
    <n v="2025404438"/>
    <s v="Dec"/>
    <n v="2025"/>
  </r>
  <r>
    <n v="484"/>
    <x v="4"/>
    <x v="13"/>
    <s v="Actual"/>
    <x v="10"/>
    <m/>
    <s v="ZUMZUM ALFAYHAA INSAAT"/>
    <s v="Materials"/>
    <n v="716.4"/>
    <s v="12672"/>
    <d v="2025-12-27T00:00:00"/>
    <n v="2025404680"/>
    <s v="Dec"/>
    <n v="2025"/>
  </r>
  <r>
    <n v="485"/>
    <x v="6"/>
    <x v="7"/>
    <s v="Actual"/>
    <x v="10"/>
    <m/>
    <s v="ZUMZUM ALFAYHAA INSAAT"/>
    <s v="Materials"/>
    <n v="860"/>
    <s v="12664"/>
    <d v="2025-12-27T00:00:00"/>
    <n v="2025404665"/>
    <s v="Dec"/>
    <n v="2025"/>
  </r>
  <r>
    <n v="486"/>
    <x v="6"/>
    <x v="7"/>
    <s v="Actual"/>
    <x v="10"/>
    <m/>
    <s v="ZUMZUM ALFAYHAA INSAAT"/>
    <s v="Materials"/>
    <n v="2600"/>
    <s v="12662"/>
    <d v="2025-12-27T00:00:00"/>
    <n v="2025404658"/>
    <s v="Dec"/>
    <n v="2025"/>
  </r>
  <r>
    <n v="487"/>
    <x v="2"/>
    <x v="2"/>
    <s v="Actual"/>
    <x v="10"/>
    <m/>
    <s v="ZUMZUM ALFAYHAA INSAAT"/>
    <s v="Materials"/>
    <n v="223"/>
    <s v="12656"/>
    <d v="2025-12-27T00:00:00"/>
    <n v="2025404661"/>
    <s v="Dec"/>
    <n v="2025"/>
  </r>
  <r>
    <n v="488"/>
    <x v="4"/>
    <x v="13"/>
    <s v="Actual"/>
    <x v="10"/>
    <m/>
    <s v="ZUMZUM ALFAYHAA INSAAT"/>
    <s v="Materials"/>
    <n v="560"/>
    <s v="12658"/>
    <d v="2025-12-27T00:00:00"/>
    <n v="2025404660"/>
    <s v="Dec"/>
    <n v="2025"/>
  </r>
  <r>
    <n v="489"/>
    <x v="3"/>
    <x v="6"/>
    <s v="Actual"/>
    <x v="10"/>
    <m/>
    <s v="ZUMZUM ALFAYHAA INSAAT"/>
    <s v="Materials"/>
    <n v="941.8"/>
    <s v="12574"/>
    <d v="2025-12-27T00:00:00"/>
    <n v="2025404564"/>
    <s v="Dec"/>
    <n v="2025"/>
  </r>
  <r>
    <n v="490"/>
    <x v="3"/>
    <x v="3"/>
    <s v="Actual"/>
    <x v="10"/>
    <m/>
    <s v="ZUMZUM ALFAYHAA INSAAT"/>
    <s v="Materials"/>
    <n v="240"/>
    <s v="12668"/>
    <d v="2025-12-27T00:00:00"/>
    <n v="2025404657"/>
    <s v="Dec"/>
    <n v="2025"/>
  </r>
  <r>
    <n v="491"/>
    <x v="6"/>
    <x v="33"/>
    <s v="Actual"/>
    <x v="10"/>
    <m/>
    <s v="ZUMZUM ALFAYHAA INSAAT"/>
    <s v="Materials"/>
    <n v="69"/>
    <s v="12690"/>
    <d v="2025-12-27T00:00:00"/>
    <n v="2025404687"/>
    <s v="Dec"/>
    <n v="2025"/>
  </r>
  <r>
    <n v="492"/>
    <x v="4"/>
    <x v="13"/>
    <s v="Actual"/>
    <x v="10"/>
    <m/>
    <s v="ZUMZUM ALFAYHAA INSAAT"/>
    <s v="Materials"/>
    <n v="125"/>
    <s v="12674"/>
    <d v="2025-12-27T00:00:00"/>
    <n v="2025404679"/>
    <s v="Dec"/>
    <n v="2025"/>
  </r>
  <r>
    <n v="493"/>
    <x v="6"/>
    <x v="33"/>
    <s v="Actual"/>
    <x v="10"/>
    <m/>
    <s v="ZUMZUM ALFAYHAA INSAAT"/>
    <s v="Materials"/>
    <n v="380"/>
    <s v="12698"/>
    <d v="2025-12-27T00:00:00"/>
    <n v="2025404720"/>
    <s v="Dec"/>
    <n v="2025"/>
  </r>
  <r>
    <n v="494"/>
    <x v="2"/>
    <x v="2"/>
    <s v="Actual"/>
    <x v="10"/>
    <m/>
    <s v="ZUMZUM ALFAYHAA INSAAT"/>
    <s v="Materials"/>
    <n v="180"/>
    <s v="12696"/>
    <d v="2025-12-27T00:00:00"/>
    <n v="2025404688"/>
    <s v="Dec"/>
    <n v="2025"/>
  </r>
  <r>
    <n v="495"/>
    <x v="4"/>
    <x v="13"/>
    <s v="Actual"/>
    <x v="10"/>
    <m/>
    <s v="ZUMZUM ALFAYHAA INSAAT"/>
    <s v="Materials"/>
    <n v="50"/>
    <s v="12608"/>
    <d v="2025-12-18T00:00:00"/>
    <n v="2025404610"/>
    <s v="Dec"/>
    <n v="2025"/>
  </r>
  <r>
    <n v="496"/>
    <x v="3"/>
    <x v="3"/>
    <s v="Actual"/>
    <x v="10"/>
    <m/>
    <s v="ZUMZUM ALFAYHAA INSAAT"/>
    <s v="Materials"/>
    <n v="4390"/>
    <s v="11154"/>
    <d v="2025-12-30T00:00:00"/>
    <n v="2025402898"/>
    <s v="Dec"/>
    <n v="2025"/>
  </r>
  <r>
    <n v="497"/>
    <x v="2"/>
    <x v="2"/>
    <s v="Actual"/>
    <x v="10"/>
    <m/>
    <s v="ZUMZUM ALFAYHAA INSAAT"/>
    <s v="Materials"/>
    <n v="1430"/>
    <s v="12176"/>
    <d v="2025-12-30T00:00:00"/>
    <n v="2025404158"/>
    <s v="Dec"/>
    <n v="2025"/>
  </r>
  <r>
    <n v="498"/>
    <x v="4"/>
    <x v="13"/>
    <s v="Actual"/>
    <x v="10"/>
    <m/>
    <s v="ZUMZUM ALFAYHAA INSAAT"/>
    <s v="Materials"/>
    <n v="170"/>
    <s v="12754"/>
    <d v="2025-12-31T00:00:00"/>
    <n v="2025404778"/>
    <s v="Dec"/>
    <n v="2025"/>
  </r>
  <r>
    <n v="499"/>
    <x v="2"/>
    <x v="2"/>
    <s v="Actual"/>
    <x v="10"/>
    <m/>
    <s v="ZUMZUM ALFAYHAA INSAAT"/>
    <s v="Materials"/>
    <n v="229"/>
    <s v="12744"/>
    <d v="2025-12-31T00:00:00"/>
    <n v="2025404739"/>
    <s v="Dec"/>
    <n v="2025"/>
  </r>
  <r>
    <n v="500"/>
    <x v="6"/>
    <x v="33"/>
    <s v="Actual"/>
    <x v="10"/>
    <m/>
    <s v="ZUMZUM ALFAYHAA INSAAT"/>
    <s v="Materials"/>
    <n v="1864"/>
    <s v="12748"/>
    <d v="2025-12-31T00:00:00"/>
    <n v="2025404728"/>
    <s v="Dec"/>
    <n v="2025"/>
  </r>
  <r>
    <n v="501"/>
    <x v="2"/>
    <x v="2"/>
    <s v="Actual"/>
    <x v="10"/>
    <m/>
    <s v="ZUMZUM ALFAYHAA INSAAT"/>
    <s v="Materials"/>
    <n v="4625"/>
    <s v="12694"/>
    <d v="2025-12-31T00:00:00"/>
    <n v="2025404689"/>
    <s v="Dec"/>
    <n v="2025"/>
  </r>
  <r>
    <n v="502"/>
    <x v="4"/>
    <x v="13"/>
    <s v="Actual"/>
    <x v="10"/>
    <m/>
    <s v="ZUMZUM ALFAYHAA INSAAT"/>
    <s v="Materials"/>
    <n v="60"/>
    <s v="12718"/>
    <d v="2025-12-31T00:00:00"/>
    <n v="2025404703"/>
    <s v="Dec"/>
    <n v="2025"/>
  </r>
  <r>
    <n v="503"/>
    <x v="4"/>
    <x v="13"/>
    <s v="Actual"/>
    <x v="10"/>
    <m/>
    <s v="ZUMZUM ALFAYHAA INSAAT"/>
    <s v="Materials"/>
    <n v="1960"/>
    <s v="12728"/>
    <d v="2025-12-31T00:00:00"/>
    <n v="2025404705"/>
    <s v="Dec"/>
    <n v="2025"/>
  </r>
  <r>
    <n v="504"/>
    <x v="4"/>
    <x v="14"/>
    <s v="Actual"/>
    <x v="10"/>
    <m/>
    <s v="ZUMZUM ALFAYHAA INSAAT"/>
    <s v="Materials"/>
    <n v="1502.9"/>
    <s v="12714"/>
    <d v="2025-12-31T00:00:00"/>
    <n v="2025404706"/>
    <s v="Dec"/>
    <n v="2025"/>
  </r>
  <r>
    <n v="505"/>
    <x v="4"/>
    <x v="22"/>
    <s v="Actual"/>
    <x v="10"/>
    <m/>
    <s v="ZUMZUM ALFAYHAA INSAAT"/>
    <s v="Materials"/>
    <n v="270"/>
    <s v="12760"/>
    <d v="2025-12-31T00:00:00"/>
    <n v="2025404733"/>
    <s v="Dec"/>
    <n v="2025"/>
  </r>
  <r>
    <n v="506"/>
    <x v="3"/>
    <x v="26"/>
    <s v="Actual"/>
    <x v="10"/>
    <m/>
    <s v="ZUMZUM ALFAYHAA INSAAT"/>
    <s v="Materials"/>
    <n v="2212.9"/>
    <s v="12756"/>
    <d v="2025-12-31T00:00:00"/>
    <n v="2025404771"/>
    <s v="Dec"/>
    <n v="2025"/>
  </r>
  <r>
    <n v="507"/>
    <x v="4"/>
    <x v="13"/>
    <s v="Actual"/>
    <x v="10"/>
    <m/>
    <s v="ZUMZUM ALFAYHAA INSAAT"/>
    <s v="Materials"/>
    <n v="620"/>
    <s v="12750"/>
    <d v="2025-12-31T00:00:00"/>
    <n v="2025404734"/>
    <s v="Dec"/>
    <n v="2025"/>
  </r>
  <r>
    <n v="508"/>
    <x v="2"/>
    <x v="2"/>
    <s v="Actual"/>
    <x v="10"/>
    <m/>
    <s v="ZUMZUM ALFAYHAA INSAAT"/>
    <s v="Materials"/>
    <n v="1467.8"/>
    <s v="12732"/>
    <d v="2025-12-31T00:00:00"/>
    <n v="2025404757"/>
    <s v="Dec"/>
    <n v="2025"/>
  </r>
  <r>
    <n v="509"/>
    <x v="6"/>
    <x v="33"/>
    <s v="Actual"/>
    <x v="10"/>
    <m/>
    <s v="ZUMZUM ALFAYHAA INSAAT"/>
    <s v="Materials"/>
    <n v="1010.8"/>
    <s v="12726"/>
    <d v="2025-12-31T00:00:00"/>
    <n v="2025404702"/>
    <s v="Dec"/>
    <n v="2025"/>
  </r>
  <r>
    <n v="510"/>
    <x v="6"/>
    <x v="33"/>
    <s v="Actual"/>
    <x v="10"/>
    <m/>
    <s v="ZUMZUM ALFAYHAA INSAAT"/>
    <s v="Materials"/>
    <n v="400"/>
    <s v="12708"/>
    <d v="2025-12-31T00:00:00"/>
    <n v="2025404754"/>
    <s v="Dec"/>
    <n v="2025"/>
  </r>
  <r>
    <n v="511"/>
    <x v="3"/>
    <x v="3"/>
    <s v="Actual"/>
    <x v="10"/>
    <m/>
    <s v="ZUMZUM ALFAYHAA INSAAT"/>
    <s v="Materials"/>
    <n v="170"/>
    <s v="12710"/>
    <d v="2025-12-31T00:00:00"/>
    <n v="2025404744"/>
    <s v="Dec"/>
    <n v="2025"/>
  </r>
  <r>
    <n v="512"/>
    <x v="4"/>
    <x v="10"/>
    <s v="Actual"/>
    <x v="10"/>
    <m/>
    <s v="ZUMZUM ALFAYHAA INSAAT"/>
    <s v="Materials"/>
    <n v="1600"/>
    <s v="12738"/>
    <d v="2025-12-31T00:00:00"/>
    <n v="2025404735"/>
    <s v="Dec"/>
    <n v="2025"/>
  </r>
  <r>
    <n v="513"/>
    <x v="7"/>
    <x v="9"/>
    <s v="Actual"/>
    <x v="10"/>
    <m/>
    <s v="ZUMZUM ALFAYHAA INSAAT"/>
    <s v="Materials"/>
    <n v="290"/>
    <s v="12758"/>
    <d v="2025-12-31T00:00:00"/>
    <n v="2025404772"/>
    <s v="Dec"/>
    <n v="2025"/>
  </r>
  <r>
    <n v="514"/>
    <x v="3"/>
    <x v="15"/>
    <s v="Actual"/>
    <x v="10"/>
    <m/>
    <s v="ZUMZUM ALFAYHAA INSAAT"/>
    <s v="Materials"/>
    <n v="101"/>
    <s v="12764"/>
    <d v="2025-12-31T00:00:00"/>
    <n v="2025404741"/>
    <s v="Dec"/>
    <n v="2025"/>
  </r>
  <r>
    <n v="515"/>
    <x v="3"/>
    <x v="16"/>
    <s v="Actual"/>
    <x v="10"/>
    <m/>
    <s v="ZUMZUM ALFAYHAA INSAAT"/>
    <s v="Materials"/>
    <n v="2197.1999999999998"/>
    <s v="12740"/>
    <d v="2025-12-31T00:00:00"/>
    <n v="2025404736"/>
    <s v="Dec"/>
    <n v="2025"/>
  </r>
  <r>
    <n v="516"/>
    <x v="6"/>
    <x v="7"/>
    <s v="Actual"/>
    <x v="10"/>
    <m/>
    <s v="ZUMZUM ALFAYHAA INSAAT"/>
    <s v="Materials"/>
    <n v="1998.5"/>
    <s v="11604"/>
    <d v="2025-12-31T00:00:00"/>
    <n v="2025403491"/>
    <s v="Dec"/>
    <n v="2025"/>
  </r>
  <r>
    <n v="517"/>
    <x v="4"/>
    <x v="14"/>
    <s v="Actual"/>
    <x v="10"/>
    <m/>
    <s v="ZUMZUM ALFAYHAA INSAAT"/>
    <s v="Materials"/>
    <n v="680.9"/>
    <s v="12742"/>
    <d v="2025-12-31T00:00:00"/>
    <n v="2025404722"/>
    <s v="Dec"/>
    <n v="2025"/>
  </r>
  <r>
    <n v="518"/>
    <x v="4"/>
    <x v="14"/>
    <s v="Actual"/>
    <x v="10"/>
    <m/>
    <s v="ZUMZUM ALFAYHAA INSAAT"/>
    <s v="Materials"/>
    <n v="970"/>
    <s v="12762"/>
    <d v="2025-12-31T00:00:00"/>
    <n v="2025404721"/>
    <s v="Dec"/>
    <n v="2025"/>
  </r>
  <r>
    <n v="519"/>
    <x v="3"/>
    <x v="26"/>
    <s v="Actual"/>
    <x v="10"/>
    <m/>
    <s v="ZUMZUM ALFAYHAA INSAAT"/>
    <s v="Materials"/>
    <n v="726"/>
    <s v="12766"/>
    <d v="2025-12-31T00:00:00"/>
    <n v="2025404773"/>
    <s v="Dec"/>
    <n v="2025"/>
  </r>
  <r>
    <n v="520"/>
    <x v="6"/>
    <x v="33"/>
    <s v="Actual"/>
    <x v="10"/>
    <m/>
    <s v="ZUMZUM ALFAYHAA INSAAT"/>
    <s v="Materials"/>
    <n v="1784.4"/>
    <s v="12746"/>
    <d v="2025-12-31T00:00:00"/>
    <n v="2025404737"/>
    <s v="Dec"/>
    <n v="2025"/>
  </r>
  <r>
    <n v="521"/>
    <x v="4"/>
    <x v="14"/>
    <s v="Actual"/>
    <x v="10"/>
    <m/>
    <s v="ZUMZUM ALFAYHAA INSAAT"/>
    <s v="Materials"/>
    <n v="150"/>
    <s v="12842"/>
    <d v="2026-01-10T00:00:00"/>
    <n v="2025404866"/>
    <s v="Dec"/>
    <n v="2025"/>
  </r>
  <r>
    <n v="522"/>
    <x v="4"/>
    <x v="13"/>
    <s v="Actual"/>
    <x v="10"/>
    <m/>
    <s v="ZUMZUM ALFAYHAA INSAAT"/>
    <s v="Materials"/>
    <n v="326"/>
    <s v="12824"/>
    <d v="2026-01-10T00:00:00"/>
    <n v="2025404855"/>
    <s v="Dec"/>
    <n v="2025"/>
  </r>
  <r>
    <n v="523"/>
    <x v="6"/>
    <x v="7"/>
    <s v="Actual"/>
    <x v="10"/>
    <m/>
    <s v="ZUMZUM ALFAYHAA INSAAT"/>
    <s v="Materials"/>
    <n v="450"/>
    <s v="12830"/>
    <d v="2026-01-10T00:00:00"/>
    <n v="2025404857"/>
    <s v="Dec"/>
    <n v="2025"/>
  </r>
  <r>
    <n v="524"/>
    <x v="6"/>
    <x v="7"/>
    <s v="Actual"/>
    <x v="10"/>
    <m/>
    <s v="ZUMZUM ALFAYHAA INSAAT"/>
    <s v="Materials"/>
    <n v="2830"/>
    <s v="12660"/>
    <d v="2026-01-10T00:00:00"/>
    <n v="2025404655"/>
    <s v="Dec"/>
    <n v="2025"/>
  </r>
  <r>
    <n v="525"/>
    <x v="3"/>
    <x v="3"/>
    <s v="Actual"/>
    <x v="10"/>
    <m/>
    <s v="ZUMZUM ALFAYHAA INSAAT"/>
    <s v="Materials"/>
    <n v="430"/>
    <s v="12882"/>
    <d v="2026-01-10T00:00:00"/>
    <n v="2026400012"/>
    <s v="Dec"/>
    <n v="2025"/>
  </r>
  <r>
    <n v="526"/>
    <x v="2"/>
    <x v="2"/>
    <s v="Actual"/>
    <x v="10"/>
    <m/>
    <s v="ZUMZUM ALFAYHAA INSAAT"/>
    <s v="Materials"/>
    <n v="1679.8"/>
    <s v="12910"/>
    <d v="2026-01-10T00:00:00"/>
    <n v="2025404813"/>
    <s v="Dec"/>
    <n v="2025"/>
  </r>
  <r>
    <n v="527"/>
    <x v="6"/>
    <x v="7"/>
    <s v="Actual"/>
    <x v="10"/>
    <m/>
    <s v="ZUMZUM ALFAYHAA INSAAT"/>
    <s v="Materials"/>
    <n v="800"/>
    <s v="12822"/>
    <d v="2026-01-08T00:00:00"/>
    <n v="2025404853"/>
    <s v="Dec"/>
    <n v="2025"/>
  </r>
  <r>
    <n v="528"/>
    <x v="2"/>
    <x v="2"/>
    <s v="Actual"/>
    <x v="10"/>
    <m/>
    <s v="ZUMZUM ALFAYHAA INSAAT"/>
    <s v="Materials"/>
    <n v="555"/>
    <s v="12814"/>
    <d v="2026-01-10T00:00:00"/>
    <n v="2025404829"/>
    <s v="Dec"/>
    <n v="2025"/>
  </r>
  <r>
    <n v="529"/>
    <x v="3"/>
    <x v="3"/>
    <s v="Actual"/>
    <x v="10"/>
    <m/>
    <s v="ZUMZUM ALFAYHAA INSAAT"/>
    <s v="Materials"/>
    <n v="94"/>
    <s v="12884"/>
    <d v="2026-01-11T00:00:00"/>
    <n v="2026400010"/>
    <s v="Dec"/>
    <n v="2025"/>
  </r>
  <r>
    <n v="530"/>
    <x v="3"/>
    <x v="16"/>
    <s v="Actual"/>
    <x v="10"/>
    <m/>
    <s v="ZUMZUM ALFAYHAA INSAAT"/>
    <s v="Materials"/>
    <n v="2620"/>
    <s v="12872"/>
    <d v="2026-01-10T00:00:00"/>
    <n v="2025404871"/>
    <s v="Dec"/>
    <n v="2025"/>
  </r>
  <r>
    <n v="531"/>
    <x v="4"/>
    <x v="14"/>
    <s v="Actual"/>
    <x v="10"/>
    <m/>
    <s v="ZUMZUM ALFAYHAA INSAAT"/>
    <s v="Materials"/>
    <n v="1600"/>
    <s v="12868"/>
    <d v="2026-01-10T00:00:00"/>
    <n v="2025404768"/>
    <s v="Dec"/>
    <n v="2025"/>
  </r>
  <r>
    <n v="532"/>
    <x v="2"/>
    <x v="2"/>
    <s v="Actual"/>
    <x v="10"/>
    <m/>
    <s v="ZUMZUM ALFAYHAA INSAAT"/>
    <s v="Materials"/>
    <n v="370"/>
    <s v="12860"/>
    <d v="2026-01-10T00:00:00"/>
    <n v="2025404876"/>
    <s v="Dec"/>
    <n v="2025"/>
  </r>
  <r>
    <n v="533"/>
    <x v="2"/>
    <x v="2"/>
    <s v="Actual"/>
    <x v="10"/>
    <m/>
    <s v="ZUMZUM ALFAYHAA INSAAT"/>
    <s v="Materials"/>
    <n v="330"/>
    <s v="12856"/>
    <d v="2026-01-11T00:00:00"/>
    <n v="2025404875"/>
    <s v="Dec"/>
    <n v="2025"/>
  </r>
  <r>
    <n v="534"/>
    <x v="7"/>
    <x v="24"/>
    <s v="Actual"/>
    <x v="10"/>
    <m/>
    <s v="ZUMZUM ALFAYHAA INSAAT"/>
    <s v="Materials"/>
    <n v="45.5"/>
    <s v="12840"/>
    <d v="2026-01-10T00:00:00"/>
    <n v="2025404864"/>
    <s v="Dec"/>
    <n v="2025"/>
  </r>
  <r>
    <n v="535"/>
    <x v="4"/>
    <x v="13"/>
    <s v="Actual"/>
    <x v="10"/>
    <m/>
    <s v="ZUMZUM ALFAYHAA INSAAT"/>
    <s v="Materials"/>
    <n v="2650"/>
    <s v="12854"/>
    <d v="2026-01-10T00:00:00"/>
    <n v="2025404867"/>
    <s v="Dec"/>
    <n v="2025"/>
  </r>
  <r>
    <n v="536"/>
    <x v="6"/>
    <x v="33"/>
    <s v="Actual"/>
    <x v="10"/>
    <m/>
    <s v="ZUMZUM ALFAYHAA INSAAT"/>
    <s v="Materials"/>
    <n v="1300"/>
    <s v="12812"/>
    <d v="2026-01-08T00:00:00"/>
    <n v="2025404840"/>
    <s v="Dec"/>
    <n v="2025"/>
  </r>
  <r>
    <n v="537"/>
    <x v="4"/>
    <x v="14"/>
    <s v="Actual"/>
    <x v="10"/>
    <m/>
    <s v="ZUMZUM ALFAYHAA INSAAT"/>
    <s v="Materials"/>
    <n v="1034.7"/>
    <s v="12794"/>
    <d v="2026-01-08T00:00:00"/>
    <n v="2025404786"/>
    <s v="Dec"/>
    <n v="2025"/>
  </r>
  <r>
    <n v="538"/>
    <x v="3"/>
    <x v="16"/>
    <s v="Actual"/>
    <x v="10"/>
    <m/>
    <s v="MOHAMMED HADAD OFFICE"/>
    <s v="Materials"/>
    <n v="1196.5517241379309"/>
    <s v="00505"/>
    <d v="2025-12-23T00:00:00"/>
    <n v="2026400078"/>
    <s v="Dec"/>
    <n v="2025"/>
  </r>
  <r>
    <n v="539"/>
    <x v="7"/>
    <x v="9"/>
    <s v="Actual"/>
    <x v="10"/>
    <m/>
    <s v="Al-Ghadeer Print"/>
    <s v="Materials"/>
    <n v="58.620689655172413"/>
    <s v="0390"/>
    <d v="2025-12-11T00:00:00"/>
    <n v="2026400133"/>
    <s v="Dec"/>
    <n v="2025"/>
  </r>
  <r>
    <n v="540"/>
    <x v="3"/>
    <x v="16"/>
    <s v="Actual"/>
    <x v="10"/>
    <m/>
    <s v="AL MUSTAFA INDUSTRIAL IRON TRADING"/>
    <s v="Materials/Iron"/>
    <n v="10524.2"/>
    <s v="410"/>
    <d v="2025-11-27T00:00:00"/>
    <n v="2025404308"/>
    <s v="Dec"/>
    <n v="2025"/>
  </r>
  <r>
    <n v="541"/>
    <x v="4"/>
    <x v="13"/>
    <s v="Actual"/>
    <x v="10"/>
    <m/>
    <s v="BLUE LINE"/>
    <s v="Materials"/>
    <n v="444.65"/>
    <s v="6694"/>
    <d v="2025-12-10T00:00:00"/>
    <n v="2026400022"/>
    <s v="Dec"/>
    <n v="2025"/>
  </r>
  <r>
    <n v="542"/>
    <x v="4"/>
    <x v="14"/>
    <s v="Actual"/>
    <x v="10"/>
    <m/>
    <s v="BLUE LINE"/>
    <s v="Materials"/>
    <n v="507.69"/>
    <s v="6704"/>
    <d v="2025-12-20T00:00:00"/>
    <n v="2026400033"/>
    <s v="Dec"/>
    <n v="2025"/>
  </r>
  <r>
    <n v="543"/>
    <x v="4"/>
    <x v="14"/>
    <s v="Actual"/>
    <x v="10"/>
    <m/>
    <s v="BLUE LINE"/>
    <s v="Materials"/>
    <n v="831"/>
    <s v="6706"/>
    <d v="2025-12-20T00:00:00"/>
    <n v="2026400038"/>
    <s v="Dec"/>
    <n v="2025"/>
  </r>
  <r>
    <n v="544"/>
    <x v="7"/>
    <x v="9"/>
    <s v="Actual"/>
    <x v="10"/>
    <m/>
    <s v="BLUE LINE"/>
    <s v="Materials"/>
    <n v="793.33"/>
    <s v="6707"/>
    <d v="2025-12-20T00:00:00"/>
    <n v="2026400039"/>
    <s v="Dec"/>
    <n v="2025"/>
  </r>
  <r>
    <n v="545"/>
    <x v="2"/>
    <x v="2"/>
    <s v="Actual"/>
    <x v="10"/>
    <m/>
    <s v="AL MUSTAFA INDUSTRIAL IRON TRADING"/>
    <s v="Materials/Iron"/>
    <n v="2003.6"/>
    <s v="474"/>
    <d v="2026-01-14T00:00:00"/>
    <n v="2026400127"/>
    <s v="Dec"/>
    <n v="2025"/>
  </r>
  <r>
    <n v="546"/>
    <x v="2"/>
    <x v="2"/>
    <s v="Accrual"/>
    <x v="11"/>
    <m/>
    <s v="Al Hurea Security Services"/>
    <s v="Guards"/>
    <n v="20485.2"/>
    <s v="N/A"/>
    <s v="N/A"/>
    <s v="N/A"/>
    <s v="Dec"/>
    <n v="2025"/>
  </r>
  <r>
    <n v="547"/>
    <x v="4"/>
    <x v="4"/>
    <s v="Actual"/>
    <x v="11"/>
    <m/>
    <s v="Al-Zubair Gate"/>
    <s v="Guards"/>
    <n v="1379.3103448275863"/>
    <s v="2535"/>
    <d v="2025-12-31T00:00:00"/>
    <s v="N/A"/>
    <s v="Dec"/>
    <n v="2025"/>
  </r>
  <r>
    <n v="548"/>
    <x v="1"/>
    <x v="1"/>
    <s v="Actual"/>
    <x v="11"/>
    <m/>
    <s v="LARSA Security"/>
    <s v="Guards"/>
    <n v="2640"/>
    <s v="INV-IGCC-NORTH-25-12-301"/>
    <d v="2025-12-29T00:00:00"/>
    <s v="N/A"/>
    <s v="Dec"/>
    <n v="2025"/>
  </r>
  <r>
    <n v="549"/>
    <x v="4"/>
    <x v="4"/>
    <s v="Actual"/>
    <x v="11"/>
    <m/>
    <s v="LARSA Security"/>
    <s v="Guards"/>
    <n v="15500"/>
    <s v="INV-IGCC-QARINAT-25-12-297"/>
    <d v="2025-12-29T00:00:00"/>
    <s v="N/A"/>
    <s v="Dec"/>
    <n v="2025"/>
  </r>
  <r>
    <n v="550"/>
    <x v="1"/>
    <x v="1"/>
    <s v="Actual"/>
    <x v="11"/>
    <m/>
    <s v="LARSA Security"/>
    <s v="PSD"/>
    <n v="8640"/>
    <s v="INV-IGCC-SOUTH-25-12-300"/>
    <d v="2025-12-29T00:00:00"/>
    <s v="N/A"/>
    <s v="Dec"/>
    <n v="2025"/>
  </r>
  <r>
    <n v="551"/>
    <x v="3"/>
    <x v="16"/>
    <s v="Actual"/>
    <x v="11"/>
    <m/>
    <s v="LARSA Security"/>
    <s v="Guards"/>
    <n v="15500"/>
    <s v="INV-IGCC-UM QASIR ADHOC-25-12-299"/>
    <d v="2025-12-29T00:00:00"/>
    <s v="N/A"/>
    <s v="Dec"/>
    <n v="2025"/>
  </r>
  <r>
    <n v="552"/>
    <x v="3"/>
    <x v="16"/>
    <s v="Actual"/>
    <x v="11"/>
    <m/>
    <s v="LARSA Security"/>
    <s v="Guards"/>
    <n v="3720"/>
    <s v="INV-IGCC-UM QASIR -25-12-298"/>
    <d v="2025-12-29T00:00:00"/>
    <s v="N/A"/>
    <s v="Dec"/>
    <n v="2025"/>
  </r>
  <r>
    <n v="553"/>
    <x v="6"/>
    <x v="7"/>
    <s v="Actual"/>
    <x v="11"/>
    <m/>
    <s v="Derraa Al Rumaila Security"/>
    <s v="Guards"/>
    <n v="11520"/>
    <s v="3011401225"/>
    <d v="2025-12-30T00:00:00"/>
    <s v="N/A"/>
    <s v="Dec"/>
    <n v="2025"/>
  </r>
  <r>
    <n v="554"/>
    <x v="3"/>
    <x v="15"/>
    <s v="Actual"/>
    <x v="11"/>
    <m/>
    <s v="Derraa Al Rumaila Security"/>
    <s v="Guards"/>
    <n v="4500"/>
    <s v="3011401225"/>
    <d v="2025-12-30T00:00:00"/>
    <s v="N/A"/>
    <s v="Dec"/>
    <n v="2025"/>
  </r>
  <r>
    <n v="555"/>
    <x v="3"/>
    <x v="15"/>
    <s v="Actual"/>
    <x v="11"/>
    <m/>
    <s v="Derraa Al Rumaila Security"/>
    <s v="PSD"/>
    <n v="1000"/>
    <s v="3011401225"/>
    <d v="2025-12-30T00:00:00"/>
    <s v="N/A"/>
    <s v="Dec"/>
    <n v="2025"/>
  </r>
  <r>
    <n v="556"/>
    <x v="0"/>
    <x v="0"/>
    <s v="Accrual"/>
    <x v="12"/>
    <m/>
    <s v="IGCC"/>
    <s v="Social security"/>
    <n v="25000"/>
    <s v="N/A"/>
    <s v="N/A"/>
    <s v="N/A"/>
    <s v="Dec"/>
    <n v="2025"/>
  </r>
  <r>
    <n v="557"/>
    <x v="3"/>
    <x v="6"/>
    <s v="Actual"/>
    <x v="13"/>
    <m/>
    <s v="IGCC"/>
    <s v="Payroll Dec"/>
    <n v="102612"/>
    <s v="N/A"/>
    <s v="N/A"/>
    <s v="N/A"/>
    <s v="Dec"/>
    <n v="2025"/>
  </r>
  <r>
    <n v="558"/>
    <x v="3"/>
    <x v="34"/>
    <s v="Actual"/>
    <x v="13"/>
    <m/>
    <s v="IGCC"/>
    <s v="Payroll Dec"/>
    <n v="15601"/>
    <s v="N/A"/>
    <s v="N/A"/>
    <s v="N/A"/>
    <s v="Dec"/>
    <n v="2025"/>
  </r>
  <r>
    <n v="559"/>
    <x v="3"/>
    <x v="3"/>
    <s v="Actual"/>
    <x v="13"/>
    <m/>
    <s v="IGCC"/>
    <s v="Payroll Dec"/>
    <n v="115204"/>
    <s v="N/A"/>
    <s v="N/A"/>
    <s v="N/A"/>
    <s v="Dec"/>
    <n v="2025"/>
  </r>
  <r>
    <n v="560"/>
    <x v="3"/>
    <x v="23"/>
    <s v="Actual"/>
    <x v="13"/>
    <m/>
    <s v="IGCC"/>
    <s v="Payroll Dec"/>
    <n v="37874"/>
    <s v="N/A"/>
    <s v="N/A"/>
    <s v="N/A"/>
    <s v="Dec"/>
    <n v="2025"/>
  </r>
  <r>
    <n v="561"/>
    <x v="3"/>
    <x v="15"/>
    <s v="Actual"/>
    <x v="13"/>
    <m/>
    <s v="IGCC"/>
    <s v="Payroll Dec"/>
    <n v="532"/>
    <s v="N/A"/>
    <s v="N/A"/>
    <s v="N/A"/>
    <s v="Dec"/>
    <n v="2025"/>
  </r>
  <r>
    <n v="562"/>
    <x v="3"/>
    <x v="26"/>
    <s v="Actual"/>
    <x v="13"/>
    <m/>
    <s v="IGCC"/>
    <s v="Payroll Dec"/>
    <n v="49261"/>
    <s v="N/A"/>
    <s v="N/A"/>
    <s v="N/A"/>
    <s v="Dec"/>
    <n v="2025"/>
  </r>
  <r>
    <n v="563"/>
    <x v="3"/>
    <x v="16"/>
    <s v="Actual"/>
    <x v="13"/>
    <m/>
    <s v="IGCC"/>
    <s v="Payroll Dec"/>
    <n v="211374"/>
    <s v="N/A"/>
    <s v="N/A"/>
    <s v="N/A"/>
    <s v="Dec"/>
    <n v="2025"/>
  </r>
  <r>
    <n v="564"/>
    <x v="5"/>
    <x v="5"/>
    <s v="Actual"/>
    <x v="13"/>
    <m/>
    <s v="IGCC"/>
    <s v="Payroll Dec"/>
    <n v="19864"/>
    <s v="N/A"/>
    <s v="N/A"/>
    <s v="N/A"/>
    <s v="Dec"/>
    <n v="2025"/>
  </r>
  <r>
    <n v="565"/>
    <x v="6"/>
    <x v="7"/>
    <s v="Actual"/>
    <x v="13"/>
    <m/>
    <s v="IGCC"/>
    <s v="Payroll Dec"/>
    <n v="94120"/>
    <s v="N/A"/>
    <s v="N/A"/>
    <s v="N/A"/>
    <s v="Dec"/>
    <n v="2025"/>
  </r>
  <r>
    <n v="566"/>
    <x v="0"/>
    <x v="0"/>
    <s v="Actual"/>
    <x v="13"/>
    <m/>
    <s v="IGCC"/>
    <s v="Payroll Dec"/>
    <n v="96595"/>
    <s v="N/A"/>
    <s v="N/A"/>
    <s v="N/A"/>
    <s v="Dec"/>
    <n v="2025"/>
  </r>
  <r>
    <n v="567"/>
    <x v="8"/>
    <x v="17"/>
    <s v="Actual"/>
    <x v="13"/>
    <m/>
    <s v="IGCC"/>
    <s v="Payroll Dec"/>
    <n v="436"/>
    <s v="N/A"/>
    <s v="N/A"/>
    <s v="N/A"/>
    <s v="Dec"/>
    <n v="2025"/>
  </r>
  <r>
    <n v="568"/>
    <x v="10"/>
    <x v="33"/>
    <s v="Actual"/>
    <x v="13"/>
    <m/>
    <s v="IGCC"/>
    <s v="Payroll Dec"/>
    <n v="64063"/>
    <s v="N/A"/>
    <s v="N/A"/>
    <s v="N/A"/>
    <s v="Dec"/>
    <n v="2025"/>
  </r>
  <r>
    <n v="569"/>
    <x v="1"/>
    <x v="1"/>
    <s v="Actual"/>
    <x v="13"/>
    <m/>
    <s v="IGCC"/>
    <s v="Payroll Dec"/>
    <n v="57617"/>
    <s v="N/A"/>
    <s v="N/A"/>
    <s v="N/A"/>
    <s v="Dec"/>
    <n v="2025"/>
  </r>
  <r>
    <n v="570"/>
    <x v="7"/>
    <x v="35"/>
    <s v="Actual"/>
    <x v="13"/>
    <m/>
    <s v="IGCC"/>
    <s v="Payroll Dec"/>
    <n v="1217"/>
    <s v="N/A"/>
    <s v="N/A"/>
    <s v="N/A"/>
    <s v="Dec"/>
    <n v="2025"/>
  </r>
  <r>
    <n v="571"/>
    <x v="7"/>
    <x v="9"/>
    <s v="Actual"/>
    <x v="13"/>
    <m/>
    <s v="IGCC"/>
    <s v="Payroll Dec"/>
    <n v="41827"/>
    <s v="N/A"/>
    <s v="N/A"/>
    <s v="N/A"/>
    <s v="Dec"/>
    <n v="2025"/>
  </r>
  <r>
    <n v="572"/>
    <x v="7"/>
    <x v="21"/>
    <s v="Actual"/>
    <x v="13"/>
    <m/>
    <s v="IGCC"/>
    <s v="Payroll Dec"/>
    <n v="120508"/>
    <s v="N/A"/>
    <s v="N/A"/>
    <s v="N/A"/>
    <s v="Dec"/>
    <n v="2025"/>
  </r>
  <r>
    <n v="573"/>
    <x v="7"/>
    <x v="24"/>
    <s v="Actual"/>
    <x v="13"/>
    <m/>
    <s v="IGCC"/>
    <s v="Payroll Dec"/>
    <n v="14185"/>
    <s v="N/A"/>
    <s v="N/A"/>
    <s v="N/A"/>
    <s v="Dec"/>
    <n v="2025"/>
  </r>
  <r>
    <n v="574"/>
    <x v="4"/>
    <x v="20"/>
    <s v="Actual"/>
    <x v="13"/>
    <m/>
    <s v="IGCC"/>
    <s v="Payroll Dec"/>
    <n v="55393"/>
    <s v="N/A"/>
    <s v="N/A"/>
    <s v="N/A"/>
    <s v="Dec"/>
    <n v="2025"/>
  </r>
  <r>
    <n v="575"/>
    <x v="4"/>
    <x v="22"/>
    <s v="Actual"/>
    <x v="13"/>
    <m/>
    <s v="IGCC"/>
    <s v="Payroll Dec"/>
    <n v="29274"/>
    <s v="N/A"/>
    <s v="N/A"/>
    <s v="N/A"/>
    <s v="Dec"/>
    <n v="2025"/>
  </r>
  <r>
    <n v="576"/>
    <x v="4"/>
    <x v="10"/>
    <s v="Actual"/>
    <x v="13"/>
    <m/>
    <s v="IGCC"/>
    <s v="Payroll Dec"/>
    <n v="71133"/>
    <s v="N/A"/>
    <s v="N/A"/>
    <s v="N/A"/>
    <s v="Dec"/>
    <n v="2025"/>
  </r>
  <r>
    <n v="577"/>
    <x v="4"/>
    <x v="27"/>
    <s v="Actual"/>
    <x v="13"/>
    <m/>
    <s v="IGCC"/>
    <s v="Payroll Dec"/>
    <n v="16135"/>
    <s v="N/A"/>
    <s v="N/A"/>
    <s v="N/A"/>
    <s v="Dec"/>
    <n v="2025"/>
  </r>
  <r>
    <n v="578"/>
    <x v="4"/>
    <x v="36"/>
    <s v="Actual"/>
    <x v="13"/>
    <m/>
    <s v="IGCC"/>
    <s v="Payroll Dec"/>
    <n v="1801"/>
    <s v="N/A"/>
    <s v="N/A"/>
    <s v="N/A"/>
    <s v="Dec"/>
    <n v="2025"/>
  </r>
  <r>
    <n v="579"/>
    <x v="4"/>
    <x v="12"/>
    <s v="Actual"/>
    <x v="13"/>
    <m/>
    <s v="IGCC"/>
    <s v="Payroll Dec"/>
    <n v="62658"/>
    <s v="N/A"/>
    <s v="N/A"/>
    <s v="N/A"/>
    <s v="Dec"/>
    <n v="2025"/>
  </r>
  <r>
    <n v="580"/>
    <x v="4"/>
    <x v="13"/>
    <s v="Actual"/>
    <x v="13"/>
    <m/>
    <s v="IGCC"/>
    <s v="Payroll Dec"/>
    <n v="76374"/>
    <s v="N/A"/>
    <s v="N/A"/>
    <s v="N/A"/>
    <s v="Dec"/>
    <n v="2025"/>
  </r>
  <r>
    <n v="581"/>
    <x v="4"/>
    <x v="25"/>
    <s v="Actual"/>
    <x v="13"/>
    <m/>
    <s v="IGCC"/>
    <s v="Payroll Dec"/>
    <n v="25928"/>
    <s v="N/A"/>
    <s v="N/A"/>
    <s v="N/A"/>
    <s v="Dec"/>
    <n v="2025"/>
  </r>
  <r>
    <n v="582"/>
    <x v="4"/>
    <x v="14"/>
    <s v="Actual"/>
    <x v="13"/>
    <m/>
    <s v="IGCC"/>
    <s v="Payroll Dec"/>
    <n v="265250"/>
    <s v="N/A"/>
    <s v="N/A"/>
    <s v="N/A"/>
    <s v="Dec"/>
    <n v="2025"/>
  </r>
  <r>
    <n v="583"/>
    <x v="4"/>
    <x v="4"/>
    <s v="Actual"/>
    <x v="13"/>
    <m/>
    <s v="IGCC"/>
    <s v="Payroll Dec"/>
    <n v="24688"/>
    <s v="N/A"/>
    <s v="N/A"/>
    <s v="N/A"/>
    <s v="Dec"/>
    <n v="2025"/>
  </r>
  <r>
    <n v="584"/>
    <x v="4"/>
    <x v="32"/>
    <s v="Actual"/>
    <x v="13"/>
    <m/>
    <s v="IGCC"/>
    <s v="Payroll Dec"/>
    <n v="5421"/>
    <s v="N/A"/>
    <s v="N/A"/>
    <s v="N/A"/>
    <s v="Dec"/>
    <n v="2025"/>
  </r>
  <r>
    <n v="585"/>
    <x v="2"/>
    <x v="2"/>
    <s v="Actual"/>
    <x v="13"/>
    <m/>
    <s v="IGCC"/>
    <s v="Payroll Dec"/>
    <n v="366703"/>
    <s v="N/A"/>
    <s v="N/A"/>
    <s v="N/A"/>
    <s v="Dec"/>
    <n v="2025"/>
  </r>
  <r>
    <n v="586"/>
    <x v="0"/>
    <x v="0"/>
    <s v="Actual"/>
    <x v="13"/>
    <m/>
    <s v="IGCC"/>
    <s v="Off Payroll Dec"/>
    <n v="9500"/>
    <s v="N/A"/>
    <s v="N/A"/>
    <s v="N/A"/>
    <s v="Dec"/>
    <n v="2025"/>
  </r>
  <r>
    <n v="587"/>
    <x v="6"/>
    <x v="7"/>
    <s v="Accrual"/>
    <x v="13"/>
    <m/>
    <s v="IGCC"/>
    <s v="Dec 25 Camp Civil &amp; Mechanical team "/>
    <n v="20693.706293706295"/>
    <s v="N/A"/>
    <s v="N/A"/>
    <s v="N/A"/>
    <s v="Dec"/>
    <n v="2025"/>
  </r>
  <r>
    <n v="588"/>
    <x v="1"/>
    <x v="1"/>
    <s v="Accrual"/>
    <x v="13"/>
    <m/>
    <s v="IGCC"/>
    <s v="Dec 25 travel allowance 26 employees"/>
    <n v="18068"/>
    <s v="N/A"/>
    <s v="N/A"/>
    <s v="N/A"/>
    <s v="Dec"/>
    <n v="2025"/>
  </r>
  <r>
    <n v="589"/>
    <x v="3"/>
    <x v="16"/>
    <s v="Actual"/>
    <x v="13"/>
    <m/>
    <s v="IGCC"/>
    <s v="Transport allowance Dec 25 "/>
    <n v="10856.164383561643"/>
    <s v="N/A"/>
    <s v="N/A"/>
    <s v="N/A"/>
    <s v="Dec"/>
    <n v="2025"/>
  </r>
  <r>
    <n v="590"/>
    <x v="3"/>
    <x v="3"/>
    <s v="Actual"/>
    <x v="13"/>
    <m/>
    <s v="IGCC"/>
    <s v="Transport allowance Dec 25 "/>
    <n v="6369.8630136986303"/>
    <s v="N/A"/>
    <s v="N/A"/>
    <s v="N/A"/>
    <s v="Dec"/>
    <n v="2025"/>
  </r>
  <r>
    <n v="591"/>
    <x v="2"/>
    <x v="2"/>
    <s v="Accrual"/>
    <x v="14"/>
    <m/>
    <s v="Al Ajdar For General Trading and General Purchasing Ltd"/>
    <s v="Welding"/>
    <n v="627802.34"/>
    <s v="N/A"/>
    <s v="N/A"/>
    <s v="N/A"/>
    <s v="Dec"/>
    <n v="2025"/>
  </r>
  <r>
    <n v="592"/>
    <x v="4"/>
    <x v="10"/>
    <s v="Actual"/>
    <x v="14"/>
    <m/>
    <s v="Al Ajdar For General Trading and General Purchasing Ltd"/>
    <s v="Welding"/>
    <n v="160500"/>
    <s v="28-25"/>
    <d v="2025-12-25T00:00:00"/>
    <n v="2026400118"/>
    <s v="Dec"/>
    <n v="2025"/>
  </r>
  <r>
    <n v="593"/>
    <x v="2"/>
    <x v="2"/>
    <s v="Actual"/>
    <x v="15"/>
    <m/>
    <s v="Petty Cash"/>
    <s v="OT - HSE - TOTAL"/>
    <n v="1057.2413793103449"/>
    <s v="##"/>
    <s v="25/12/2025"/>
    <s v="N/A"/>
    <s v="Dec"/>
    <n v="2025"/>
  </r>
  <r>
    <n v="594"/>
    <x v="0"/>
    <x v="0"/>
    <s v="Actual"/>
    <x v="15"/>
    <m/>
    <s v="Petty Cash"/>
    <s v="Bonus from Haider Alkazzar"/>
    <n v="206.89655172413794"/>
    <s v="##"/>
    <s v="31/12/2025"/>
    <s v="N/A"/>
    <s v="Dec"/>
    <n v="2025"/>
  </r>
  <r>
    <n v="595"/>
    <x v="0"/>
    <x v="0"/>
    <s v="Actual"/>
    <x v="15"/>
    <m/>
    <s v="Petty Cash"/>
    <s v="Bonus from Haider Alkazzar"/>
    <n v="206.89655172413794"/>
    <s v="##"/>
    <s v="31/12/2025"/>
    <s v="N/A"/>
    <s v="Dec"/>
    <n v="2025"/>
  </r>
  <r>
    <n v="596"/>
    <x v="1"/>
    <x v="1"/>
    <s v="Accrual"/>
    <x v="15"/>
    <m/>
    <s v="Taqadm Albasrah"/>
    <s v="labourers"/>
    <n v="1336.4875701684041"/>
    <s v="N/A"/>
    <s v="N/A"/>
    <s v="N/A"/>
    <s v="Dec"/>
    <n v="2025"/>
  </r>
  <r>
    <n v="597"/>
    <x v="1"/>
    <x v="1"/>
    <s v="Accrual"/>
    <x v="15"/>
    <m/>
    <s v="Taqadm Albasrah"/>
    <s v="labourers"/>
    <n v="2621.5717722534082"/>
    <s v="N/A"/>
    <s v="N/A"/>
    <s v="N/A"/>
    <s v="Dec"/>
    <n v="2025"/>
  </r>
  <r>
    <n v="598"/>
    <x v="4"/>
    <x v="13"/>
    <s v="Accrual"/>
    <x v="15"/>
    <m/>
    <s v="Taqadm Albasrah"/>
    <s v="labourers"/>
    <n v="1336.4875701684041"/>
    <s v="N/A"/>
    <s v="N/A"/>
    <s v="N/A"/>
    <s v="Dec"/>
    <n v="2025"/>
  </r>
  <r>
    <n v="599"/>
    <x v="7"/>
    <x v="9"/>
    <s v="Accrual"/>
    <x v="15"/>
    <m/>
    <s v="Taqadm Albasrah"/>
    <s v="labourers"/>
    <n v="1387.8909382518043"/>
    <s v="N/A"/>
    <s v="N/A"/>
    <s v="N/A"/>
    <s v="Dec"/>
    <n v="2025"/>
  </r>
  <r>
    <n v="600"/>
    <x v="3"/>
    <x v="3"/>
    <s v="Accrual"/>
    <x v="15"/>
    <m/>
    <s v="Taqadm Albasrah"/>
    <s v="labourers"/>
    <n v="3135.6054530874098"/>
    <s v="N/A"/>
    <s v="N/A"/>
    <s v="N/A"/>
    <s v="Dec"/>
    <n v="2025"/>
  </r>
  <r>
    <n v="601"/>
    <x v="3"/>
    <x v="26"/>
    <s v="Accrual"/>
    <x v="15"/>
    <m/>
    <s v="Taqadm Albasrah"/>
    <s v="labourers"/>
    <n v="1696.3111467522056"/>
    <s v="N/A"/>
    <s v="N/A"/>
    <s v="N/A"/>
    <s v="Dec"/>
    <n v="2025"/>
  </r>
  <r>
    <n v="602"/>
    <x v="3"/>
    <x v="16"/>
    <s v="Accrual"/>
    <x v="15"/>
    <m/>
    <s v="Taqadm Albasrah"/>
    <s v="labourers"/>
    <n v="23851.162790697676"/>
    <s v="N/A"/>
    <s v="N/A"/>
    <s v="N/A"/>
    <s v="Dec"/>
    <n v="2025"/>
  </r>
  <r>
    <n v="603"/>
    <x v="11"/>
    <x v="37"/>
    <s v="Accrual"/>
    <x v="15"/>
    <m/>
    <s v="Burj Al Rafidain Hamza"/>
    <s v="Third party Manpower"/>
    <n v="83.969886299525825"/>
    <s v="N/A"/>
    <s v="N/A"/>
    <s v="N/A"/>
    <s v="Dec"/>
    <n v="2025"/>
  </r>
  <r>
    <n v="604"/>
    <x v="3"/>
    <x v="34"/>
    <s v="Accrual"/>
    <x v="15"/>
    <m/>
    <s v="Burj Al Rafidain Hamza"/>
    <s v="Third party Manpower"/>
    <n v="167.93977259905165"/>
    <s v="N/A"/>
    <s v="N/A"/>
    <s v="N/A"/>
    <s v="Dec"/>
    <n v="2025"/>
  </r>
  <r>
    <n v="605"/>
    <x v="4"/>
    <x v="12"/>
    <s v="Accrual"/>
    <x v="15"/>
    <m/>
    <s v="Burj Al Rafidain Hamza"/>
    <s v="Third party Manpower"/>
    <n v="713.74403354596961"/>
    <s v="N/A"/>
    <s v="N/A"/>
    <s v="N/A"/>
    <s v="Dec"/>
    <n v="2025"/>
  </r>
  <r>
    <n v="606"/>
    <x v="4"/>
    <x v="4"/>
    <s v="Accrual"/>
    <x v="15"/>
    <m/>
    <s v="Burj Al Rafidain Hamza"/>
    <s v="Third party Manpower"/>
    <n v="755.72897669573251"/>
    <s v="N/A"/>
    <s v="N/A"/>
    <s v="N/A"/>
    <s v="Dec"/>
    <n v="2025"/>
  </r>
  <r>
    <n v="607"/>
    <x v="7"/>
    <x v="35"/>
    <s v="Accrual"/>
    <x v="15"/>
    <m/>
    <s v="Burj Al Rafidain Hamza"/>
    <s v="Third party Manpower"/>
    <n v="1175.5784081933616"/>
    <s v="N/A"/>
    <s v="N/A"/>
    <s v="N/A"/>
    <s v="Dec"/>
    <n v="2025"/>
  </r>
  <r>
    <n v="608"/>
    <x v="4"/>
    <x v="8"/>
    <s v="Accrual"/>
    <x v="15"/>
    <m/>
    <s v="Burj Al Rafidain Hamza"/>
    <s v="Third party Manpower"/>
    <n v="2141.2321006379088"/>
    <s v="N/A"/>
    <s v="N/A"/>
    <s v="N/A"/>
    <s v="Dec"/>
    <n v="2025"/>
  </r>
  <r>
    <n v="609"/>
    <x v="4"/>
    <x v="32"/>
    <s v="Accrual"/>
    <x v="15"/>
    <m/>
    <s v="Burj Al Rafidain Hamza"/>
    <s v="Third party Manpower"/>
    <n v="2435.1267026862492"/>
    <s v="N/A"/>
    <s v="N/A"/>
    <s v="N/A"/>
    <s v="Dec"/>
    <n v="2025"/>
  </r>
  <r>
    <n v="610"/>
    <x v="7"/>
    <x v="24"/>
    <s v="Accrual"/>
    <x v="15"/>
    <m/>
    <s v="Burj Al Rafidain Hamza"/>
    <s v="Third party Manpower"/>
    <n v="3484.7502814303225"/>
    <s v="N/A"/>
    <s v="N/A"/>
    <s v="N/A"/>
    <s v="Dec"/>
    <n v="2025"/>
  </r>
  <r>
    <n v="611"/>
    <x v="5"/>
    <x v="5"/>
    <s v="Accrual"/>
    <x v="15"/>
    <m/>
    <s v="Burj Al Rafidain Hamza"/>
    <s v="Third party Manpower"/>
    <n v="4744.2985759232097"/>
    <s v="N/A"/>
    <s v="N/A"/>
    <s v="N/A"/>
    <s v="Dec"/>
    <n v="2025"/>
  </r>
  <r>
    <n v="612"/>
    <x v="3"/>
    <x v="3"/>
    <s v="Accrual"/>
    <x v="15"/>
    <m/>
    <s v="Burj Al Rafidain Hamza"/>
    <s v="Third party Manpower"/>
    <n v="5206.1329505706017"/>
    <s v="N/A"/>
    <s v="N/A"/>
    <s v="N/A"/>
    <s v="Dec"/>
    <n v="2025"/>
  </r>
  <r>
    <n v="613"/>
    <x v="3"/>
    <x v="15"/>
    <s v="Accrual"/>
    <x v="15"/>
    <m/>
    <s v="Burj Al Rafidain Hamza"/>
    <s v="Third party Manpower"/>
    <n v="6633.6210176625409"/>
    <s v="N/A"/>
    <s v="N/A"/>
    <s v="N/A"/>
    <s v="Dec"/>
    <n v="2025"/>
  </r>
  <r>
    <n v="614"/>
    <x v="3"/>
    <x v="6"/>
    <s v="Accrual"/>
    <x v="15"/>
    <m/>
    <s v="Burj Al Rafidain Hamza"/>
    <s v="Third party Manpower"/>
    <n v="6717.5909039620674"/>
    <s v="N/A"/>
    <s v="N/A"/>
    <s v="N/A"/>
    <s v="Dec"/>
    <n v="2025"/>
  </r>
  <r>
    <n v="615"/>
    <x v="4"/>
    <x v="27"/>
    <s v="Accrual"/>
    <x v="15"/>
    <m/>
    <s v="Burj Al Rafidain Hamza"/>
    <s v="Third party Manpower"/>
    <n v="10244.32612854215"/>
    <s v="N/A"/>
    <s v="N/A"/>
    <s v="N/A"/>
    <s v="Dec"/>
    <n v="2025"/>
  </r>
  <r>
    <n v="616"/>
    <x v="4"/>
    <x v="22"/>
    <s v="Accrual"/>
    <x v="15"/>
    <m/>
    <s v="Burj Al Rafidain Hamza"/>
    <s v="Third party Manpower"/>
    <n v="18179.480383847342"/>
    <s v="N/A"/>
    <s v="N/A"/>
    <s v="N/A"/>
    <s v="Dec"/>
    <n v="2025"/>
  </r>
  <r>
    <n v="617"/>
    <x v="4"/>
    <x v="25"/>
    <s v="Accrual"/>
    <x v="15"/>
    <m/>
    <s v="Burj Al Rafidain Hamza"/>
    <s v="Third party Manpower"/>
    <n v="21244.381233780037"/>
    <s v="N/A"/>
    <s v="N/A"/>
    <s v="N/A"/>
    <s v="Dec"/>
    <n v="2025"/>
  </r>
  <r>
    <n v="618"/>
    <x v="1"/>
    <x v="1"/>
    <s v="Accrual"/>
    <x v="15"/>
    <m/>
    <s v="Burj Al Rafidain Hamza"/>
    <s v="Third party Manpower"/>
    <n v="30649.008499326927"/>
    <s v="N/A"/>
    <s v="N/A"/>
    <s v="N/A"/>
    <s v="Dec"/>
    <n v="2025"/>
  </r>
  <r>
    <n v="619"/>
    <x v="7"/>
    <x v="9"/>
    <s v="Accrual"/>
    <x v="15"/>
    <m/>
    <s v="Burj Al Rafidain Hamza"/>
    <s v="Third party Manpower"/>
    <n v="36778.81019919231"/>
    <s v="N/A"/>
    <s v="N/A"/>
    <s v="N/A"/>
    <s v="Dec"/>
    <n v="2025"/>
  </r>
  <r>
    <n v="620"/>
    <x v="4"/>
    <x v="12"/>
    <s v="Accrual"/>
    <x v="15"/>
    <m/>
    <s v="Burj Al Rafidain Hamza"/>
    <s v="Third party Manpower"/>
    <n v="39465.846560777143"/>
    <s v="N/A"/>
    <s v="N/A"/>
    <s v="N/A"/>
    <s v="Dec"/>
    <n v="2025"/>
  </r>
  <r>
    <n v="621"/>
    <x v="4"/>
    <x v="13"/>
    <s v="Accrual"/>
    <x v="15"/>
    <m/>
    <s v="Burj Al Rafidain Hamza"/>
    <s v="Third party Manpower"/>
    <n v="67595.758471118301"/>
    <s v="N/A"/>
    <s v="N/A"/>
    <s v="N/A"/>
    <s v="Dec"/>
    <n v="2025"/>
  </r>
  <r>
    <n v="622"/>
    <x v="7"/>
    <x v="21"/>
    <s v="Accrual"/>
    <x v="15"/>
    <m/>
    <s v="Burj Al Rafidain Hamza"/>
    <s v="Third party Manpower"/>
    <n v="138214.4328490195"/>
    <s v="N/A"/>
    <s v="N/A"/>
    <s v="N/A"/>
    <s v="Dec"/>
    <n v="2025"/>
  </r>
  <r>
    <n v="623"/>
    <x v="4"/>
    <x v="20"/>
    <s v="Accrual"/>
    <x v="15"/>
    <m/>
    <s v="Burj Al Rafidain Hamza"/>
    <s v="Third party Manpower"/>
    <n v="155092.37999522424"/>
    <s v="N/A"/>
    <s v="N/A"/>
    <s v="N/A"/>
    <s v="Dec"/>
    <n v="2025"/>
  </r>
  <r>
    <n v="624"/>
    <x v="4"/>
    <x v="10"/>
    <s v="Actual"/>
    <x v="15"/>
    <m/>
    <s v="Al-Zubair Gate"/>
    <s v="labourers"/>
    <n v="2620.6896551724139"/>
    <s v="2533"/>
    <d v="2025-12-31T00:00:00"/>
    <s v="N/A"/>
    <s v="Dec"/>
    <n v="2025"/>
  </r>
  <r>
    <n v="625"/>
    <x v="2"/>
    <x v="2"/>
    <s v="Accrual"/>
    <x v="16"/>
    <m/>
    <s v="Border Transportaion / Al Hodod"/>
    <s v="Hydrovac"/>
    <n v="78965.448275862072"/>
    <s v="N/A"/>
    <s v="N/A"/>
    <s v="N/A"/>
    <s v="Dec"/>
    <n v="2025"/>
  </r>
  <r>
    <n v="626"/>
    <x v="7"/>
    <x v="21"/>
    <s v="Accrual"/>
    <x v="16"/>
    <m/>
    <s v="Border Transportaion / Al Hodod"/>
    <s v="Hydrovac"/>
    <n v="1210.344827586207"/>
    <s v="N/A"/>
    <s v="N/A"/>
    <s v="N/A"/>
    <s v="Dec"/>
    <n v="2025"/>
  </r>
  <r>
    <n v="627"/>
    <x v="7"/>
    <x v="9"/>
    <s v="Accrual"/>
    <x v="16"/>
    <m/>
    <s v="Border Transportaion / Al Hodod"/>
    <s v="Hydrovac"/>
    <n v="21057.206896551725"/>
    <s v="N/A"/>
    <s v="N/A"/>
    <s v="N/A"/>
    <s v="Dec"/>
    <n v="2025"/>
  </r>
  <r>
    <n v="628"/>
    <x v="4"/>
    <x v="10"/>
    <s v="Accrual"/>
    <x v="16"/>
    <m/>
    <s v="Border Transportaion / Al Hodod"/>
    <s v="Hydrovac"/>
    <n v="81145.241379310348"/>
    <s v="N/A"/>
    <s v="N/A"/>
    <s v="N/A"/>
    <s v="Dec"/>
    <n v="2025"/>
  </r>
  <r>
    <n v="629"/>
    <x v="3"/>
    <x v="3"/>
    <s v="Accrual"/>
    <x v="16"/>
    <m/>
    <s v="Border Transportaion / Al Hodod"/>
    <s v="Hydrovac"/>
    <n v="14305.344827586207"/>
    <s v="N/A"/>
    <s v="N/A"/>
    <s v="N/A"/>
    <s v="Dec"/>
    <n v="2025"/>
  </r>
  <r>
    <n v="630"/>
    <x v="4"/>
    <x v="12"/>
    <s v="Accrual"/>
    <x v="16"/>
    <m/>
    <s v="Border Transportaion / Al Hodod"/>
    <s v="Hydrovac"/>
    <n v="38254.965517241377"/>
    <s v="N/A"/>
    <s v="N/A"/>
    <s v="N/A"/>
    <s v="Dec"/>
    <n v="2025"/>
  </r>
  <r>
    <n v="631"/>
    <x v="4"/>
    <x v="20"/>
    <s v="Accrual"/>
    <x v="16"/>
    <m/>
    <s v="Border Transportaion / Al Hodod"/>
    <s v="Hydrovac"/>
    <n v="1005.5172413793103"/>
    <s v="N/A"/>
    <s v="N/A"/>
    <s v="N/A"/>
    <s v="Dec"/>
    <n v="2025"/>
  </r>
  <r>
    <n v="632"/>
    <x v="3"/>
    <x v="16"/>
    <s v="Accrual"/>
    <x v="16"/>
    <m/>
    <s v="Border Transportaion / Al Hodod"/>
    <s v="Hydrovac"/>
    <n v="30850.2"/>
    <s v="N/A"/>
    <s v="N/A"/>
    <s v="N/A"/>
    <s v="Dec"/>
    <n v="2025"/>
  </r>
  <r>
    <n v="633"/>
    <x v="3"/>
    <x v="29"/>
    <s v="Accrual"/>
    <x v="16"/>
    <m/>
    <s v="Border Transportaion / Al Hodod"/>
    <s v="Hydrovac"/>
    <n v="6986.4827586206893"/>
    <s v="N/A"/>
    <s v="N/A"/>
    <s v="N/A"/>
    <s v="Dec"/>
    <n v="2025"/>
  </r>
  <r>
    <n v="634"/>
    <x v="3"/>
    <x v="6"/>
    <s v="Accrual"/>
    <x v="16"/>
    <m/>
    <s v="Border Transportaion / Al Hodod"/>
    <s v="Hydrovac"/>
    <n v="23411.793103448275"/>
    <s v="N/A"/>
    <s v="N/A"/>
    <s v="N/A"/>
    <s v="Dec"/>
    <n v="2025"/>
  </r>
  <r>
    <n v="635"/>
    <x v="4"/>
    <x v="13"/>
    <s v="Accrual"/>
    <x v="16"/>
    <m/>
    <s v="Border Transportaion / Al Hodod"/>
    <s v="Hydrovac"/>
    <n v="1340.6896551724137"/>
    <s v="N/A"/>
    <s v="N/A"/>
    <s v="N/A"/>
    <s v="Dec"/>
    <n v="2025"/>
  </r>
  <r>
    <n v="636"/>
    <x v="4"/>
    <x v="14"/>
    <s v="Actual"/>
    <x v="16"/>
    <m/>
    <s v="Al Narges Company for Pipes"/>
    <s v="Materiales"/>
    <n v="14048.275862068966"/>
    <s v="9786"/>
    <d v="2025-12-01T00:00:00"/>
    <n v="2025404174"/>
    <s v="Dec"/>
    <n v="2025"/>
  </r>
  <r>
    <n v="637"/>
    <x v="6"/>
    <x v="7"/>
    <s v="Actual"/>
    <x v="16"/>
    <m/>
    <s v="DMC FOR PETROLEUM SERVICES &amp; CONTRACTING"/>
    <m/>
    <n v="4500"/>
    <s v="DMC-INV-25-0063"/>
    <d v="2025-12-21T00:00:00"/>
    <n v="2026400026"/>
    <s v="Dec"/>
    <n v="2025"/>
  </r>
  <r>
    <n v="638"/>
    <x v="0"/>
    <x v="0"/>
    <s v="Actual"/>
    <x v="16"/>
    <m/>
    <s v="Abdullah Gallery"/>
    <s v="Materiales/Safety"/>
    <n v="2758.6206896551726"/>
    <s v="0831"/>
    <d v="2025-11-29T00:00:00"/>
    <n v="2025404383"/>
    <s v="Dec"/>
    <n v="2025"/>
  </r>
  <r>
    <n v="639"/>
    <x v="6"/>
    <x v="7"/>
    <s v="Actual"/>
    <x v="16"/>
    <m/>
    <s v="Basra Galvanizing Co."/>
    <m/>
    <n v="2249.655172413793"/>
    <s v="B.G.B.I.079"/>
    <d v="2025-12-02T00:00:00"/>
    <n v="2025404670"/>
    <s v="Dec"/>
    <n v="2025"/>
  </r>
  <r>
    <n v="640"/>
    <x v="0"/>
    <x v="0"/>
    <s v="Actual"/>
    <x v="16"/>
    <m/>
    <s v="Smart Touch CO."/>
    <s v="Materiales"/>
    <n v="2241.3793103448274"/>
    <s v="1578"/>
    <d v="2025-12-10T00:00:00"/>
    <n v="2025404684"/>
    <s v="Dec"/>
    <n v="2025"/>
  </r>
  <r>
    <n v="641"/>
    <x v="6"/>
    <x v="7"/>
    <s v="Actual"/>
    <x v="16"/>
    <m/>
    <s v="Basra Galvanizing Co."/>
    <s v="Testing/Calibration"/>
    <n v="1523.7931034482758"/>
    <s v="B.G.B.I.091"/>
    <d v="2025-12-25T00:00:00"/>
    <n v="2026400053"/>
    <s v="Dec"/>
    <n v="2025"/>
  </r>
  <r>
    <n v="642"/>
    <x v="0"/>
    <x v="0"/>
    <s v="Actual"/>
    <x v="16"/>
    <m/>
    <s v="Basra Galvanizing Co."/>
    <s v="Testing/Calibration"/>
    <n v="1402.7586206896551"/>
    <s v="INV/2025/00342"/>
    <d v="2025-12-14T00:00:00"/>
    <n v="2025404674"/>
    <s v="Dec"/>
    <n v="2025"/>
  </r>
  <r>
    <n v="643"/>
    <x v="6"/>
    <x v="7"/>
    <s v="Actual"/>
    <x v="16"/>
    <m/>
    <s v="Basra Galvanizing Co."/>
    <s v="Testing/Calibration"/>
    <n v="1117.5862068965516"/>
    <s v="B.G.B.I.090"/>
    <d v="2025-12-13T00:00:00"/>
    <n v="2026400053"/>
    <s v="Dec"/>
    <n v="2025"/>
  </r>
  <r>
    <n v="644"/>
    <x v="4"/>
    <x v="13"/>
    <s v="Actual"/>
    <x v="16"/>
    <m/>
    <s v="AL JUTHOOR WORKSHOP"/>
    <s v="Testing/Calibration"/>
    <n v="986.89655172413791"/>
    <s v="000684"/>
    <d v="2025-12-01T00:00:00"/>
    <n v="2025404535"/>
    <s v="Dec"/>
    <n v="2025"/>
  </r>
  <r>
    <n v="645"/>
    <x v="3"/>
    <x v="3"/>
    <s v="Actual"/>
    <x v="16"/>
    <m/>
    <s v="Al-Yaseen for Gas"/>
    <s v="Testing/Calibration"/>
    <n v="877.3393103448276"/>
    <s v="01170"/>
    <d v="2025-09-07T00:00:00"/>
    <n v="2025404056"/>
    <s v="Dec"/>
    <n v="2025"/>
  </r>
  <r>
    <n v="646"/>
    <x v="6"/>
    <x v="7"/>
    <s v="Actual"/>
    <x v="16"/>
    <m/>
    <s v="Al-Yaseen for Gas"/>
    <s v="Testing/Calibration"/>
    <n v="877.3393103448276"/>
    <s v="01170"/>
    <d v="2025-09-07T00:00:00"/>
    <n v="2025404056"/>
    <s v="Dec"/>
    <n v="2025"/>
  </r>
  <r>
    <n v="647"/>
    <x v="3"/>
    <x v="6"/>
    <s v="Actual"/>
    <x v="16"/>
    <m/>
    <s v="Miqias Inspection instrumentation Calibration"/>
    <s v="Testing/Calibration"/>
    <n v="875.86206896551721"/>
    <s v="INV.25-950"/>
    <d v="2025-12-04T00:00:00"/>
    <n v="2025404523"/>
    <s v="Dec"/>
    <n v="2025"/>
  </r>
  <r>
    <n v="648"/>
    <x v="6"/>
    <x v="7"/>
    <s v="Actual"/>
    <x v="16"/>
    <m/>
    <s v="Tiqaneyat Al-Taqaddum Co. (ATC)"/>
    <s v="Testing/Calibration"/>
    <n v="827.58620689655174"/>
    <s v="ACC-SINV-2025-02602-3"/>
    <d v="2025-12-09T00:00:00"/>
    <n v="2025404908"/>
    <s v="Dec"/>
    <n v="2025"/>
  </r>
  <r>
    <n v="649"/>
    <x v="4"/>
    <x v="13"/>
    <s v="Actual"/>
    <x v="16"/>
    <m/>
    <s v="AL JUTHOOR WORKSHOP"/>
    <s v="Testing/Calibration"/>
    <n v="786.20689655172418"/>
    <s v="000682"/>
    <d v="2025-12-01T00:00:00"/>
    <n v="2025404534"/>
    <s v="Dec"/>
    <n v="2025"/>
  </r>
  <r>
    <n v="650"/>
    <x v="2"/>
    <x v="2"/>
    <s v="Actual"/>
    <x v="16"/>
    <m/>
    <s v="DMC FOR PETROLEUM SERVICES &amp; CONTRACTING"/>
    <s v="Testing/Calibration"/>
    <n v="551.72413793103453"/>
    <s v="DMC-INV-25-0042"/>
    <d v="2025-12-02T00:00:00"/>
    <n v="2025404637"/>
    <s v="Dec"/>
    <n v="2025"/>
  </r>
  <r>
    <n v="651"/>
    <x v="2"/>
    <x v="2"/>
    <s v="Actual"/>
    <x v="16"/>
    <m/>
    <s v="DMC FOR PETROLEUM SERVICES &amp; CONTRACTING"/>
    <s v="Testing/Calibration"/>
    <n v="482.75862068965517"/>
    <s v="DMC-INV-25-0054"/>
    <d v="2025-12-07T00:00:00"/>
    <n v="2025404635"/>
    <s v="Dec"/>
    <n v="2025"/>
  </r>
  <r>
    <n v="652"/>
    <x v="6"/>
    <x v="7"/>
    <s v="Actual"/>
    <x v="16"/>
    <m/>
    <s v="Tiqaneyat Al-Taqaddum Co. (ATC)"/>
    <s v="Testing/Calibration"/>
    <n v="413.79310344827587"/>
    <s v="ACC-SINV-2025-02664"/>
    <d v="2025-12-17T00:00:00"/>
    <n v="2025404621"/>
    <s v="Dec"/>
    <n v="2025"/>
  </r>
  <r>
    <n v="653"/>
    <x v="4"/>
    <x v="10"/>
    <s v="Actual"/>
    <x v="16"/>
    <m/>
    <s v="Al-Yaseen for Gas"/>
    <s v="Testing/Calibration"/>
    <n v="350.93586206896549"/>
    <s v="01170"/>
    <d v="2025-09-07T00:00:00"/>
    <n v="2025404056"/>
    <s v="Dec"/>
    <n v="2025"/>
  </r>
  <r>
    <n v="654"/>
    <x v="1"/>
    <x v="1"/>
    <s v="Actual"/>
    <x v="16"/>
    <m/>
    <s v="Al-Yaseen for Gas"/>
    <s v="Testing/Calibration"/>
    <n v="350.93586206896549"/>
    <s v="01170"/>
    <d v="2025-09-07T00:00:00"/>
    <n v="2025404056"/>
    <s v="Dec"/>
    <n v="2025"/>
  </r>
  <r>
    <n v="655"/>
    <x v="7"/>
    <x v="9"/>
    <s v="Actual"/>
    <x v="16"/>
    <m/>
    <s v="DMC FOR PETROLEUM SERVICES &amp; CONTRACTING"/>
    <s v="Testing/Calibration"/>
    <n v="310.34482758620692"/>
    <s v="DMC-INV-25-0053"/>
    <d v="2025-12-04T00:00:00"/>
    <n v="2025404636"/>
    <s v="Dec"/>
    <n v="2025"/>
  </r>
  <r>
    <n v="656"/>
    <x v="3"/>
    <x v="6"/>
    <s v="Actual"/>
    <x v="16"/>
    <m/>
    <s v="Al Faw Company For Engineering Testing"/>
    <s v="Testing/Calibration"/>
    <n v="310.34482758620692"/>
    <s v="152/25"/>
    <d v="2025-12-13T00:00:00"/>
    <n v="2025404900"/>
    <s v="Dec"/>
    <n v="2025"/>
  </r>
  <r>
    <n v="657"/>
    <x v="3"/>
    <x v="6"/>
    <s v="Actual"/>
    <x v="16"/>
    <m/>
    <s v="Miqias Inspection instrumentation Calibration"/>
    <s v="Testing/Calibration"/>
    <n v="206.89655172413794"/>
    <s v="INV.25-876"/>
    <d v="2025-12-01T00:00:00"/>
    <n v="2025404523"/>
    <s v="Dec"/>
    <n v="2025"/>
  </r>
  <r>
    <n v="658"/>
    <x v="2"/>
    <x v="2"/>
    <s v="Actual"/>
    <x v="16"/>
    <m/>
    <s v="DMC FOR PETROLEUM SERVICES &amp; CONTRACTING"/>
    <s v="Pressure Gauge Calibration"/>
    <n v="165.51724137931035"/>
    <s v="DMC-INV-25-0040"/>
    <d v="2025-12-02T00:00:00"/>
    <n v="2025404638"/>
    <s v="Dec"/>
    <n v="2025"/>
  </r>
  <r>
    <n v="659"/>
    <x v="7"/>
    <x v="24"/>
    <s v="Actual"/>
    <x v="16"/>
    <m/>
    <s v="DMC FOR PETROLEUM SERVICES &amp; CONTRACTING"/>
    <s v="Testing/Calibration"/>
    <n v="137.93103448275863"/>
    <s v="DMC-INV-25-0064"/>
    <d v="2025-12-25T00:00:00"/>
    <n v="2026400050"/>
    <s v="Dec"/>
    <n v="2025"/>
  </r>
  <r>
    <n v="660"/>
    <x v="3"/>
    <x v="6"/>
    <s v="Actual"/>
    <x v="16"/>
    <m/>
    <s v="Miqias Inspection instrumentation Calibration"/>
    <s v="Testing/Calibration"/>
    <n v="103.44827586206897"/>
    <s v="INV.25-875"/>
    <d v="2025-12-01T00:00:00"/>
    <n v="2025404523"/>
    <s v="Dec"/>
    <n v="2025"/>
  </r>
  <r>
    <n v="661"/>
    <x v="0"/>
    <x v="0"/>
    <s v="Actual"/>
    <x v="16"/>
    <m/>
    <s v="Ras Al Khaimah Advanced Businees Solutions"/>
    <s v="Testing/Calibration"/>
    <n v="1266"/>
    <s v="2025000961"/>
    <d v="2025-10-01T00:00:00"/>
    <s v="N/A"/>
    <s v="Dec"/>
    <n v="2025"/>
  </r>
  <r>
    <n v="662"/>
    <x v="4"/>
    <x v="13"/>
    <s v="Actual"/>
    <x v="16"/>
    <m/>
    <s v="FAS General Contracting"/>
    <s v="Testing/Calibration"/>
    <n v="10000"/>
    <s v="20254000001"/>
    <d v="2025-11-30T00:00:00"/>
    <n v="2025404439"/>
    <s v="Dec"/>
    <n v="2025"/>
  </r>
  <r>
    <n v="663"/>
    <x v="6"/>
    <x v="33"/>
    <s v="Actual"/>
    <x v="16"/>
    <m/>
    <s v="GULF CRYO COMPANY"/>
    <s v="Testing/Calibration"/>
    <n v="1300"/>
    <s v="INV-05340-W0C8C9"/>
    <d v="2025-11-22T00:00:00"/>
    <n v="2025404347"/>
    <s v="Dec"/>
    <n v="2025"/>
  </r>
  <r>
    <n v="664"/>
    <x v="6"/>
    <x v="7"/>
    <s v="Actual"/>
    <x v="16"/>
    <m/>
    <s v="Tohama Company"/>
    <s v="Testing/Calibration"/>
    <n v="2350"/>
    <s v="TlC-11-25-0945"/>
    <d v="2025-11-30T00:00:00"/>
    <n v="2025404555"/>
    <s v="Dec"/>
    <n v="2025"/>
  </r>
  <r>
    <n v="665"/>
    <x v="3"/>
    <x v="3"/>
    <s v="Actual"/>
    <x v="16"/>
    <m/>
    <s v="Alaq AL-Ezdehar Company"/>
    <s v="Testing/Calibration"/>
    <n v="495"/>
    <s v="0-1579A-25"/>
    <d v="2025-12-02T00:00:00"/>
    <n v="2025404631"/>
    <s v="Dec"/>
    <n v="2025"/>
  </r>
  <r>
    <n v="666"/>
    <x v="3"/>
    <x v="16"/>
    <s v="Actual"/>
    <x v="16"/>
    <m/>
    <s v="Alaq AL-Ezdehar Company"/>
    <s v="Testing/Calibration"/>
    <n v="1015"/>
    <s v="0-1559A-25"/>
    <d v="2025-11-27T00:00:00"/>
    <n v="2025404558"/>
    <s v="Dec"/>
    <n v="2025"/>
  </r>
  <r>
    <n v="667"/>
    <x v="2"/>
    <x v="2"/>
    <s v="Actual"/>
    <x v="16"/>
    <m/>
    <s v="Tiqaneyat Al-Taqaddum Co. (ATC)"/>
    <s v="Testing/Calibration"/>
    <n v="2000"/>
    <s v="ACC-SINV-2025-02542-1"/>
    <d v="2025-12-02T00:00:00"/>
    <n v="2025404644"/>
    <s v="Dec"/>
    <n v="2025"/>
  </r>
  <r>
    <n v="668"/>
    <x v="2"/>
    <x v="2"/>
    <s v="Actual"/>
    <x v="16"/>
    <m/>
    <s v="Tiqaneyat Al-Taqaddum Co. (ATC)"/>
    <s v="Testing/Calibration"/>
    <n v="320"/>
    <s v="ACC-SINV-2025-02525"/>
    <d v="2025-12-01T00:00:00"/>
    <n v="2025404644"/>
    <s v="Dec"/>
    <n v="2025"/>
  </r>
  <r>
    <n v="669"/>
    <x v="2"/>
    <x v="2"/>
    <s v="Actual"/>
    <x v="16"/>
    <m/>
    <s v="Tiqaneyat Al-Taqaddum Co. (ATC)"/>
    <s v="Testing/Calibration"/>
    <n v="1800"/>
    <s v="ACC-SINV-2025-02529-1"/>
    <d v="2025-12-01T00:00:00"/>
    <n v="2025404644"/>
    <s v="Dec"/>
    <n v="2025"/>
  </r>
  <r>
    <n v="670"/>
    <x v="0"/>
    <x v="0"/>
    <s v="Actual"/>
    <x v="16"/>
    <m/>
    <s v="Avetta"/>
    <s v="Testing/Calibration"/>
    <n v="418"/>
    <s v="INV02248647"/>
    <d v="2025-12-18T00:00:00"/>
    <s v="N/A"/>
    <s v="Dec"/>
    <n v="2025"/>
  </r>
  <r>
    <n v="671"/>
    <x v="2"/>
    <x v="2"/>
    <s v="Actual"/>
    <x v="16"/>
    <m/>
    <s v="NAYA Co"/>
    <s v="Testing/Calibration"/>
    <n v="400"/>
    <s v="TR25-11493"/>
    <d v="2025-12-20T00:00:00"/>
    <n v="2025404652"/>
    <s v="Dec"/>
    <n v="2025"/>
  </r>
  <r>
    <n v="672"/>
    <x v="2"/>
    <x v="2"/>
    <s v="Actual"/>
    <x v="16"/>
    <m/>
    <s v="Alaq AL-Ezdehar Company"/>
    <s v="Testing/Calibration"/>
    <n v="680"/>
    <s v="O-1605A-25"/>
    <d v="2025-12-09T00:00:00"/>
    <n v="2025404697"/>
    <s v="Dec"/>
    <n v="2025"/>
  </r>
  <r>
    <n v="673"/>
    <x v="2"/>
    <x v="2"/>
    <s v="Actual"/>
    <x v="16"/>
    <m/>
    <s v="Tiqaneyat Al-Taqaddum Co. (ATC)"/>
    <s v="Testing/Calibration"/>
    <n v="2700"/>
    <s v="ACC-SINV-2025-02690-1"/>
    <d v="2025-12-20T00:00:00"/>
    <n v="2025404898"/>
    <s v="Dec"/>
    <n v="2025"/>
  </r>
  <r>
    <n v="674"/>
    <x v="6"/>
    <x v="7"/>
    <s v="Actual"/>
    <x v="16"/>
    <m/>
    <s v="Tohama Company"/>
    <s v="Testing/Calibration"/>
    <n v="1950"/>
    <s v="TIC-12-25-0988"/>
    <d v="2025-12-09T00:00:00"/>
    <n v="2025404901"/>
    <s v="Dec"/>
    <n v="2025"/>
  </r>
  <r>
    <n v="675"/>
    <x v="3"/>
    <x v="6"/>
    <s v="Actual"/>
    <x v="16"/>
    <m/>
    <s v="Southern Services"/>
    <s v="Testing/Calibration"/>
    <n v="2175"/>
    <s v="SS-OPM-IGCC-INV-071 Rev.0"/>
    <d v="2025-12-13T00:00:00"/>
    <n v="2025404819"/>
    <s v="Dec"/>
    <n v="2025"/>
  </r>
  <r>
    <n v="676"/>
    <x v="2"/>
    <x v="2"/>
    <s v="Actual"/>
    <x v="16"/>
    <m/>
    <s v="Tohama Company"/>
    <s v="Testing/Calibration"/>
    <n v="3600"/>
    <s v="Ttc-t2-25-1027"/>
    <d v="2025-12-24T00:00:00"/>
    <n v="2025404888"/>
    <s v="Dec"/>
    <n v="2025"/>
  </r>
  <r>
    <n v="677"/>
    <x v="3"/>
    <x v="6"/>
    <s v="Actual"/>
    <x v="16"/>
    <m/>
    <s v="Tohama Company"/>
    <s v="Testing/Calibration"/>
    <n v="400"/>
    <s v="TIC-12-25-1010"/>
    <d v="2025-12-15T00:00:00"/>
    <n v="2025404922"/>
    <s v="Dec"/>
    <n v="2025"/>
  </r>
  <r>
    <n v="678"/>
    <x v="2"/>
    <x v="2"/>
    <s v="Actual"/>
    <x v="16"/>
    <m/>
    <s v="Alaq AL-Ezdehar Company"/>
    <s v="Testing/Calibration"/>
    <n v="840"/>
    <s v="0275A-26"/>
    <d v="2026-01-06T00:00:00"/>
    <n v="2025404886"/>
    <s v="Dec"/>
    <n v="2025"/>
  </r>
  <r>
    <n v="679"/>
    <x v="6"/>
    <x v="7"/>
    <s v="Actual"/>
    <x v="16"/>
    <m/>
    <s v="Al NABAA AL YAQEEN COMPANY FOR ENGINEERNING SERVICES AND CONSULTANCIES"/>
    <s v="Testing/Calibration"/>
    <n v="3595.2"/>
    <s v="103NY-IGCC"/>
    <d v="2025-12-13T00:00:00"/>
    <n v="2026400059"/>
    <s v="Dec"/>
    <n v="2025"/>
  </r>
  <r>
    <n v="680"/>
    <x v="0"/>
    <x v="0"/>
    <s v="Actual"/>
    <x v="16"/>
    <m/>
    <s v="Oxan For Technology"/>
    <s v="Testing/Calibration"/>
    <n v="816.64"/>
    <s v="82"/>
    <d v="2025-12-14T00:00:00"/>
    <n v="2025404260"/>
    <s v="Dec"/>
    <n v="2025"/>
  </r>
  <r>
    <n v="681"/>
    <x v="4"/>
    <x v="14"/>
    <s v="Actual"/>
    <x v="16"/>
    <m/>
    <s v="Miqias Inspection instrumentation Calibration"/>
    <s v="Testing/Calibration"/>
    <n v="1971.0344827586207"/>
    <s v="INV.25-989"/>
    <d v="2025-12-31T00:00:00"/>
    <n v="2026400120"/>
    <s v="Dec"/>
    <n v="2025"/>
  </r>
  <r>
    <n v="682"/>
    <x v="4"/>
    <x v="14"/>
    <s v="Actual"/>
    <x v="16"/>
    <m/>
    <s v="Miqias Inspection instrumentation Calibration"/>
    <s v="Testing/Calibration"/>
    <n v="964.82758620689651"/>
    <s v="INV.25-990"/>
    <d v="2025-12-31T00:00:00"/>
    <n v="2026400120"/>
    <s v="Dec"/>
    <n v="2025"/>
  </r>
  <r>
    <n v="683"/>
    <x v="6"/>
    <x v="7"/>
    <s v="Actual"/>
    <x v="16"/>
    <m/>
    <s v="DMC FOR PETROLEUM SERVICES &amp; CONTRACTING"/>
    <s v="Testing/Calibration"/>
    <n v="344.82758620689657"/>
    <s v="DMC-INV-25-0056"/>
    <d v="2025-12-11T00:00:00"/>
    <n v="2026400051"/>
    <s v="Dec"/>
    <n v="2025"/>
  </r>
  <r>
    <n v="684"/>
    <x v="2"/>
    <x v="2"/>
    <s v="Actual"/>
    <x v="16"/>
    <m/>
    <s v="DMC FOR PETROLEUM SERVICES &amp; CONTRACTING"/>
    <s v="Testing/Calibration"/>
    <n v="241.37931034482759"/>
    <s v="DMC-INV-25-0066"/>
    <d v="2025-12-21T00:00:00"/>
    <n v="2026400046"/>
    <s v="Dec"/>
    <n v="2025"/>
  </r>
  <r>
    <n v="685"/>
    <x v="6"/>
    <x v="7"/>
    <s v="Actual"/>
    <x v="16"/>
    <m/>
    <s v="DMC FOR PETROLEUM SERVICES &amp; CONTRACTING"/>
    <s v="Testing/Calibration"/>
    <n v="241.37931034482759"/>
    <s v="DMC-INV-25-0070"/>
    <d v="2025-12-23T00:00:00"/>
    <n v="2026400081"/>
    <s v="Dec"/>
    <n v="2025"/>
  </r>
  <r>
    <n v="686"/>
    <x v="6"/>
    <x v="33"/>
    <s v="Actual"/>
    <x v="10"/>
    <m/>
    <s v="Fasco LLC FZ"/>
    <s v="Materiales"/>
    <n v="20928.972752043599"/>
    <s v="IN 2025000100"/>
    <s v="07.12.25"/>
    <n v="2025402998"/>
    <s v="Dec"/>
    <n v="2025"/>
  </r>
  <r>
    <n v="687"/>
    <x v="4"/>
    <x v="25"/>
    <s v="Actual"/>
    <x v="10"/>
    <m/>
    <s v="Fasco LLC FZ"/>
    <s v="Materiales"/>
    <n v="12189.00272479564"/>
    <s v="IN 2025000101"/>
    <s v="07.12.25"/>
    <n v="2025403000"/>
    <s v="Dec"/>
    <n v="2025"/>
  </r>
  <r>
    <n v="688"/>
    <x v="2"/>
    <x v="2"/>
    <s v="Actual"/>
    <x v="10"/>
    <m/>
    <s v="Fasco LLC FZ"/>
    <s v="Materiales"/>
    <n v="623.43324250681201"/>
    <s v="IN 2025000102"/>
    <s v="07.12.25"/>
    <s v="N/A"/>
    <s v="Dec"/>
    <n v="2025"/>
  </r>
  <r>
    <n v="689"/>
    <x v="6"/>
    <x v="33"/>
    <s v="Actual"/>
    <x v="10"/>
    <m/>
    <s v="Fasco LLC FZ"/>
    <s v="Materiales"/>
    <n v="27214.376021798365"/>
    <s v="IN 2025000103"/>
    <s v="07.12.25"/>
    <n v="2025403317"/>
    <s v="Dec"/>
    <n v="2025"/>
  </r>
  <r>
    <n v="690"/>
    <x v="6"/>
    <x v="33"/>
    <s v="Actual"/>
    <x v="10"/>
    <m/>
    <s v="Fasco LLC FZ"/>
    <s v="Materiales"/>
    <n v="76635.967302452322"/>
    <s v="IN 2025000104"/>
    <s v="07.12.25"/>
    <n v="2025403316"/>
    <s v="Dec"/>
    <n v="2025"/>
  </r>
  <r>
    <n v="691"/>
    <x v="3"/>
    <x v="38"/>
    <s v="Actual"/>
    <x v="10"/>
    <m/>
    <s v="Fasco LLC FZ"/>
    <s v="Materiales"/>
    <n v="12000"/>
    <s v="IN 2025000105"/>
    <s v="07.12.25"/>
    <s v="N/A"/>
    <s v="Dec"/>
    <n v="2025"/>
  </r>
  <r>
    <n v="692"/>
    <x v="2"/>
    <x v="2"/>
    <s v="Actual"/>
    <x v="10"/>
    <m/>
    <s v="Fasco LLC FZ"/>
    <s v="Materiales"/>
    <n v="4037.0572207084469"/>
    <s v="IN 2025000106"/>
    <s v="07.12.25"/>
    <n v="2025404041"/>
    <s v="Dec"/>
    <n v="2025"/>
  </r>
  <r>
    <n v="693"/>
    <x v="6"/>
    <x v="33"/>
    <s v="Actual"/>
    <x v="10"/>
    <m/>
    <s v="Fasco LLC FZ"/>
    <s v="Materiales"/>
    <n v="14742.5068119891"/>
    <s v="IN 2025000107"/>
    <s v="07.12.25"/>
    <s v="N/A"/>
    <s v="Dec"/>
    <n v="2025"/>
  </r>
  <r>
    <n v="694"/>
    <x v="4"/>
    <x v="12"/>
    <s v="Actual"/>
    <x v="10"/>
    <m/>
    <s v="Fasco LLC FZ"/>
    <s v="Materiales"/>
    <n v="23185.831062670299"/>
    <s v="IN 2025000108"/>
    <s v="07.12.25"/>
    <n v="2025404040"/>
    <s v="Dec"/>
    <n v="2025"/>
  </r>
  <r>
    <n v="695"/>
    <x v="2"/>
    <x v="2"/>
    <s v="Actual"/>
    <x v="10"/>
    <m/>
    <s v="Fasco LLC FZ"/>
    <s v="Materiales"/>
    <n v="12237.057220708448"/>
    <s v="IN 2025000109"/>
    <s v="07.12.25"/>
    <s v="N/A"/>
    <s v="Dec"/>
    <n v="2025"/>
  </r>
  <r>
    <n v="696"/>
    <x v="3"/>
    <x v="38"/>
    <s v="Actual"/>
    <x v="10"/>
    <m/>
    <s v="Fasco LLC FZ"/>
    <s v="Materiales"/>
    <n v="1853.4141689373296"/>
    <s v="IN 2025000110"/>
    <s v="07.12.25"/>
    <n v="2025404039"/>
    <s v="Dec"/>
    <n v="2025"/>
  </r>
  <r>
    <n v="697"/>
    <x v="4"/>
    <x v="25"/>
    <s v="Actual"/>
    <x v="10"/>
    <m/>
    <s v="Fasco LLC FZ"/>
    <s v="Materiales"/>
    <n v="10592.261580381472"/>
    <s v="IN 2025000111"/>
    <s v="07.12.25"/>
    <s v="N/A"/>
    <s v="Dec"/>
    <n v="2025"/>
  </r>
  <r>
    <n v="698"/>
    <x v="2"/>
    <x v="2"/>
    <s v="Actual"/>
    <x v="10"/>
    <m/>
    <s v="Fasco LLC FZ"/>
    <s v="Materiales"/>
    <n v="10659.945504087194"/>
    <s v="IN 2025000112"/>
    <s v="07.12.25"/>
    <n v="2025404329"/>
    <s v="Dec"/>
    <n v="2025"/>
  </r>
  <r>
    <n v="699"/>
    <x v="6"/>
    <x v="33"/>
    <s v="Actual"/>
    <x v="10"/>
    <m/>
    <s v="Fasco LLC FZ"/>
    <s v="Materiales"/>
    <n v="20358.93188010899"/>
    <s v="IN 2025000113"/>
    <s v="10.12.25"/>
    <s v="N/A"/>
    <s v="Dec"/>
    <n v="2025"/>
  </r>
  <r>
    <n v="700"/>
    <x v="6"/>
    <x v="33"/>
    <s v="Actual"/>
    <x v="10"/>
    <m/>
    <s v="Fasco LLC FZ"/>
    <s v="Materiales"/>
    <n v="18773.841961852861"/>
    <s v="IN 2025000114"/>
    <s v="10.12.25"/>
    <n v="2025404810"/>
    <s v="Dec"/>
    <n v="2025"/>
  </r>
  <r>
    <n v="701"/>
    <x v="2"/>
    <x v="2"/>
    <s v="Actual"/>
    <x v="10"/>
    <m/>
    <s v="Fasco LLC FZ"/>
    <s v="Materiales"/>
    <n v="19060.272479564032"/>
    <s v="IN 2025000115"/>
    <s v="11.12.25"/>
    <s v="N/A"/>
    <s v="Dec"/>
    <n v="2025"/>
  </r>
  <r>
    <n v="702"/>
    <x v="2"/>
    <x v="2"/>
    <s v="Actual"/>
    <x v="10"/>
    <m/>
    <s v="Fasco LLC FZ"/>
    <s v="Materiales"/>
    <n v="14702.452316076295"/>
    <s v="IN 2025000116"/>
    <s v="11.12.25"/>
    <n v="2025403309"/>
    <s v="Dec"/>
    <n v="2025"/>
  </r>
  <r>
    <n v="703"/>
    <x v="2"/>
    <x v="2"/>
    <s v="Actual"/>
    <x v="10"/>
    <m/>
    <s v="Fasco LLC FZ"/>
    <s v="Materiales"/>
    <n v="10159.782016348774"/>
    <s v="IN 2025000117"/>
    <s v="11.12.25"/>
    <n v="2025403002"/>
    <s v="Dec"/>
    <n v="2025"/>
  </r>
  <r>
    <n v="704"/>
    <x v="3"/>
    <x v="38"/>
    <s v="Actual"/>
    <x v="10"/>
    <m/>
    <s v="Fasco LLC FZ"/>
    <s v="Materiales"/>
    <n v="15626.449591280654"/>
    <s v="IN 2025000120"/>
    <s v="30.12.25"/>
    <n v="2025403864"/>
    <s v="Dec"/>
    <n v="2025"/>
  </r>
  <r>
    <n v="705"/>
    <x v="6"/>
    <x v="7"/>
    <s v="Actual"/>
    <x v="16"/>
    <m/>
    <s v="Tohama Company"/>
    <m/>
    <n v="50"/>
    <s v="TIC-12-25-1022"/>
    <d v="2025-12-25T00:00:00"/>
    <n v="2026400121"/>
    <s v="Dec"/>
    <n v="2025"/>
  </r>
  <r>
    <n v="706"/>
    <x v="0"/>
    <x v="0"/>
    <s v="Actual"/>
    <x v="16"/>
    <m/>
    <s v="Petty Cash"/>
    <s v="وكالات + تخليص كمركي"/>
    <n v="758.62068965517244"/>
    <s v="##"/>
    <d v="2025-04-12T00:00:00"/>
    <s v="N/A"/>
    <s v="Dec"/>
    <n v="2025"/>
  </r>
  <r>
    <n v="707"/>
    <x v="0"/>
    <x v="0"/>
    <s v="Actual"/>
    <x v="16"/>
    <m/>
    <s v="Petty Cash"/>
    <s v="صيانة بيكب ( حيدر الخزار )"/>
    <n v="448.27586206896552"/>
    <s v="##"/>
    <s v="18/12/2025"/>
    <s v="N/A"/>
    <s v="Dec"/>
    <n v="2025"/>
  </r>
  <r>
    <n v="708"/>
    <x v="0"/>
    <x v="0"/>
    <s v="Actual"/>
    <x v="16"/>
    <m/>
    <s v="Petty Cash"/>
    <s v="صيانة صهريج الوقود ( حيدر الخزار )"/>
    <n v="179.31034482758622"/>
    <s v="##"/>
    <s v="21/12/2025"/>
    <s v="N/A"/>
    <s v="Dec"/>
    <n v="2025"/>
  </r>
  <r>
    <n v="709"/>
    <x v="0"/>
    <x v="0"/>
    <s v="Actual"/>
    <x v="16"/>
    <m/>
    <s v="Petty Cash"/>
    <s v="Maintenance for basra office &amp; Staff residence"/>
    <n v="1100"/>
    <s v="##"/>
    <s v="29/12/2025"/>
    <s v="N/A"/>
    <s v="Dec"/>
    <n v="2025"/>
  </r>
  <r>
    <n v="710"/>
    <x v="0"/>
    <x v="0"/>
    <s v="Actual"/>
    <x v="16"/>
    <m/>
    <s v="Petty Cash"/>
    <s v="Maintenance for basra office &amp; Staff residence"/>
    <n v="1548.2758620689656"/>
    <s v="##"/>
    <s v="30/12/2025"/>
    <s v="N/A"/>
    <s v="Dec"/>
    <n v="2025"/>
  </r>
  <r>
    <n v="711"/>
    <x v="0"/>
    <x v="0"/>
    <s v="Actual"/>
    <x v="16"/>
    <m/>
    <s v="Petty Cash"/>
    <s v="Training &amp; Hotel 3 days &amp; Pocket mouny for Procurement team ( Abbas Watan, Husseim Nazar, Ammar Tariq, Nawaf Tahseen, Abdulla Readh)"/>
    <n v="4055.1724137931033"/>
    <s v="##"/>
    <s v="25/12/2025"/>
    <s v="N/A"/>
    <s v="Dec"/>
    <n v="2025"/>
  </r>
  <r>
    <n v="712"/>
    <x v="9"/>
    <x v="31"/>
    <s v="Actual"/>
    <x v="17"/>
    <m/>
    <s v="Petty Cash"/>
    <s v="Hotel for Siraj &amp; Saman for Erbil"/>
    <n v="412.41379310344826"/>
    <s v="##"/>
    <s v="25/12/2025"/>
    <s v="N/A"/>
    <s v="Dec"/>
    <n v="2025"/>
  </r>
  <r>
    <n v="713"/>
    <x v="0"/>
    <x v="0"/>
    <s v="Actual"/>
    <x v="17"/>
    <m/>
    <s v="Petty Cash"/>
    <s v="Visa fees"/>
    <n v="2437.9310344827586"/>
    <s v="##"/>
    <d v="2025-03-12T00:00:00"/>
    <s v="N/A"/>
    <s v="Dec"/>
    <n v="2025"/>
  </r>
  <r>
    <n v="714"/>
    <x v="0"/>
    <x v="0"/>
    <s v="Actual"/>
    <x v="17"/>
    <m/>
    <s v="Petty Cash"/>
    <s v="Expens Claim"/>
    <n v="162.06896551724137"/>
    <s v="##"/>
    <d v="2025-08-12T00:00:00"/>
    <s v="N/A"/>
    <s v="Dec"/>
    <n v="2025"/>
  </r>
  <r>
    <n v="715"/>
    <x v="0"/>
    <x v="0"/>
    <s v="Actual"/>
    <x v="17"/>
    <m/>
    <s v="Petty Cash"/>
    <s v="Expens Claim"/>
    <n v="742.24137931034488"/>
    <s v="##"/>
    <d v="2025-10-12T00:00:00"/>
    <s v="N/A"/>
    <s v="Dec"/>
    <n v="2025"/>
  </r>
  <r>
    <n v="716"/>
    <x v="0"/>
    <x v="0"/>
    <s v="Actual"/>
    <x v="17"/>
    <m/>
    <s v="Petty Cash"/>
    <s v="Expens Claim"/>
    <n v="789.65517241379314"/>
    <s v="##"/>
    <s v="14/12/2025"/>
    <s v="N/A"/>
    <s v="Dec"/>
    <n v="2025"/>
  </r>
  <r>
    <n v="717"/>
    <x v="0"/>
    <x v="0"/>
    <s v="Actual"/>
    <x v="17"/>
    <m/>
    <s v="Petty Cash"/>
    <s v="TKT for Douglas GLASGOW-DUBAI-BASRA"/>
    <n v="706.20689655172418"/>
    <s v="##"/>
    <d v="2025-07-12T00:00:00"/>
    <s v="N/A"/>
    <s v="Dec"/>
    <n v="2025"/>
  </r>
  <r>
    <n v="718"/>
    <x v="0"/>
    <x v="0"/>
    <s v="Actual"/>
    <x v="17"/>
    <m/>
    <s v="Petty Cash"/>
    <s v="1Room / 2 Nights for Douglas"/>
    <n v="276.55172413793105"/>
    <s v="##"/>
    <d v="2025-07-12T00:00:00"/>
    <s v="N/A"/>
    <s v="Dec"/>
    <n v="2025"/>
  </r>
  <r>
    <n v="719"/>
    <x v="0"/>
    <x v="0"/>
    <s v="Actual"/>
    <x v="17"/>
    <m/>
    <s v="Petty Cash"/>
    <s v="Expens Claim - Baghdad"/>
    <n v="689.65517241379314"/>
    <s v="##"/>
    <s v="21/12/2025"/>
    <s v="N/A"/>
    <s v="Dec"/>
    <n v="2025"/>
  </r>
  <r>
    <n v="720"/>
    <x v="0"/>
    <x v="0"/>
    <s v="Actual"/>
    <x v="17"/>
    <m/>
    <s v="Petty Cash"/>
    <s v="Expes Claim"/>
    <n v="207.58620689655172"/>
    <s v="##"/>
    <s v="25/12/2025"/>
    <s v="N/A"/>
    <s v="Dec"/>
    <n v="2025"/>
  </r>
  <r>
    <n v="721"/>
    <x v="0"/>
    <x v="0"/>
    <s v="Actual"/>
    <x v="17"/>
    <m/>
    <s v="Petty Cash"/>
    <s v="Expens Claim"/>
    <n v="124.13793103448276"/>
    <n v="2266"/>
    <d v="2025-02-12T00:00:00"/>
    <s v="N/A"/>
    <s v="Dec"/>
    <n v="20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9907C0-E957-4002-B79C-D479BE6271FB}" name="PivotTable1" cacheId="1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T57" firstHeaderRow="1" firstDataRow="2" firstDataCol="1"/>
  <pivotFields count="14">
    <pivotField showAll="0"/>
    <pivotField axis="axisRow" showAll="0">
      <items count="14">
        <item x="8"/>
        <item x="3"/>
        <item x="5"/>
        <item x="6"/>
        <item x="0"/>
        <item x="9"/>
        <item x="10"/>
        <item x="11"/>
        <item x="1"/>
        <item x="7"/>
        <item x="4"/>
        <item x="2"/>
        <item m="1" x="12"/>
        <item t="default"/>
      </items>
    </pivotField>
    <pivotField axis="axisRow" showAll="0">
      <items count="44">
        <item x="6"/>
        <item m="1" x="41"/>
        <item x="7"/>
        <item x="8"/>
        <item x="35"/>
        <item x="20"/>
        <item x="37"/>
        <item x="9"/>
        <item x="21"/>
        <item x="34"/>
        <item x="22"/>
        <item x="10"/>
        <item x="5"/>
        <item x="31"/>
        <item x="1"/>
        <item x="2"/>
        <item m="1" x="40"/>
        <item x="0"/>
        <item x="3"/>
        <item x="27"/>
        <item x="36"/>
        <item x="23"/>
        <item x="17"/>
        <item x="28"/>
        <item x="11"/>
        <item x="24"/>
        <item x="12"/>
        <item x="33"/>
        <item x="30"/>
        <item x="13"/>
        <item m="1" x="42"/>
        <item x="25"/>
        <item x="14"/>
        <item x="4"/>
        <item x="15"/>
        <item x="18"/>
        <item x="19"/>
        <item x="26"/>
        <item x="16"/>
        <item x="32"/>
        <item x="29"/>
        <item m="1" x="39"/>
        <item x="38"/>
        <item t="default"/>
      </items>
    </pivotField>
    <pivotField showAll="0"/>
    <pivotField axis="axisCol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m="1" x="18"/>
        <item t="default"/>
      </items>
    </pivotField>
    <pivotField showAll="0"/>
    <pivotField showAll="0"/>
    <pivotField showAll="0"/>
    <pivotField dataField="1" numFmtId="167" showAll="0"/>
    <pivotField showAll="0"/>
    <pivotField showAll="0"/>
    <pivotField showAll="0"/>
    <pivotField showAll="0"/>
    <pivotField showAll="0"/>
  </pivotFields>
  <rowFields count="2">
    <field x="1"/>
    <field x="2"/>
  </rowFields>
  <rowItems count="53">
    <i>
      <x/>
    </i>
    <i r="1">
      <x v="22"/>
    </i>
    <i>
      <x v="1"/>
    </i>
    <i r="1">
      <x/>
    </i>
    <i r="1">
      <x v="9"/>
    </i>
    <i r="1">
      <x v="18"/>
    </i>
    <i r="1">
      <x v="21"/>
    </i>
    <i r="1">
      <x v="28"/>
    </i>
    <i r="1">
      <x v="34"/>
    </i>
    <i r="1">
      <x v="37"/>
    </i>
    <i r="1">
      <x v="38"/>
    </i>
    <i r="1">
      <x v="40"/>
    </i>
    <i r="1">
      <x v="42"/>
    </i>
    <i>
      <x v="2"/>
    </i>
    <i r="1">
      <x v="12"/>
    </i>
    <i>
      <x v="3"/>
    </i>
    <i r="1">
      <x v="2"/>
    </i>
    <i r="1">
      <x v="27"/>
    </i>
    <i>
      <x v="4"/>
    </i>
    <i r="1">
      <x v="17"/>
    </i>
    <i>
      <x v="5"/>
    </i>
    <i r="1">
      <x v="13"/>
    </i>
    <i>
      <x v="6"/>
    </i>
    <i r="1">
      <x v="27"/>
    </i>
    <i>
      <x v="7"/>
    </i>
    <i r="1">
      <x v="6"/>
    </i>
    <i>
      <x v="8"/>
    </i>
    <i r="1">
      <x v="14"/>
    </i>
    <i>
      <x v="9"/>
    </i>
    <i r="1">
      <x v="4"/>
    </i>
    <i r="1">
      <x v="7"/>
    </i>
    <i r="1">
      <x v="8"/>
    </i>
    <i r="1">
      <x v="23"/>
    </i>
    <i r="1">
      <x v="24"/>
    </i>
    <i r="1">
      <x v="25"/>
    </i>
    <i r="1">
      <x v="35"/>
    </i>
    <i>
      <x v="10"/>
    </i>
    <i r="1">
      <x v="3"/>
    </i>
    <i r="1">
      <x v="5"/>
    </i>
    <i r="1">
      <x v="10"/>
    </i>
    <i r="1">
      <x v="11"/>
    </i>
    <i r="1">
      <x v="19"/>
    </i>
    <i r="1">
      <x v="20"/>
    </i>
    <i r="1">
      <x v="26"/>
    </i>
    <i r="1">
      <x v="29"/>
    </i>
    <i r="1">
      <x v="31"/>
    </i>
    <i r="1">
      <x v="32"/>
    </i>
    <i r="1">
      <x v="33"/>
    </i>
    <i r="1">
      <x v="36"/>
    </i>
    <i r="1">
      <x v="39"/>
    </i>
    <i>
      <x v="11"/>
    </i>
    <i r="1">
      <x v="15"/>
    </i>
    <i t="grand">
      <x/>
    </i>
  </rowItems>
  <colFields count="1">
    <field x="4"/>
  </colFields>
  <col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Sum of Invoice Amount USD" fld="8" baseField="0" baseItem="0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BGCG_23" displayName="BGCG_23" ref="R1:R2" totalsRowShown="0">
  <autoFilter ref="R1:R2" xr:uid="{00000000-0009-0000-0100-000002000000}"/>
  <tableColumns count="1">
    <tableColumn id="1" xr3:uid="{00000000-0010-0000-0000-000001000000}" name="BGCG_2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BGC_23" displayName="BGC_23" ref="T1:T8" totalsRowShown="0">
  <autoFilter ref="T1:T8" xr:uid="{00000000-0009-0000-0100-000001000000}"/>
  <tableColumns count="1">
    <tableColumn id="1" xr3:uid="{00000000-0010-0000-0100-000001000000}" name="BGC_2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OOG_23" displayName="ROOG_23" ref="V1:V2" totalsRowShown="0">
  <autoFilter ref="V1:V2" xr:uid="{00000000-0009-0000-0100-000003000000}"/>
  <tableColumns count="1">
    <tableColumn id="1" xr3:uid="{00000000-0010-0000-0200-000001000000}" name="ROOG_2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OOM_23" displayName="ROOM_23" ref="X1:X8" totalsRowShown="0">
  <autoFilter ref="X1:X8" xr:uid="{00000000-0009-0000-0100-000004000000}"/>
  <tableColumns count="1">
    <tableColumn id="1" xr3:uid="{00000000-0010-0000-0300-000001000000}" name="ROOM_2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ROOESP_23" displayName="ROOESP_23" ref="Z1:Z2" totalsRowShown="0">
  <autoFilter ref="Z1:Z2" xr:uid="{00000000-0009-0000-0100-000005000000}"/>
  <tableColumns count="1">
    <tableColumn id="1" xr3:uid="{00000000-0010-0000-0400-000001000000}" name="ROOESP_2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ROOP_23" displayName="ROOP_23" ref="AB1:AB14" totalsRowShown="0">
  <autoFilter ref="AB1:AB14" xr:uid="{00000000-0009-0000-0100-000006000000}"/>
  <tableColumns count="1">
    <tableColumn id="1" xr3:uid="{00000000-0010-0000-0500-000001000000}" name="ROOP_23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Camp_23" displayName="Camp_23" ref="AD1:AD3" totalsRowShown="0">
  <autoFilter ref="AD1:AD3" xr:uid="{00000000-0009-0000-0100-000007000000}"/>
  <tableColumns count="1">
    <tableColumn id="1" xr3:uid="{00000000-0010-0000-0600-000001000000}" name="Camp_2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HO_23" displayName="HO_23" ref="AF1:AF2" totalsRowShown="0">
  <autoFilter ref="AF1:AF2" xr:uid="{00000000-0009-0000-0100-000008000000}"/>
  <tableColumns count="1">
    <tableColumn id="1" xr3:uid="{00000000-0010-0000-0700-000001000000}" name="HO_23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WQ1_23" displayName="WQ1_23" ref="AH1:AH2" totalsRowShown="0">
  <autoFilter ref="AH1:AH2" xr:uid="{00000000-0009-0000-0100-000009000000}"/>
  <tableColumns count="1">
    <tableColumn id="1" xr3:uid="{00000000-0010-0000-0800-000001000000}" name="WQ1_23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Level_1" displayName="Level_1" ref="P1:P11" totalsRowShown="0">
  <autoFilter ref="P1:P11" xr:uid="{00000000-0009-0000-0100-00000A000000}"/>
  <tableColumns count="1">
    <tableColumn id="1" xr3:uid="{00000000-0010-0000-0900-000001000000}" name="Level_1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Cost_Type" displayName="Cost_Type" ref="C1:C3" totalsRowShown="0">
  <autoFilter ref="C1:C3" xr:uid="{00000000-0009-0000-0100-00000B000000}"/>
  <tableColumns count="1">
    <tableColumn id="1" xr3:uid="{00000000-0010-0000-0A00-000001000000}" name="Cost_Typ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GL_Name" displayName="GL_Name" ref="E1:E38" totalsRowShown="0">
  <autoFilter ref="E1:E38" xr:uid="{00000000-0009-0000-0100-00000C000000}"/>
  <tableColumns count="1">
    <tableColumn id="1" xr3:uid="{00000000-0010-0000-0B00-000001000000}" name="GL_Nam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C000000}" name="Month" displayName="Month" ref="H1:H13" totalsRowShown="0">
  <autoFilter ref="H1:H13" xr:uid="{00000000-0009-0000-0100-00000E000000}"/>
  <tableColumns count="1">
    <tableColumn id="1" xr3:uid="{00000000-0010-0000-0C00-000001000000}" name="Month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D000000}" name="Year" displayName="Year" ref="J1:J4" totalsRowShown="0">
  <autoFilter ref="J1:J4" xr:uid="{00000000-0009-0000-0100-00000F000000}"/>
  <tableColumns count="1">
    <tableColumn id="1" xr3:uid="{00000000-0010-0000-0D00-000001000000}" name="Ye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3F35E-E673-4F9F-90B0-CDC640C00FC2}">
  <dimension ref="A3:T57"/>
  <sheetViews>
    <sheetView tabSelected="1" workbookViewId="0"/>
  </sheetViews>
  <sheetFormatPr defaultRowHeight="14.5"/>
  <cols>
    <col min="1" max="1" width="24.453125" bestFit="1" customWidth="1"/>
    <col min="2" max="2" width="15.26953125" bestFit="1" customWidth="1"/>
    <col min="3" max="4" width="15.6328125" bestFit="1" customWidth="1"/>
    <col min="5" max="5" width="21.7265625" bestFit="1" customWidth="1"/>
    <col min="6" max="6" width="23.54296875" bestFit="1" customWidth="1"/>
    <col min="7" max="7" width="25.453125" bestFit="1" customWidth="1"/>
    <col min="8" max="8" width="11.1796875" bestFit="1" customWidth="1"/>
    <col min="9" max="9" width="14.54296875" bestFit="1" customWidth="1"/>
    <col min="10" max="10" width="11.7265625" bestFit="1" customWidth="1"/>
    <col min="11" max="11" width="29.54296875" bestFit="1" customWidth="1"/>
    <col min="12" max="12" width="17.36328125" bestFit="1" customWidth="1"/>
    <col min="13" max="13" width="11.1796875" bestFit="1" customWidth="1"/>
    <col min="14" max="14" width="12.54296875" bestFit="1" customWidth="1"/>
    <col min="15" max="15" width="25" bestFit="1" customWidth="1"/>
    <col min="16" max="16" width="13.6328125" bestFit="1" customWidth="1"/>
    <col min="17" max="17" width="19.90625" bestFit="1" customWidth="1"/>
    <col min="18" max="18" width="17.26953125" bestFit="1" customWidth="1"/>
    <col min="19" max="19" width="22.7265625" bestFit="1" customWidth="1"/>
    <col min="20" max="21" width="13.81640625" bestFit="1" customWidth="1"/>
    <col min="22" max="22" width="10.7265625" bestFit="1" customWidth="1"/>
    <col min="23" max="23" width="11.1796875" bestFit="1" customWidth="1"/>
    <col min="24" max="24" width="11.54296875" bestFit="1" customWidth="1"/>
    <col min="25" max="25" width="20.1796875" bestFit="1" customWidth="1"/>
    <col min="26" max="26" width="22.90625" bestFit="1" customWidth="1"/>
    <col min="27" max="27" width="46.453125" bestFit="1" customWidth="1"/>
    <col min="28" max="28" width="22.90625" bestFit="1" customWidth="1"/>
    <col min="29" max="29" width="16.26953125" bestFit="1" customWidth="1"/>
    <col min="30" max="30" width="14.453125" bestFit="1" customWidth="1"/>
    <col min="31" max="31" width="11.1796875" bestFit="1" customWidth="1"/>
    <col min="32" max="32" width="21.7265625" bestFit="1" customWidth="1"/>
    <col min="33" max="33" width="27.81640625" bestFit="1" customWidth="1"/>
    <col min="34" max="34" width="10.1796875" bestFit="1" customWidth="1"/>
    <col min="35" max="35" width="20.6328125" bestFit="1" customWidth="1"/>
    <col min="36" max="36" width="26.36328125" bestFit="1" customWidth="1"/>
    <col min="37" max="37" width="20.6328125" bestFit="1" customWidth="1"/>
    <col min="38" max="38" width="11.1796875" bestFit="1" customWidth="1"/>
    <col min="39" max="39" width="11.7265625" bestFit="1" customWidth="1"/>
    <col min="40" max="40" width="20.08984375" bestFit="1" customWidth="1"/>
    <col min="41" max="41" width="40.26953125" bestFit="1" customWidth="1"/>
    <col min="42" max="42" width="37.1796875" bestFit="1" customWidth="1"/>
    <col min="43" max="43" width="12.1796875" bestFit="1" customWidth="1"/>
    <col min="44" max="44" width="16.453125" bestFit="1" customWidth="1"/>
    <col min="45" max="45" width="13.08984375" bestFit="1" customWidth="1"/>
    <col min="46" max="46" width="14" bestFit="1" customWidth="1"/>
    <col min="47" max="47" width="14.26953125" bestFit="1" customWidth="1"/>
    <col min="48" max="48" width="14.81640625" bestFit="1" customWidth="1"/>
    <col min="49" max="49" width="14.90625" bestFit="1" customWidth="1"/>
    <col min="50" max="50" width="13.26953125" bestFit="1" customWidth="1"/>
    <col min="51" max="51" width="14.7265625" bestFit="1" customWidth="1"/>
    <col min="52" max="52" width="13.26953125" bestFit="1" customWidth="1"/>
    <col min="53" max="53" width="41.1796875" bestFit="1" customWidth="1"/>
    <col min="54" max="54" width="14.90625" bestFit="1" customWidth="1"/>
    <col min="55" max="55" width="13.81640625" bestFit="1" customWidth="1"/>
    <col min="56" max="56" width="16.6328125" bestFit="1" customWidth="1"/>
    <col min="57" max="58" width="18.36328125" bestFit="1" customWidth="1"/>
    <col min="59" max="59" width="17.1796875" bestFit="1" customWidth="1"/>
    <col min="60" max="60" width="16.7265625" bestFit="1" customWidth="1"/>
    <col min="61" max="61" width="21.90625" bestFit="1" customWidth="1"/>
    <col min="62" max="62" width="15.90625" bestFit="1" customWidth="1"/>
    <col min="63" max="63" width="20.36328125" bestFit="1" customWidth="1"/>
    <col min="64" max="65" width="16.453125" bestFit="1" customWidth="1"/>
    <col min="66" max="66" width="19.08984375" bestFit="1" customWidth="1"/>
    <col min="67" max="67" width="16.54296875" bestFit="1" customWidth="1"/>
    <col min="68" max="68" width="17.7265625" bestFit="1" customWidth="1"/>
    <col min="69" max="69" width="19.81640625" bestFit="1" customWidth="1"/>
    <col min="70" max="70" width="18.81640625" bestFit="1" customWidth="1"/>
    <col min="71" max="71" width="15.7265625" bestFit="1" customWidth="1"/>
    <col min="72" max="72" width="18.36328125" bestFit="1" customWidth="1"/>
    <col min="73" max="73" width="17.54296875" bestFit="1" customWidth="1"/>
    <col min="74" max="74" width="23.453125" bestFit="1" customWidth="1"/>
    <col min="75" max="75" width="19.90625" bestFit="1" customWidth="1"/>
    <col min="76" max="76" width="15.81640625" bestFit="1" customWidth="1"/>
    <col min="77" max="77" width="17.7265625" bestFit="1" customWidth="1"/>
    <col min="78" max="78" width="23.7265625" bestFit="1" customWidth="1"/>
    <col min="79" max="79" width="10.1796875" bestFit="1" customWidth="1"/>
    <col min="80" max="80" width="31.7265625" bestFit="1" customWidth="1"/>
    <col min="81" max="81" width="19.453125" bestFit="1" customWidth="1"/>
    <col min="82" max="82" width="23.7265625" bestFit="1" customWidth="1"/>
    <col min="83" max="83" width="16" bestFit="1" customWidth="1"/>
    <col min="84" max="84" width="30.453125" bestFit="1" customWidth="1"/>
    <col min="85" max="85" width="18.1796875" bestFit="1" customWidth="1"/>
    <col min="86" max="86" width="26.81640625" bestFit="1" customWidth="1"/>
    <col min="87" max="87" width="31" bestFit="1" customWidth="1"/>
    <col min="88" max="88" width="21.81640625" bestFit="1" customWidth="1"/>
    <col min="89" max="89" width="29.26953125" bestFit="1" customWidth="1"/>
    <col min="90" max="90" width="12.54296875" bestFit="1" customWidth="1"/>
    <col min="91" max="91" width="19.90625" bestFit="1" customWidth="1"/>
    <col min="92" max="92" width="35.6328125" bestFit="1" customWidth="1"/>
    <col min="93" max="93" width="21.7265625" bestFit="1" customWidth="1"/>
    <col min="94" max="94" width="121.81640625" bestFit="1" customWidth="1"/>
    <col min="95" max="95" width="24.6328125" bestFit="1" customWidth="1"/>
    <col min="96" max="96" width="10.1796875" bestFit="1" customWidth="1"/>
    <col min="97" max="97" width="12.1796875" bestFit="1" customWidth="1"/>
    <col min="98" max="98" width="19.08984375" bestFit="1" customWidth="1"/>
    <col min="99" max="99" width="17.90625" bestFit="1" customWidth="1"/>
    <col min="100" max="100" width="45.26953125" bestFit="1" customWidth="1"/>
    <col min="101" max="101" width="12.1796875" bestFit="1" customWidth="1"/>
    <col min="102" max="102" width="25.6328125" bestFit="1" customWidth="1"/>
    <col min="103" max="103" width="18.36328125" bestFit="1" customWidth="1"/>
    <col min="104" max="104" width="26.90625" bestFit="1" customWidth="1"/>
    <col min="105" max="105" width="47" bestFit="1" customWidth="1"/>
    <col min="106" max="106" width="10.1796875" bestFit="1" customWidth="1"/>
    <col min="107" max="107" width="39.7265625" bestFit="1" customWidth="1"/>
    <col min="108" max="108" width="21.7265625" bestFit="1" customWidth="1"/>
    <col min="109" max="109" width="24.7265625" bestFit="1" customWidth="1"/>
    <col min="110" max="110" width="22.08984375" bestFit="1" customWidth="1"/>
    <col min="111" max="111" width="19.90625" bestFit="1" customWidth="1"/>
    <col min="112" max="112" width="26" bestFit="1" customWidth="1"/>
    <col min="113" max="113" width="14.08984375" bestFit="1" customWidth="1"/>
    <col min="114" max="114" width="14.1796875" bestFit="1" customWidth="1"/>
    <col min="115" max="116" width="16.6328125" bestFit="1" customWidth="1"/>
    <col min="117" max="117" width="33.6328125" bestFit="1" customWidth="1"/>
    <col min="118" max="118" width="17" bestFit="1" customWidth="1"/>
    <col min="119" max="119" width="12.1796875" bestFit="1" customWidth="1"/>
    <col min="120" max="120" width="13.81640625" bestFit="1" customWidth="1"/>
  </cols>
  <sheetData>
    <row r="3" spans="1:20">
      <c r="A3" s="81" t="s">
        <v>247</v>
      </c>
      <c r="B3" s="81" t="s">
        <v>248</v>
      </c>
    </row>
    <row r="4" spans="1:20">
      <c r="A4" s="81" t="s">
        <v>245</v>
      </c>
      <c r="B4" t="s">
        <v>84</v>
      </c>
      <c r="C4" t="s">
        <v>129</v>
      </c>
      <c r="D4" t="s">
        <v>228</v>
      </c>
      <c r="E4" t="s">
        <v>63</v>
      </c>
      <c r="F4" t="s">
        <v>102</v>
      </c>
      <c r="G4" t="s">
        <v>56</v>
      </c>
      <c r="H4" t="s">
        <v>292</v>
      </c>
      <c r="I4" t="s">
        <v>81</v>
      </c>
      <c r="J4" t="s">
        <v>100</v>
      </c>
      <c r="K4" t="s">
        <v>86</v>
      </c>
      <c r="L4" t="s">
        <v>71</v>
      </c>
      <c r="M4" t="s">
        <v>96</v>
      </c>
      <c r="N4" t="s">
        <v>108</v>
      </c>
      <c r="O4" t="s">
        <v>20</v>
      </c>
      <c r="P4" t="s">
        <v>113</v>
      </c>
      <c r="Q4" t="s">
        <v>109</v>
      </c>
      <c r="R4" t="s">
        <v>80</v>
      </c>
      <c r="S4" t="s">
        <v>256</v>
      </c>
      <c r="T4" t="s">
        <v>246</v>
      </c>
    </row>
    <row r="5" spans="1:20">
      <c r="A5" s="4" t="s">
        <v>29</v>
      </c>
      <c r="B5" s="36"/>
      <c r="C5" s="36"/>
      <c r="D5" s="36"/>
      <c r="E5" s="36"/>
      <c r="F5" s="36">
        <v>1.4445880371882549</v>
      </c>
      <c r="G5" s="36"/>
      <c r="H5" s="36"/>
      <c r="I5" s="36"/>
      <c r="J5" s="36"/>
      <c r="K5" s="36">
        <v>7316.8956853146847</v>
      </c>
      <c r="L5" s="36">
        <v>931.0344827586207</v>
      </c>
      <c r="M5" s="36"/>
      <c r="N5" s="36"/>
      <c r="O5" s="36">
        <v>436</v>
      </c>
      <c r="P5" s="36"/>
      <c r="Q5" s="36"/>
      <c r="R5" s="36"/>
      <c r="S5" s="36"/>
      <c r="T5" s="36">
        <v>8685.3747561104938</v>
      </c>
    </row>
    <row r="6" spans="1:20">
      <c r="A6" s="82" t="s">
        <v>30</v>
      </c>
      <c r="B6" s="36"/>
      <c r="C6" s="36"/>
      <c r="D6" s="36"/>
      <c r="E6" s="36"/>
      <c r="F6" s="36">
        <v>1.4445880371882549</v>
      </c>
      <c r="G6" s="36"/>
      <c r="H6" s="36"/>
      <c r="I6" s="36"/>
      <c r="J6" s="36"/>
      <c r="K6" s="36">
        <v>7316.8956853146847</v>
      </c>
      <c r="L6" s="36">
        <v>931.0344827586207</v>
      </c>
      <c r="M6" s="36"/>
      <c r="N6" s="36"/>
      <c r="O6" s="36">
        <v>436</v>
      </c>
      <c r="P6" s="36"/>
      <c r="Q6" s="36"/>
      <c r="R6" s="36"/>
      <c r="S6" s="36"/>
      <c r="T6" s="36">
        <v>8685.3747561104938</v>
      </c>
    </row>
    <row r="7" spans="1:20">
      <c r="A7" s="4" t="s">
        <v>17</v>
      </c>
      <c r="B7" s="36"/>
      <c r="C7" s="36"/>
      <c r="D7" s="36"/>
      <c r="E7" s="36">
        <v>896.55172413793105</v>
      </c>
      <c r="F7" s="36">
        <v>4428.9655172413795</v>
      </c>
      <c r="G7" s="36"/>
      <c r="H7" s="36"/>
      <c r="I7" s="36">
        <v>6265.9754039064392</v>
      </c>
      <c r="J7" s="36">
        <v>8876.5517241379312</v>
      </c>
      <c r="K7" s="36">
        <v>445424.13122864725</v>
      </c>
      <c r="L7" s="36">
        <v>148316.51335149864</v>
      </c>
      <c r="M7" s="36">
        <v>24720</v>
      </c>
      <c r="N7" s="36"/>
      <c r="O7" s="36">
        <v>549684.0273972603</v>
      </c>
      <c r="P7" s="36"/>
      <c r="Q7" s="36">
        <v>47408.364035331557</v>
      </c>
      <c r="R7" s="36">
        <v>82012.711724137931</v>
      </c>
      <c r="S7" s="36"/>
      <c r="T7" s="36">
        <v>1318033.792106299</v>
      </c>
    </row>
    <row r="8" spans="1:20">
      <c r="A8" s="82" t="s">
        <v>18</v>
      </c>
      <c r="B8" s="36"/>
      <c r="C8" s="36"/>
      <c r="D8" s="36"/>
      <c r="E8" s="36"/>
      <c r="F8" s="36">
        <v>621.37931034482756</v>
      </c>
      <c r="G8" s="36"/>
      <c r="H8" s="36"/>
      <c r="I8" s="36">
        <v>482.75862068965517</v>
      </c>
      <c r="J8" s="36"/>
      <c r="K8" s="36">
        <v>104009.18721224982</v>
      </c>
      <c r="L8" s="36">
        <v>2234.73</v>
      </c>
      <c r="M8" s="36"/>
      <c r="N8" s="36"/>
      <c r="O8" s="36">
        <v>102612</v>
      </c>
      <c r="P8" s="36"/>
      <c r="Q8" s="36">
        <v>6717.5909039620674</v>
      </c>
      <c r="R8" s="36">
        <v>27483.344827586207</v>
      </c>
      <c r="S8" s="36"/>
      <c r="T8" s="36">
        <v>244160.99087483255</v>
      </c>
    </row>
    <row r="9" spans="1:20">
      <c r="A9" s="82" t="s">
        <v>74</v>
      </c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>
        <v>15601</v>
      </c>
      <c r="P9" s="36"/>
      <c r="Q9" s="36">
        <v>167.93977259905165</v>
      </c>
      <c r="R9" s="36"/>
      <c r="S9" s="36"/>
      <c r="T9" s="36">
        <v>15768.939772599051</v>
      </c>
    </row>
    <row r="10" spans="1:20">
      <c r="A10" s="82" t="s">
        <v>22</v>
      </c>
      <c r="B10" s="36"/>
      <c r="C10" s="36"/>
      <c r="D10" s="36"/>
      <c r="E10" s="36">
        <v>896.55172413793105</v>
      </c>
      <c r="F10" s="36">
        <v>1160.6896551724137</v>
      </c>
      <c r="G10" s="36"/>
      <c r="H10" s="36"/>
      <c r="I10" s="36">
        <v>3230.7692307692309</v>
      </c>
      <c r="J10" s="36">
        <v>3376.5517241379312</v>
      </c>
      <c r="K10" s="36">
        <v>55096.296505473838</v>
      </c>
      <c r="L10" s="36">
        <v>40175.226832659966</v>
      </c>
      <c r="M10" s="36"/>
      <c r="N10" s="36"/>
      <c r="O10" s="36">
        <v>121573.86301369863</v>
      </c>
      <c r="P10" s="36"/>
      <c r="Q10" s="36">
        <v>8341.7384036580115</v>
      </c>
      <c r="R10" s="36">
        <v>15677.684137931034</v>
      </c>
      <c r="S10" s="36"/>
      <c r="T10" s="36">
        <v>249529.37122763897</v>
      </c>
    </row>
    <row r="11" spans="1:20">
      <c r="A11" s="82" t="s">
        <v>92</v>
      </c>
      <c r="B11" s="36"/>
      <c r="C11" s="36"/>
      <c r="D11" s="36"/>
      <c r="E11" s="36"/>
      <c r="F11" s="36"/>
      <c r="G11" s="36"/>
      <c r="H11" s="36"/>
      <c r="I11" s="36"/>
      <c r="J11" s="36"/>
      <c r="K11" s="36">
        <v>15879.913190258019</v>
      </c>
      <c r="L11" s="36">
        <v>75</v>
      </c>
      <c r="M11" s="36"/>
      <c r="N11" s="36"/>
      <c r="O11" s="36">
        <v>37874</v>
      </c>
      <c r="P11" s="36"/>
      <c r="Q11" s="36"/>
      <c r="R11" s="36"/>
      <c r="S11" s="36"/>
      <c r="T11" s="36">
        <v>53828.913190258019</v>
      </c>
    </row>
    <row r="12" spans="1:20">
      <c r="A12" s="82" t="s">
        <v>319</v>
      </c>
      <c r="B12" s="36"/>
      <c r="C12" s="36"/>
      <c r="D12" s="36"/>
      <c r="E12" s="36"/>
      <c r="F12" s="36"/>
      <c r="G12" s="36"/>
      <c r="H12" s="36"/>
      <c r="I12" s="36"/>
      <c r="J12" s="36"/>
      <c r="K12" s="36">
        <v>7034.0795310344829</v>
      </c>
      <c r="L12" s="36"/>
      <c r="M12" s="36"/>
      <c r="N12" s="36"/>
      <c r="O12" s="36"/>
      <c r="P12" s="36"/>
      <c r="Q12" s="36"/>
      <c r="R12" s="36"/>
      <c r="S12" s="36"/>
      <c r="T12" s="36">
        <v>7034.0795310344829</v>
      </c>
    </row>
    <row r="13" spans="1:20">
      <c r="A13" s="82" t="s">
        <v>23</v>
      </c>
      <c r="B13" s="36"/>
      <c r="C13" s="36"/>
      <c r="D13" s="36"/>
      <c r="E13" s="36"/>
      <c r="F13" s="36">
        <v>292.41379310344826</v>
      </c>
      <c r="G13" s="36"/>
      <c r="H13" s="36"/>
      <c r="I13" s="36"/>
      <c r="J13" s="36"/>
      <c r="K13" s="36">
        <v>1620</v>
      </c>
      <c r="L13" s="36">
        <v>101</v>
      </c>
      <c r="M13" s="36">
        <v>5500</v>
      </c>
      <c r="N13" s="36"/>
      <c r="O13" s="36">
        <v>532</v>
      </c>
      <c r="P13" s="36"/>
      <c r="Q13" s="36">
        <v>6633.6210176625409</v>
      </c>
      <c r="R13" s="36"/>
      <c r="S13" s="36"/>
      <c r="T13" s="36">
        <v>14679.034810765988</v>
      </c>
    </row>
    <row r="14" spans="1:20">
      <c r="A14" s="82" t="s">
        <v>24</v>
      </c>
      <c r="B14" s="36"/>
      <c r="C14" s="36"/>
      <c r="D14" s="36"/>
      <c r="E14" s="36"/>
      <c r="F14" s="36"/>
      <c r="G14" s="36"/>
      <c r="H14" s="36"/>
      <c r="I14" s="36"/>
      <c r="J14" s="36"/>
      <c r="K14" s="36">
        <v>48489.596105666744</v>
      </c>
      <c r="L14" s="36">
        <v>6118.8824137931042</v>
      </c>
      <c r="M14" s="36"/>
      <c r="N14" s="36"/>
      <c r="O14" s="36">
        <v>49261</v>
      </c>
      <c r="P14" s="36"/>
      <c r="Q14" s="36">
        <v>1696.3111467522056</v>
      </c>
      <c r="R14" s="36"/>
      <c r="S14" s="36"/>
      <c r="T14" s="36">
        <v>105565.78966621206</v>
      </c>
    </row>
    <row r="15" spans="1:20">
      <c r="A15" s="82" t="s">
        <v>25</v>
      </c>
      <c r="B15" s="36"/>
      <c r="C15" s="36"/>
      <c r="D15" s="36"/>
      <c r="E15" s="36"/>
      <c r="F15" s="36">
        <v>2354.4827586206898</v>
      </c>
      <c r="G15" s="36"/>
      <c r="H15" s="36"/>
      <c r="I15" s="36">
        <v>2552.4475524475524</v>
      </c>
      <c r="J15" s="36">
        <v>5500</v>
      </c>
      <c r="K15" s="36">
        <v>210151.83071767545</v>
      </c>
      <c r="L15" s="36">
        <v>69841.410344827586</v>
      </c>
      <c r="M15" s="36">
        <v>19220</v>
      </c>
      <c r="N15" s="36"/>
      <c r="O15" s="36">
        <v>222230.16438356164</v>
      </c>
      <c r="P15" s="36"/>
      <c r="Q15" s="36">
        <v>23851.162790697676</v>
      </c>
      <c r="R15" s="36">
        <v>31865.200000000001</v>
      </c>
      <c r="S15" s="36"/>
      <c r="T15" s="36">
        <v>587566.69854783046</v>
      </c>
    </row>
    <row r="16" spans="1:20">
      <c r="A16" s="82" t="s">
        <v>26</v>
      </c>
      <c r="B16" s="36"/>
      <c r="C16" s="36"/>
      <c r="D16" s="36"/>
      <c r="E16" s="36"/>
      <c r="F16" s="36"/>
      <c r="G16" s="36"/>
      <c r="H16" s="36"/>
      <c r="I16" s="36"/>
      <c r="J16" s="36"/>
      <c r="K16" s="36">
        <v>3143.2279662888836</v>
      </c>
      <c r="L16" s="36">
        <v>290.39999999999998</v>
      </c>
      <c r="M16" s="36"/>
      <c r="N16" s="36"/>
      <c r="O16" s="36"/>
      <c r="P16" s="36"/>
      <c r="Q16" s="36"/>
      <c r="R16" s="36">
        <v>6986.4827586206893</v>
      </c>
      <c r="S16" s="36"/>
      <c r="T16" s="36">
        <v>10420.110724909573</v>
      </c>
    </row>
    <row r="17" spans="1:20">
      <c r="A17" s="82" t="s">
        <v>798</v>
      </c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>
        <v>29479.863760217984</v>
      </c>
      <c r="M17" s="36"/>
      <c r="N17" s="36"/>
      <c r="O17" s="36"/>
      <c r="P17" s="36"/>
      <c r="Q17" s="36"/>
      <c r="R17" s="36"/>
      <c r="S17" s="36"/>
      <c r="T17" s="36">
        <v>29479.863760217984</v>
      </c>
    </row>
    <row r="18" spans="1:20">
      <c r="A18" s="4" t="s">
        <v>27</v>
      </c>
      <c r="B18" s="36"/>
      <c r="C18" s="36"/>
      <c r="D18" s="36"/>
      <c r="E18" s="36">
        <v>20193.661971830985</v>
      </c>
      <c r="F18" s="36">
        <v>1652.8174508881871</v>
      </c>
      <c r="G18" s="36"/>
      <c r="H18" s="36"/>
      <c r="I18" s="36"/>
      <c r="J18" s="36"/>
      <c r="K18" s="36"/>
      <c r="L18" s="36">
        <v>383.67</v>
      </c>
      <c r="M18" s="36"/>
      <c r="N18" s="36"/>
      <c r="O18" s="36">
        <v>19864</v>
      </c>
      <c r="P18" s="36"/>
      <c r="Q18" s="36">
        <v>4744.2985759232097</v>
      </c>
      <c r="R18" s="36"/>
      <c r="S18" s="36"/>
      <c r="T18" s="36">
        <v>46838.447998642383</v>
      </c>
    </row>
    <row r="19" spans="1:20">
      <c r="A19" s="82" t="s">
        <v>28</v>
      </c>
      <c r="B19" s="36"/>
      <c r="C19" s="36"/>
      <c r="D19" s="36"/>
      <c r="E19" s="36">
        <v>20193.661971830985</v>
      </c>
      <c r="F19" s="36">
        <v>1652.8174508881871</v>
      </c>
      <c r="G19" s="36"/>
      <c r="H19" s="36"/>
      <c r="I19" s="36"/>
      <c r="J19" s="36"/>
      <c r="K19" s="36"/>
      <c r="L19" s="36">
        <v>383.67</v>
      </c>
      <c r="M19" s="36"/>
      <c r="N19" s="36"/>
      <c r="O19" s="36">
        <v>19864</v>
      </c>
      <c r="P19" s="36"/>
      <c r="Q19" s="36">
        <v>4744.2985759232097</v>
      </c>
      <c r="R19" s="36"/>
      <c r="S19" s="36"/>
      <c r="T19" s="36">
        <v>46838.447998642383</v>
      </c>
    </row>
    <row r="20" spans="1:20">
      <c r="A20" s="4" t="s">
        <v>54</v>
      </c>
      <c r="B20" s="36"/>
      <c r="C20" s="36"/>
      <c r="D20" s="36"/>
      <c r="E20" s="36"/>
      <c r="F20" s="36">
        <v>377.93103448275861</v>
      </c>
      <c r="G20" s="36">
        <v>8078.6206896551721</v>
      </c>
      <c r="H20" s="36">
        <v>18513.793103448275</v>
      </c>
      <c r="I20" s="36">
        <v>0</v>
      </c>
      <c r="J20" s="36">
        <v>5206.8965517241377</v>
      </c>
      <c r="K20" s="36">
        <v>98220.97998543526</v>
      </c>
      <c r="L20" s="36">
        <v>309383.91259231418</v>
      </c>
      <c r="M20" s="36">
        <v>11520</v>
      </c>
      <c r="N20" s="36"/>
      <c r="O20" s="36">
        <v>114813.70629370629</v>
      </c>
      <c r="P20" s="36"/>
      <c r="Q20" s="36"/>
      <c r="R20" s="36">
        <v>21341.159999999996</v>
      </c>
      <c r="S20" s="36"/>
      <c r="T20" s="36">
        <v>587457.00025076605</v>
      </c>
    </row>
    <row r="21" spans="1:20">
      <c r="A21" s="82" t="s">
        <v>55</v>
      </c>
      <c r="B21" s="36"/>
      <c r="C21" s="36"/>
      <c r="D21" s="36"/>
      <c r="E21" s="36"/>
      <c r="F21" s="36">
        <v>377.93103448275861</v>
      </c>
      <c r="G21" s="36">
        <v>8078.6206896551721</v>
      </c>
      <c r="H21" s="36">
        <v>18513.793103448275</v>
      </c>
      <c r="I21" s="36">
        <v>0</v>
      </c>
      <c r="J21" s="36">
        <v>5206.8965517241377</v>
      </c>
      <c r="K21" s="36">
        <v>98220.97998543526</v>
      </c>
      <c r="L21" s="36">
        <v>71313.205172413785</v>
      </c>
      <c r="M21" s="36">
        <v>11520</v>
      </c>
      <c r="N21" s="36"/>
      <c r="O21" s="36">
        <v>114813.70629370629</v>
      </c>
      <c r="P21" s="36"/>
      <c r="Q21" s="36"/>
      <c r="R21" s="36">
        <v>20041.159999999996</v>
      </c>
      <c r="S21" s="36"/>
      <c r="T21" s="36">
        <v>348086.29283086566</v>
      </c>
    </row>
    <row r="22" spans="1:20">
      <c r="A22" s="82" t="s">
        <v>95</v>
      </c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>
        <v>238070.7074199004</v>
      </c>
      <c r="M22" s="36"/>
      <c r="N22" s="36"/>
      <c r="O22" s="36"/>
      <c r="P22" s="36"/>
      <c r="Q22" s="36"/>
      <c r="R22" s="36">
        <v>1300</v>
      </c>
      <c r="S22" s="36"/>
      <c r="T22" s="36">
        <v>239370.7074199004</v>
      </c>
    </row>
    <row r="23" spans="1:20">
      <c r="A23" s="4" t="s">
        <v>58</v>
      </c>
      <c r="B23" s="36">
        <v>20907.241468531465</v>
      </c>
      <c r="C23" s="36">
        <v>3653.1034482758619</v>
      </c>
      <c r="D23" s="36">
        <v>684000</v>
      </c>
      <c r="E23" s="36">
        <v>40575.138416707137</v>
      </c>
      <c r="F23" s="36">
        <v>3077.1657706616074</v>
      </c>
      <c r="G23" s="36"/>
      <c r="H23" s="36"/>
      <c r="I23" s="36">
        <v>124.13793103448276</v>
      </c>
      <c r="J23" s="36">
        <v>248.27586206896552</v>
      </c>
      <c r="K23" s="36">
        <v>13257.093370966963</v>
      </c>
      <c r="L23" s="36">
        <v>4791.8020689655168</v>
      </c>
      <c r="M23" s="36"/>
      <c r="N23" s="36">
        <v>25000</v>
      </c>
      <c r="O23" s="36">
        <v>106095</v>
      </c>
      <c r="P23" s="36"/>
      <c r="Q23" s="36">
        <v>413.79310344827587</v>
      </c>
      <c r="R23" s="36">
        <v>16993.053793103449</v>
      </c>
      <c r="S23" s="36">
        <v>6136.0344827586214</v>
      </c>
      <c r="T23" s="36">
        <v>925271.83971652226</v>
      </c>
    </row>
    <row r="24" spans="1:20">
      <c r="A24" s="82" t="s">
        <v>59</v>
      </c>
      <c r="B24" s="36">
        <v>20907.241468531465</v>
      </c>
      <c r="C24" s="36">
        <v>3653.1034482758619</v>
      </c>
      <c r="D24" s="36">
        <v>684000</v>
      </c>
      <c r="E24" s="36">
        <v>40575.138416707137</v>
      </c>
      <c r="F24" s="36">
        <v>3077.1657706616074</v>
      </c>
      <c r="G24" s="36"/>
      <c r="H24" s="36"/>
      <c r="I24" s="36">
        <v>124.13793103448276</v>
      </c>
      <c r="J24" s="36">
        <v>248.27586206896552</v>
      </c>
      <c r="K24" s="36">
        <v>13257.093370966963</v>
      </c>
      <c r="L24" s="36">
        <v>4791.8020689655168</v>
      </c>
      <c r="M24" s="36"/>
      <c r="N24" s="36">
        <v>25000</v>
      </c>
      <c r="O24" s="36">
        <v>106095</v>
      </c>
      <c r="P24" s="36"/>
      <c r="Q24" s="36">
        <v>413.79310344827587</v>
      </c>
      <c r="R24" s="36">
        <v>16993.053793103449</v>
      </c>
      <c r="S24" s="36">
        <v>6136.0344827586214</v>
      </c>
      <c r="T24" s="36">
        <v>925271.83971652226</v>
      </c>
    </row>
    <row r="25" spans="1:20">
      <c r="A25" s="4" t="s">
        <v>669</v>
      </c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>
        <v>1679.3103448275863</v>
      </c>
      <c r="M25" s="36"/>
      <c r="N25" s="36"/>
      <c r="O25" s="36"/>
      <c r="P25" s="36"/>
      <c r="Q25" s="36"/>
      <c r="R25" s="36"/>
      <c r="S25" s="36">
        <v>412.41379310344826</v>
      </c>
      <c r="T25" s="36">
        <v>2091.7241379310344</v>
      </c>
    </row>
    <row r="26" spans="1:20">
      <c r="A26" s="82" t="s">
        <v>670</v>
      </c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>
        <v>1679.3103448275863</v>
      </c>
      <c r="M26" s="36"/>
      <c r="N26" s="36"/>
      <c r="O26" s="36"/>
      <c r="P26" s="36"/>
      <c r="Q26" s="36"/>
      <c r="R26" s="36"/>
      <c r="S26" s="36">
        <v>412.41379310344826</v>
      </c>
      <c r="T26" s="36">
        <v>2091.7241379310344</v>
      </c>
    </row>
    <row r="27" spans="1:20">
      <c r="A27" s="4" t="s">
        <v>95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>
        <v>64063</v>
      </c>
      <c r="P27" s="36"/>
      <c r="Q27" s="36"/>
      <c r="R27" s="36"/>
      <c r="S27" s="36"/>
      <c r="T27" s="36">
        <v>64063</v>
      </c>
    </row>
    <row r="28" spans="1:20">
      <c r="A28" s="82" t="s">
        <v>95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>
        <v>64063</v>
      </c>
      <c r="P28" s="36"/>
      <c r="Q28" s="36"/>
      <c r="R28" s="36"/>
      <c r="S28" s="36"/>
      <c r="T28" s="36">
        <v>64063</v>
      </c>
    </row>
    <row r="29" spans="1:20">
      <c r="A29" s="4" t="s">
        <v>249</v>
      </c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>
        <v>83.969886299525825</v>
      </c>
      <c r="R29" s="36"/>
      <c r="S29" s="36"/>
      <c r="T29" s="36">
        <v>83.969886299525825</v>
      </c>
    </row>
    <row r="30" spans="1:20">
      <c r="A30" s="82" t="s">
        <v>32</v>
      </c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>
        <v>83.969886299525825</v>
      </c>
      <c r="R30" s="36"/>
      <c r="S30" s="36"/>
      <c r="T30" s="36">
        <v>83.969886299525825</v>
      </c>
    </row>
    <row r="31" spans="1:20">
      <c r="A31" s="4" t="s">
        <v>33</v>
      </c>
      <c r="B31" s="36"/>
      <c r="C31" s="36"/>
      <c r="D31" s="36"/>
      <c r="E31" s="36">
        <v>4299.3103448275861</v>
      </c>
      <c r="F31" s="36">
        <v>556.41822518361244</v>
      </c>
      <c r="G31" s="36"/>
      <c r="H31" s="36"/>
      <c r="I31" s="36">
        <v>5793.1034482758623</v>
      </c>
      <c r="J31" s="36"/>
      <c r="K31" s="36">
        <v>99673.895655461776</v>
      </c>
      <c r="L31" s="36">
        <v>1882.7586206896551</v>
      </c>
      <c r="M31" s="36">
        <v>11280</v>
      </c>
      <c r="N31" s="36"/>
      <c r="O31" s="36">
        <v>75685</v>
      </c>
      <c r="P31" s="36"/>
      <c r="Q31" s="36">
        <v>34607.067841748736</v>
      </c>
      <c r="R31" s="36">
        <v>350.93586206896549</v>
      </c>
      <c r="S31" s="36"/>
      <c r="T31" s="36">
        <v>234128.48999825618</v>
      </c>
    </row>
    <row r="32" spans="1:20">
      <c r="A32" s="82" t="s">
        <v>34</v>
      </c>
      <c r="B32" s="36"/>
      <c r="C32" s="36"/>
      <c r="D32" s="36"/>
      <c r="E32" s="36">
        <v>4299.3103448275861</v>
      </c>
      <c r="F32" s="36">
        <v>556.41822518361244</v>
      </c>
      <c r="G32" s="36"/>
      <c r="H32" s="36"/>
      <c r="I32" s="36">
        <v>5793.1034482758623</v>
      </c>
      <c r="J32" s="36"/>
      <c r="K32" s="36">
        <v>99673.895655461776</v>
      </c>
      <c r="L32" s="36">
        <v>1882.7586206896551</v>
      </c>
      <c r="M32" s="36">
        <v>11280</v>
      </c>
      <c r="N32" s="36"/>
      <c r="O32" s="36">
        <v>75685</v>
      </c>
      <c r="P32" s="36"/>
      <c r="Q32" s="36">
        <v>34607.067841748736</v>
      </c>
      <c r="R32" s="36">
        <v>350.93586206896549</v>
      </c>
      <c r="S32" s="36"/>
      <c r="T32" s="36">
        <v>234128.48999825618</v>
      </c>
    </row>
    <row r="33" spans="1:20">
      <c r="A33" s="4" t="s">
        <v>35</v>
      </c>
      <c r="B33" s="36"/>
      <c r="C33" s="36"/>
      <c r="D33" s="36"/>
      <c r="E33" s="36"/>
      <c r="F33" s="36">
        <v>730.74486738856717</v>
      </c>
      <c r="G33" s="36"/>
      <c r="H33" s="36"/>
      <c r="I33" s="36"/>
      <c r="J33" s="36"/>
      <c r="K33" s="36">
        <v>111783.0790653002</v>
      </c>
      <c r="L33" s="36">
        <v>50668.313793103451</v>
      </c>
      <c r="M33" s="36"/>
      <c r="N33" s="36"/>
      <c r="O33" s="36">
        <v>177737</v>
      </c>
      <c r="P33" s="36"/>
      <c r="Q33" s="36">
        <v>181041.46267608728</v>
      </c>
      <c r="R33" s="36">
        <v>22715.827586206895</v>
      </c>
      <c r="S33" s="36"/>
      <c r="T33" s="36">
        <v>544676.42798808636</v>
      </c>
    </row>
    <row r="34" spans="1:20">
      <c r="A34" s="82" t="s">
        <v>284</v>
      </c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>
        <v>1217</v>
      </c>
      <c r="P34" s="36"/>
      <c r="Q34" s="36">
        <v>1175.5784081933616</v>
      </c>
      <c r="R34" s="36"/>
      <c r="S34" s="36"/>
      <c r="T34" s="36">
        <v>2392.5784081933616</v>
      </c>
    </row>
    <row r="35" spans="1:20">
      <c r="A35" s="82" t="s">
        <v>36</v>
      </c>
      <c r="B35" s="36"/>
      <c r="C35" s="36"/>
      <c r="D35" s="36"/>
      <c r="E35" s="36"/>
      <c r="F35" s="36">
        <v>109.65517241379311</v>
      </c>
      <c r="G35" s="36"/>
      <c r="H35" s="36"/>
      <c r="I35" s="36"/>
      <c r="J35" s="36"/>
      <c r="K35" s="36">
        <v>21389.165314878224</v>
      </c>
      <c r="L35" s="36">
        <v>43821.340000000004</v>
      </c>
      <c r="M35" s="36"/>
      <c r="N35" s="36"/>
      <c r="O35" s="36">
        <v>41827</v>
      </c>
      <c r="P35" s="36"/>
      <c r="Q35" s="36">
        <v>38166.701137444114</v>
      </c>
      <c r="R35" s="36">
        <v>21367.551724137931</v>
      </c>
      <c r="S35" s="36"/>
      <c r="T35" s="36">
        <v>166681.41334887408</v>
      </c>
    </row>
    <row r="36" spans="1:20">
      <c r="A36" s="82" t="s">
        <v>37</v>
      </c>
      <c r="B36" s="36"/>
      <c r="C36" s="36"/>
      <c r="D36" s="36"/>
      <c r="E36" s="36"/>
      <c r="F36" s="36"/>
      <c r="G36" s="36"/>
      <c r="H36" s="36"/>
      <c r="I36" s="36"/>
      <c r="J36" s="36"/>
      <c r="K36" s="36">
        <v>80463.221065541351</v>
      </c>
      <c r="L36" s="36">
        <v>6041.4737931034479</v>
      </c>
      <c r="M36" s="36"/>
      <c r="N36" s="36"/>
      <c r="O36" s="36">
        <v>120508</v>
      </c>
      <c r="P36" s="36"/>
      <c r="Q36" s="36">
        <v>138214.4328490195</v>
      </c>
      <c r="R36" s="36">
        <v>1210.344827586207</v>
      </c>
      <c r="S36" s="36"/>
      <c r="T36" s="36">
        <v>346437.47253525048</v>
      </c>
    </row>
    <row r="37" spans="1:20">
      <c r="A37" s="82" t="s">
        <v>39</v>
      </c>
      <c r="B37" s="36"/>
      <c r="C37" s="36"/>
      <c r="D37" s="36"/>
      <c r="E37" s="36"/>
      <c r="F37" s="36"/>
      <c r="G37" s="36"/>
      <c r="H37" s="36"/>
      <c r="I37" s="36"/>
      <c r="J37" s="36"/>
      <c r="K37" s="36">
        <v>3618.0772666988187</v>
      </c>
      <c r="L37" s="36"/>
      <c r="M37" s="36"/>
      <c r="N37" s="36"/>
      <c r="O37" s="36"/>
      <c r="P37" s="36"/>
      <c r="Q37" s="36"/>
      <c r="R37" s="36"/>
      <c r="S37" s="36"/>
      <c r="T37" s="36">
        <v>3618.0772666988187</v>
      </c>
    </row>
    <row r="38" spans="1:20">
      <c r="A38" s="82" t="s">
        <v>40</v>
      </c>
      <c r="B38" s="36"/>
      <c r="C38" s="36"/>
      <c r="D38" s="36"/>
      <c r="E38" s="36"/>
      <c r="F38" s="36">
        <v>36.551724137931032</v>
      </c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>
        <v>36.551724137931032</v>
      </c>
    </row>
    <row r="39" spans="1:20">
      <c r="A39" s="82" t="s">
        <v>41</v>
      </c>
      <c r="B39" s="36"/>
      <c r="C39" s="36"/>
      <c r="D39" s="36"/>
      <c r="E39" s="36"/>
      <c r="F39" s="36"/>
      <c r="G39" s="36"/>
      <c r="H39" s="36"/>
      <c r="I39" s="36"/>
      <c r="J39" s="36"/>
      <c r="K39" s="36">
        <v>6312.6154181818183</v>
      </c>
      <c r="L39" s="36">
        <v>805.5</v>
      </c>
      <c r="M39" s="36"/>
      <c r="N39" s="36"/>
      <c r="O39" s="36">
        <v>14185</v>
      </c>
      <c r="P39" s="36"/>
      <c r="Q39" s="36">
        <v>3484.7502814303225</v>
      </c>
      <c r="R39" s="36">
        <v>137.93103448275863</v>
      </c>
      <c r="S39" s="36"/>
      <c r="T39" s="36">
        <v>24925.7967340949</v>
      </c>
    </row>
    <row r="40" spans="1:20">
      <c r="A40" s="82" t="s">
        <v>35</v>
      </c>
      <c r="B40" s="36"/>
      <c r="C40" s="36"/>
      <c r="D40" s="36"/>
      <c r="E40" s="36"/>
      <c r="F40" s="36">
        <v>584.53797083684299</v>
      </c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>
        <v>584.53797083684299</v>
      </c>
    </row>
    <row r="41" spans="1:20">
      <c r="A41" s="4" t="s">
        <v>42</v>
      </c>
      <c r="B41" s="36"/>
      <c r="C41" s="36"/>
      <c r="D41" s="36"/>
      <c r="E41" s="36">
        <v>1724.1379310344828</v>
      </c>
      <c r="F41" s="36">
        <v>4254.0396371311472</v>
      </c>
      <c r="G41" s="36">
        <v>14586.206896551725</v>
      </c>
      <c r="H41" s="36"/>
      <c r="I41" s="36">
        <v>559.44055944055947</v>
      </c>
      <c r="J41" s="36">
        <v>5395.8620689655172</v>
      </c>
      <c r="K41" s="36">
        <v>699054.45610460569</v>
      </c>
      <c r="L41" s="36">
        <v>262427.77674715768</v>
      </c>
      <c r="M41" s="36">
        <v>16879.310344827587</v>
      </c>
      <c r="N41" s="36"/>
      <c r="O41" s="36">
        <v>634055</v>
      </c>
      <c r="P41" s="36">
        <v>160500</v>
      </c>
      <c r="Q41" s="36">
        <v>321825.18181219592</v>
      </c>
      <c r="R41" s="36">
        <v>150854.59103448276</v>
      </c>
      <c r="S41" s="36"/>
      <c r="T41" s="36">
        <v>2272116.0031363936</v>
      </c>
    </row>
    <row r="42" spans="1:20">
      <c r="A42" s="82" t="s">
        <v>70</v>
      </c>
      <c r="B42" s="36"/>
      <c r="C42" s="36"/>
      <c r="D42" s="36"/>
      <c r="E42" s="36"/>
      <c r="F42" s="36">
        <v>1024.1379310344828</v>
      </c>
      <c r="G42" s="36"/>
      <c r="H42" s="36"/>
      <c r="I42" s="36"/>
      <c r="J42" s="36"/>
      <c r="K42" s="36"/>
      <c r="L42" s="36">
        <v>2553.7931034482758</v>
      </c>
      <c r="M42" s="36"/>
      <c r="N42" s="36"/>
      <c r="O42" s="36"/>
      <c r="P42" s="36"/>
      <c r="Q42" s="36">
        <v>2141.2321006379088</v>
      </c>
      <c r="R42" s="36"/>
      <c r="S42" s="36"/>
      <c r="T42" s="36">
        <v>5719.163135120667</v>
      </c>
    </row>
    <row r="43" spans="1:20">
      <c r="A43" s="82" t="s">
        <v>43</v>
      </c>
      <c r="B43" s="36"/>
      <c r="C43" s="36"/>
      <c r="D43" s="36"/>
      <c r="E43" s="36"/>
      <c r="F43" s="36"/>
      <c r="G43" s="36"/>
      <c r="H43" s="36"/>
      <c r="I43" s="36">
        <v>559.44055944055947</v>
      </c>
      <c r="J43" s="36"/>
      <c r="K43" s="36">
        <v>57462.985541837479</v>
      </c>
      <c r="L43" s="36">
        <v>4039.5172413793102</v>
      </c>
      <c r="M43" s="36"/>
      <c r="N43" s="36"/>
      <c r="O43" s="36">
        <v>55393</v>
      </c>
      <c r="P43" s="36"/>
      <c r="Q43" s="36">
        <v>155092.37999522424</v>
      </c>
      <c r="R43" s="36">
        <v>1005.5172413793103</v>
      </c>
      <c r="S43" s="36"/>
      <c r="T43" s="36">
        <v>273552.8405792609</v>
      </c>
    </row>
    <row r="44" spans="1:20">
      <c r="A44" s="82" t="s">
        <v>44</v>
      </c>
      <c r="B44" s="36"/>
      <c r="C44" s="36"/>
      <c r="D44" s="36"/>
      <c r="E44" s="36"/>
      <c r="F44" s="36"/>
      <c r="G44" s="36"/>
      <c r="H44" s="36"/>
      <c r="I44" s="36"/>
      <c r="J44" s="36"/>
      <c r="K44" s="36">
        <v>52039.094158910055</v>
      </c>
      <c r="L44" s="36">
        <v>2457.1441379310345</v>
      </c>
      <c r="M44" s="36"/>
      <c r="N44" s="36"/>
      <c r="O44" s="36">
        <v>29274</v>
      </c>
      <c r="P44" s="36"/>
      <c r="Q44" s="36">
        <v>18179.480383847342</v>
      </c>
      <c r="R44" s="36"/>
      <c r="S44" s="36"/>
      <c r="T44" s="36">
        <v>101949.71868068844</v>
      </c>
    </row>
    <row r="45" spans="1:20">
      <c r="A45" s="82" t="s">
        <v>45</v>
      </c>
      <c r="B45" s="36"/>
      <c r="C45" s="36"/>
      <c r="D45" s="36"/>
      <c r="E45" s="36"/>
      <c r="F45" s="36">
        <v>255.86206896551724</v>
      </c>
      <c r="G45" s="36"/>
      <c r="H45" s="36"/>
      <c r="I45" s="36"/>
      <c r="J45" s="36">
        <v>5000</v>
      </c>
      <c r="K45" s="36">
        <v>121996.9204595129</v>
      </c>
      <c r="L45" s="36">
        <v>7411.2068965517246</v>
      </c>
      <c r="M45" s="36"/>
      <c r="N45" s="36"/>
      <c r="O45" s="36">
        <v>71133</v>
      </c>
      <c r="P45" s="36">
        <v>160500</v>
      </c>
      <c r="Q45" s="36">
        <v>2620.6896551724139</v>
      </c>
      <c r="R45" s="36">
        <v>81496.177241379308</v>
      </c>
      <c r="S45" s="36"/>
      <c r="T45" s="36">
        <v>450413.85632158187</v>
      </c>
    </row>
    <row r="46" spans="1:20">
      <c r="A46" s="82" t="s">
        <v>46</v>
      </c>
      <c r="B46" s="36"/>
      <c r="C46" s="36"/>
      <c r="D46" s="36"/>
      <c r="E46" s="36"/>
      <c r="F46" s="36"/>
      <c r="G46" s="36"/>
      <c r="H46" s="36"/>
      <c r="I46" s="36"/>
      <c r="J46" s="36"/>
      <c r="K46" s="36">
        <v>26110.842888931758</v>
      </c>
      <c r="L46" s="36">
        <v>1632.6862068965518</v>
      </c>
      <c r="M46" s="36"/>
      <c r="N46" s="36"/>
      <c r="O46" s="36">
        <v>16135</v>
      </c>
      <c r="P46" s="36"/>
      <c r="Q46" s="36">
        <v>10244.32612854215</v>
      </c>
      <c r="R46" s="36"/>
      <c r="S46" s="36"/>
      <c r="T46" s="36">
        <v>54122.855224370462</v>
      </c>
    </row>
    <row r="47" spans="1:20">
      <c r="A47" s="82" t="s">
        <v>305</v>
      </c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>
        <v>1801</v>
      </c>
      <c r="P47" s="36"/>
      <c r="Q47" s="36"/>
      <c r="R47" s="36"/>
      <c r="S47" s="36"/>
      <c r="T47" s="36">
        <v>1801</v>
      </c>
    </row>
    <row r="48" spans="1:20">
      <c r="A48" s="82" t="s">
        <v>47</v>
      </c>
      <c r="B48" s="36"/>
      <c r="C48" s="36"/>
      <c r="D48" s="36"/>
      <c r="E48" s="36"/>
      <c r="F48" s="36">
        <v>36.551724137931032</v>
      </c>
      <c r="G48" s="36">
        <v>7000</v>
      </c>
      <c r="H48" s="36"/>
      <c r="I48" s="36"/>
      <c r="J48" s="36"/>
      <c r="K48" s="36">
        <v>41093.159862840614</v>
      </c>
      <c r="L48" s="36">
        <v>24204.186235084093</v>
      </c>
      <c r="M48" s="36"/>
      <c r="N48" s="36"/>
      <c r="O48" s="36">
        <v>62658</v>
      </c>
      <c r="P48" s="36"/>
      <c r="Q48" s="36">
        <v>40179.590594323112</v>
      </c>
      <c r="R48" s="36">
        <v>38254.965517241377</v>
      </c>
      <c r="S48" s="36"/>
      <c r="T48" s="36">
        <v>213426.45393362717</v>
      </c>
    </row>
    <row r="49" spans="1:20">
      <c r="A49" s="82" t="s">
        <v>285</v>
      </c>
      <c r="B49" s="36"/>
      <c r="C49" s="36"/>
      <c r="D49" s="36"/>
      <c r="E49" s="36"/>
      <c r="F49" s="36">
        <v>585.51724137931035</v>
      </c>
      <c r="G49" s="36">
        <v>7586.2068965517237</v>
      </c>
      <c r="H49" s="36"/>
      <c r="I49" s="36"/>
      <c r="J49" s="36"/>
      <c r="K49" s="36">
        <v>77107.027678418133</v>
      </c>
      <c r="L49" s="36">
        <v>115201.70137931033</v>
      </c>
      <c r="M49" s="36"/>
      <c r="N49" s="36"/>
      <c r="O49" s="36">
        <v>76374</v>
      </c>
      <c r="P49" s="36"/>
      <c r="Q49" s="36">
        <v>68932.246041286708</v>
      </c>
      <c r="R49" s="36">
        <v>13113.793103448275</v>
      </c>
      <c r="S49" s="36"/>
      <c r="T49" s="36">
        <v>358900.49234039447</v>
      </c>
    </row>
    <row r="50" spans="1:20">
      <c r="A50" s="82" t="s">
        <v>49</v>
      </c>
      <c r="B50" s="36"/>
      <c r="C50" s="36"/>
      <c r="D50" s="36"/>
      <c r="E50" s="36"/>
      <c r="F50" s="36"/>
      <c r="G50" s="36"/>
      <c r="H50" s="36"/>
      <c r="I50" s="36"/>
      <c r="J50" s="36"/>
      <c r="K50" s="36">
        <v>17177.129389823967</v>
      </c>
      <c r="L50" s="36">
        <v>27784.784305177112</v>
      </c>
      <c r="M50" s="36"/>
      <c r="N50" s="36"/>
      <c r="O50" s="36">
        <v>25928</v>
      </c>
      <c r="P50" s="36"/>
      <c r="Q50" s="36">
        <v>21244.381233780037</v>
      </c>
      <c r="R50" s="36"/>
      <c r="S50" s="36"/>
      <c r="T50" s="36">
        <v>92134.294928781106</v>
      </c>
    </row>
    <row r="51" spans="1:20">
      <c r="A51" s="82" t="s">
        <v>50</v>
      </c>
      <c r="B51" s="36"/>
      <c r="C51" s="36"/>
      <c r="D51" s="36"/>
      <c r="E51" s="36"/>
      <c r="F51" s="36">
        <v>237.93103448275863</v>
      </c>
      <c r="G51" s="36"/>
      <c r="H51" s="36"/>
      <c r="I51" s="36"/>
      <c r="J51" s="36">
        <v>395.86206896551727</v>
      </c>
      <c r="K51" s="36">
        <v>286983.67379194597</v>
      </c>
      <c r="L51" s="36">
        <v>72874.34517241377</v>
      </c>
      <c r="M51" s="36"/>
      <c r="N51" s="36"/>
      <c r="O51" s="36">
        <v>265250</v>
      </c>
      <c r="P51" s="36"/>
      <c r="Q51" s="36"/>
      <c r="R51" s="36">
        <v>16984.137931034482</v>
      </c>
      <c r="S51" s="36"/>
      <c r="T51" s="36">
        <v>642725.94999884244</v>
      </c>
    </row>
    <row r="52" spans="1:20">
      <c r="A52" s="82" t="s">
        <v>51</v>
      </c>
      <c r="B52" s="36"/>
      <c r="C52" s="36"/>
      <c r="D52" s="36"/>
      <c r="E52" s="36">
        <v>1724.1379310344828</v>
      </c>
      <c r="F52" s="36">
        <v>255.86206896551724</v>
      </c>
      <c r="G52" s="36"/>
      <c r="H52" s="36"/>
      <c r="I52" s="36"/>
      <c r="J52" s="36"/>
      <c r="K52" s="36">
        <v>19083.622332384854</v>
      </c>
      <c r="L52" s="36">
        <v>1732.55</v>
      </c>
      <c r="M52" s="36">
        <v>16879.310344827587</v>
      </c>
      <c r="N52" s="36"/>
      <c r="O52" s="36">
        <v>24688</v>
      </c>
      <c r="P52" s="36"/>
      <c r="Q52" s="36">
        <v>755.72897669573251</v>
      </c>
      <c r="R52" s="36"/>
      <c r="S52" s="36"/>
      <c r="T52" s="36">
        <v>65119.211653908169</v>
      </c>
    </row>
    <row r="53" spans="1:20">
      <c r="A53" s="82" t="s">
        <v>42</v>
      </c>
      <c r="B53" s="36"/>
      <c r="C53" s="36"/>
      <c r="D53" s="36"/>
      <c r="E53" s="36"/>
      <c r="F53" s="36">
        <v>1858.1775681656302</v>
      </c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>
        <v>1858.1775681656302</v>
      </c>
    </row>
    <row r="54" spans="1:20">
      <c r="A54" s="82" t="s">
        <v>73</v>
      </c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>
        <v>2535.8620689655172</v>
      </c>
      <c r="M54" s="36"/>
      <c r="N54" s="36"/>
      <c r="O54" s="36">
        <v>5421</v>
      </c>
      <c r="P54" s="36"/>
      <c r="Q54" s="36">
        <v>2435.1267026862492</v>
      </c>
      <c r="R54" s="36"/>
      <c r="S54" s="36"/>
      <c r="T54" s="36">
        <v>10391.988771651766</v>
      </c>
    </row>
    <row r="55" spans="1:20">
      <c r="A55" s="4" t="s">
        <v>52</v>
      </c>
      <c r="B55" s="36"/>
      <c r="C55" s="36"/>
      <c r="D55" s="36"/>
      <c r="E55" s="36">
        <v>4036.2068965517242</v>
      </c>
      <c r="F55" s="36">
        <v>2037.1970469165869</v>
      </c>
      <c r="G55" s="36">
        <v>3411.0344827586205</v>
      </c>
      <c r="H55" s="36"/>
      <c r="I55" s="36">
        <v>2827.5862068965516</v>
      </c>
      <c r="J55" s="36">
        <v>10500</v>
      </c>
      <c r="K55" s="36">
        <v>548307.72010692069</v>
      </c>
      <c r="L55" s="36">
        <v>214335.96999999994</v>
      </c>
      <c r="M55" s="36">
        <v>20485.2</v>
      </c>
      <c r="N55" s="36"/>
      <c r="O55" s="36">
        <v>366703</v>
      </c>
      <c r="P55" s="36">
        <v>627802.34</v>
      </c>
      <c r="Q55" s="36">
        <v>1057.2413793103449</v>
      </c>
      <c r="R55" s="36">
        <v>92746.827586206884</v>
      </c>
      <c r="S55" s="36"/>
      <c r="T55" s="36">
        <v>1894250.3237055612</v>
      </c>
    </row>
    <row r="56" spans="1:20">
      <c r="A56" s="82" t="s">
        <v>62</v>
      </c>
      <c r="B56" s="36"/>
      <c r="C56" s="36"/>
      <c r="D56" s="36"/>
      <c r="E56" s="36">
        <v>4036.2068965517242</v>
      </c>
      <c r="F56" s="36">
        <v>2037.1970469165869</v>
      </c>
      <c r="G56" s="36">
        <v>3411.0344827586205</v>
      </c>
      <c r="H56" s="36"/>
      <c r="I56" s="36">
        <v>2827.5862068965516</v>
      </c>
      <c r="J56" s="36">
        <v>10500</v>
      </c>
      <c r="K56" s="36">
        <v>548307.72010692069</v>
      </c>
      <c r="L56" s="36">
        <v>214335.96999999994</v>
      </c>
      <c r="M56" s="36">
        <v>20485.2</v>
      </c>
      <c r="N56" s="36"/>
      <c r="O56" s="36">
        <v>366703</v>
      </c>
      <c r="P56" s="36">
        <v>627802.34</v>
      </c>
      <c r="Q56" s="36">
        <v>1057.2413793103449</v>
      </c>
      <c r="R56" s="36">
        <v>92746.827586206884</v>
      </c>
      <c r="S56" s="36"/>
      <c r="T56" s="36">
        <v>1894250.3237055612</v>
      </c>
    </row>
    <row r="57" spans="1:20">
      <c r="A57" s="4" t="s">
        <v>246</v>
      </c>
      <c r="B57" s="36">
        <v>20907.241468531465</v>
      </c>
      <c r="C57" s="36">
        <v>3653.1034482758619</v>
      </c>
      <c r="D57" s="36">
        <v>684000</v>
      </c>
      <c r="E57" s="36">
        <v>71725.007285089843</v>
      </c>
      <c r="F57" s="36">
        <v>17116.72413793104</v>
      </c>
      <c r="G57" s="36">
        <v>26075.862068965514</v>
      </c>
      <c r="H57" s="36">
        <v>18513.793103448275</v>
      </c>
      <c r="I57" s="36">
        <v>15570.243549553896</v>
      </c>
      <c r="J57" s="36">
        <v>30227.586206896554</v>
      </c>
      <c r="K57" s="36">
        <v>2023038.2512026525</v>
      </c>
      <c r="L57" s="36">
        <v>994801.06200131564</v>
      </c>
      <c r="M57" s="36">
        <v>84884.510344827591</v>
      </c>
      <c r="N57" s="36">
        <v>25000</v>
      </c>
      <c r="O57" s="36">
        <v>2109135.7336909669</v>
      </c>
      <c r="P57" s="36">
        <v>788302.34</v>
      </c>
      <c r="Q57" s="36">
        <v>591181.37931034493</v>
      </c>
      <c r="R57" s="36">
        <v>387015.10758620687</v>
      </c>
      <c r="S57" s="36">
        <v>6548.4482758620697</v>
      </c>
      <c r="T57" s="36">
        <v>7897696.3936808677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722"/>
  <sheetViews>
    <sheetView topLeftCell="G1" workbookViewId="0">
      <selection activeCell="I1" sqref="I1:I1048576"/>
    </sheetView>
  </sheetViews>
  <sheetFormatPr defaultColWidth="9" defaultRowHeight="14.5"/>
  <cols>
    <col min="1" max="1" width="7.6328125" style="60" bestFit="1" customWidth="1"/>
    <col min="2" max="2" width="9.36328125" style="60" bestFit="1" customWidth="1"/>
    <col min="3" max="3" width="13.6328125" style="60" bestFit="1" customWidth="1"/>
    <col min="4" max="4" width="11.26953125" style="60" bestFit="1" customWidth="1"/>
    <col min="5" max="5" width="29" style="60" bestFit="1" customWidth="1"/>
    <col min="6" max="6" width="12.453125" style="60" bestFit="1" customWidth="1"/>
    <col min="7" max="7" width="60" style="60" bestFit="1" customWidth="1"/>
    <col min="8" max="8" width="51.81640625" style="60" bestFit="1" customWidth="1"/>
    <col min="9" max="9" width="21.6328125" style="78" bestFit="1" customWidth="1"/>
    <col min="10" max="10" width="32.6328125" style="60" bestFit="1" customWidth="1"/>
    <col min="11" max="11" width="13.90625" style="79" bestFit="1" customWidth="1"/>
    <col min="12" max="12" width="12.81640625" style="60" bestFit="1" customWidth="1"/>
    <col min="13" max="13" width="8.81640625" style="60" bestFit="1" customWidth="1"/>
    <col min="14" max="14" width="6.81640625" style="60" bestFit="1" customWidth="1"/>
    <col min="15" max="16384" width="9" style="60"/>
  </cols>
  <sheetData>
    <row r="1" spans="1:14">
      <c r="A1" s="110" t="s">
        <v>0</v>
      </c>
      <c r="B1" s="110" t="s">
        <v>1</v>
      </c>
      <c r="C1" s="110" t="s">
        <v>2</v>
      </c>
      <c r="D1" s="110" t="s">
        <v>3</v>
      </c>
      <c r="E1" s="110" t="s">
        <v>4</v>
      </c>
      <c r="F1" s="110" t="s">
        <v>5</v>
      </c>
      <c r="G1" s="110" t="s">
        <v>6</v>
      </c>
      <c r="H1" s="110" t="s">
        <v>7</v>
      </c>
      <c r="I1" s="111" t="s">
        <v>8</v>
      </c>
      <c r="J1" s="110" t="s">
        <v>9</v>
      </c>
      <c r="K1" s="112" t="s">
        <v>10</v>
      </c>
      <c r="L1" s="110" t="s">
        <v>11</v>
      </c>
      <c r="M1" s="110" t="s">
        <v>12</v>
      </c>
      <c r="N1" s="110" t="s">
        <v>13</v>
      </c>
    </row>
    <row r="2" spans="1:14">
      <c r="A2" s="33">
        <v>1</v>
      </c>
      <c r="B2" s="80" t="s">
        <v>58</v>
      </c>
      <c r="C2" s="33" t="s">
        <v>59</v>
      </c>
      <c r="D2" s="33" t="s">
        <v>60</v>
      </c>
      <c r="E2" s="33" t="s">
        <v>84</v>
      </c>
      <c r="F2" s="33"/>
      <c r="G2" s="33" t="s">
        <v>21</v>
      </c>
      <c r="H2" s="33" t="s">
        <v>311</v>
      </c>
      <c r="I2" s="67">
        <v>2097.9020979020979</v>
      </c>
      <c r="J2" s="33" t="s">
        <v>14</v>
      </c>
      <c r="K2" s="65" t="s">
        <v>14</v>
      </c>
      <c r="L2" s="68" t="s">
        <v>14</v>
      </c>
      <c r="M2" s="62" t="s">
        <v>222</v>
      </c>
      <c r="N2" s="33">
        <v>2025</v>
      </c>
    </row>
    <row r="3" spans="1:14">
      <c r="A3" s="33">
        <v>2</v>
      </c>
      <c r="B3" s="80" t="s">
        <v>58</v>
      </c>
      <c r="C3" s="33" t="s">
        <v>59</v>
      </c>
      <c r="D3" s="33" t="s">
        <v>60</v>
      </c>
      <c r="E3" s="33" t="s">
        <v>84</v>
      </c>
      <c r="F3" s="33"/>
      <c r="G3" s="33" t="s">
        <v>21</v>
      </c>
      <c r="H3" s="66" t="s">
        <v>312</v>
      </c>
      <c r="I3" s="67">
        <v>3496.5034965034965</v>
      </c>
      <c r="J3" s="33" t="s">
        <v>14</v>
      </c>
      <c r="K3" s="65" t="s">
        <v>14</v>
      </c>
      <c r="L3" s="68" t="s">
        <v>14</v>
      </c>
      <c r="M3" s="62" t="s">
        <v>222</v>
      </c>
      <c r="N3" s="33">
        <v>2025</v>
      </c>
    </row>
    <row r="4" spans="1:14">
      <c r="A4" s="33">
        <v>3</v>
      </c>
      <c r="B4" s="80" t="s">
        <v>58</v>
      </c>
      <c r="C4" s="33" t="s">
        <v>59</v>
      </c>
      <c r="D4" s="33" t="s">
        <v>60</v>
      </c>
      <c r="E4" s="33" t="s">
        <v>84</v>
      </c>
      <c r="F4" s="33"/>
      <c r="G4" s="33" t="s">
        <v>21</v>
      </c>
      <c r="H4" s="33" t="s">
        <v>313</v>
      </c>
      <c r="I4" s="67">
        <v>2000</v>
      </c>
      <c r="J4" s="33" t="s">
        <v>14</v>
      </c>
      <c r="K4" s="65" t="s">
        <v>14</v>
      </c>
      <c r="L4" s="68" t="s">
        <v>14</v>
      </c>
      <c r="M4" s="62" t="s">
        <v>222</v>
      </c>
      <c r="N4" s="33">
        <v>2025</v>
      </c>
    </row>
    <row r="5" spans="1:14">
      <c r="A5" s="33">
        <v>4</v>
      </c>
      <c r="B5" s="80" t="s">
        <v>58</v>
      </c>
      <c r="C5" s="33" t="s">
        <v>59</v>
      </c>
      <c r="D5" s="33" t="s">
        <v>60</v>
      </c>
      <c r="E5" s="33" t="s">
        <v>84</v>
      </c>
      <c r="F5" s="33"/>
      <c r="G5" s="33" t="s">
        <v>21</v>
      </c>
      <c r="H5" s="66" t="s">
        <v>314</v>
      </c>
      <c r="I5" s="67">
        <v>874.12587412587413</v>
      </c>
      <c r="J5" s="33" t="s">
        <v>14</v>
      </c>
      <c r="K5" s="65" t="s">
        <v>14</v>
      </c>
      <c r="L5" s="68" t="s">
        <v>14</v>
      </c>
      <c r="M5" s="62" t="s">
        <v>222</v>
      </c>
      <c r="N5" s="33">
        <v>2025</v>
      </c>
    </row>
    <row r="6" spans="1:14">
      <c r="A6" s="33">
        <v>5</v>
      </c>
      <c r="B6" s="80" t="s">
        <v>58</v>
      </c>
      <c r="C6" s="65" t="s">
        <v>59</v>
      </c>
      <c r="D6" s="33" t="s">
        <v>60</v>
      </c>
      <c r="E6" s="33" t="s">
        <v>84</v>
      </c>
      <c r="F6" s="33"/>
      <c r="G6" s="33" t="s">
        <v>21</v>
      </c>
      <c r="H6" s="66" t="s">
        <v>315</v>
      </c>
      <c r="I6" s="67">
        <v>4500</v>
      </c>
      <c r="J6" s="33" t="s">
        <v>14</v>
      </c>
      <c r="K6" s="65" t="s">
        <v>14</v>
      </c>
      <c r="L6" s="68" t="s">
        <v>14</v>
      </c>
      <c r="M6" s="62" t="s">
        <v>222</v>
      </c>
      <c r="N6" s="33">
        <v>2025</v>
      </c>
    </row>
    <row r="7" spans="1:14">
      <c r="A7" s="33">
        <v>6</v>
      </c>
      <c r="B7" s="80" t="s">
        <v>58</v>
      </c>
      <c r="C7" s="33" t="s">
        <v>59</v>
      </c>
      <c r="D7" s="33" t="s">
        <v>60</v>
      </c>
      <c r="E7" s="33" t="s">
        <v>84</v>
      </c>
      <c r="F7" s="33"/>
      <c r="G7" s="62" t="s">
        <v>21</v>
      </c>
      <c r="H7" s="62" t="s">
        <v>316</v>
      </c>
      <c r="I7" s="70">
        <v>6000</v>
      </c>
      <c r="J7" s="33" t="s">
        <v>14</v>
      </c>
      <c r="K7" s="65" t="s">
        <v>14</v>
      </c>
      <c r="L7" s="33" t="s">
        <v>14</v>
      </c>
      <c r="M7" s="62" t="s">
        <v>222</v>
      </c>
      <c r="N7" s="33">
        <v>2025</v>
      </c>
    </row>
    <row r="8" spans="1:14">
      <c r="A8" s="33">
        <v>7</v>
      </c>
      <c r="B8" s="80" t="s">
        <v>58</v>
      </c>
      <c r="C8" s="33" t="s">
        <v>59</v>
      </c>
      <c r="D8" s="33" t="s">
        <v>60</v>
      </c>
      <c r="E8" s="33" t="s">
        <v>84</v>
      </c>
      <c r="F8" s="33"/>
      <c r="G8" s="62" t="s">
        <v>85</v>
      </c>
      <c r="H8" s="62" t="s">
        <v>317</v>
      </c>
      <c r="I8" s="70">
        <v>1938.71</v>
      </c>
      <c r="J8" s="33" t="s">
        <v>318</v>
      </c>
      <c r="K8" s="65">
        <v>46022</v>
      </c>
      <c r="L8" s="33" t="s">
        <v>14</v>
      </c>
      <c r="M8" s="62" t="s">
        <v>222</v>
      </c>
      <c r="N8" s="33">
        <v>2025</v>
      </c>
    </row>
    <row r="9" spans="1:14">
      <c r="A9" s="33">
        <v>8</v>
      </c>
      <c r="B9" s="33" t="s">
        <v>58</v>
      </c>
      <c r="C9" s="33" t="s">
        <v>59</v>
      </c>
      <c r="D9" s="33" t="s">
        <v>19</v>
      </c>
      <c r="E9" s="33" t="s">
        <v>129</v>
      </c>
      <c r="F9" s="33"/>
      <c r="G9" s="33" t="s">
        <v>229</v>
      </c>
      <c r="H9" s="33" t="s">
        <v>129</v>
      </c>
      <c r="I9" s="70">
        <v>3653.1034482758619</v>
      </c>
      <c r="J9" s="33" t="s">
        <v>14</v>
      </c>
      <c r="K9" s="65" t="s">
        <v>14</v>
      </c>
      <c r="L9" s="33" t="s">
        <v>14</v>
      </c>
      <c r="M9" s="33" t="s">
        <v>222</v>
      </c>
      <c r="N9" s="33">
        <v>2025</v>
      </c>
    </row>
    <row r="10" spans="1:14">
      <c r="A10" s="33">
        <v>9</v>
      </c>
      <c r="B10" s="33" t="s">
        <v>58</v>
      </c>
      <c r="C10" s="33" t="s">
        <v>59</v>
      </c>
      <c r="D10" s="33" t="s">
        <v>60</v>
      </c>
      <c r="E10" s="33" t="s">
        <v>228</v>
      </c>
      <c r="F10" s="33"/>
      <c r="G10" s="33" t="s">
        <v>21</v>
      </c>
      <c r="H10" s="33" t="s">
        <v>228</v>
      </c>
      <c r="I10" s="70">
        <v>684000</v>
      </c>
      <c r="J10" s="33" t="s">
        <v>14</v>
      </c>
      <c r="K10" s="65" t="s">
        <v>14</v>
      </c>
      <c r="L10" s="33" t="s">
        <v>14</v>
      </c>
      <c r="M10" s="64" t="s">
        <v>222</v>
      </c>
      <c r="N10" s="33">
        <v>2025</v>
      </c>
    </row>
    <row r="11" spans="1:14">
      <c r="A11" s="33">
        <v>10</v>
      </c>
      <c r="B11" s="33" t="s">
        <v>33</v>
      </c>
      <c r="C11" s="65" t="s">
        <v>34</v>
      </c>
      <c r="D11" s="33" t="s">
        <v>60</v>
      </c>
      <c r="E11" s="33" t="s">
        <v>63</v>
      </c>
      <c r="F11" s="33"/>
      <c r="G11" s="33" t="s">
        <v>64</v>
      </c>
      <c r="H11" s="66" t="s">
        <v>65</v>
      </c>
      <c r="I11" s="67">
        <v>1034.4827586206898</v>
      </c>
      <c r="J11" s="65" t="s">
        <v>68</v>
      </c>
      <c r="K11" s="65">
        <v>45669</v>
      </c>
      <c r="L11" s="94" t="s">
        <v>14</v>
      </c>
      <c r="M11" s="94" t="s">
        <v>222</v>
      </c>
      <c r="N11" s="33">
        <v>2025</v>
      </c>
    </row>
    <row r="12" spans="1:14">
      <c r="A12" s="33">
        <v>11</v>
      </c>
      <c r="B12" s="33" t="s">
        <v>33</v>
      </c>
      <c r="C12" s="65" t="s">
        <v>34</v>
      </c>
      <c r="D12" s="33" t="s">
        <v>60</v>
      </c>
      <c r="E12" s="33" t="s">
        <v>63</v>
      </c>
      <c r="F12" s="33"/>
      <c r="G12" s="33" t="s">
        <v>64</v>
      </c>
      <c r="H12" s="66" t="s">
        <v>67</v>
      </c>
      <c r="I12" s="67">
        <v>517.24137931034488</v>
      </c>
      <c r="J12" s="33" t="s">
        <v>68</v>
      </c>
      <c r="K12" s="65">
        <v>45942</v>
      </c>
      <c r="L12" s="94" t="s">
        <v>14</v>
      </c>
      <c r="M12" s="94" t="s">
        <v>222</v>
      </c>
      <c r="N12" s="33">
        <v>2025</v>
      </c>
    </row>
    <row r="13" spans="1:14">
      <c r="A13" s="33">
        <v>12</v>
      </c>
      <c r="B13" s="33" t="s">
        <v>33</v>
      </c>
      <c r="C13" s="65" t="s">
        <v>34</v>
      </c>
      <c r="D13" s="33" t="s">
        <v>60</v>
      </c>
      <c r="E13" s="33" t="s">
        <v>63</v>
      </c>
      <c r="F13" s="33"/>
      <c r="G13" s="33" t="s">
        <v>64</v>
      </c>
      <c r="H13" s="66" t="s">
        <v>698</v>
      </c>
      <c r="I13" s="67">
        <v>2351.0344827586205</v>
      </c>
      <c r="J13" s="65" t="s">
        <v>68</v>
      </c>
      <c r="K13" s="65" t="s">
        <v>673</v>
      </c>
      <c r="L13" s="94" t="s">
        <v>14</v>
      </c>
      <c r="M13" s="94" t="s">
        <v>222</v>
      </c>
      <c r="N13" s="33">
        <v>2025</v>
      </c>
    </row>
    <row r="14" spans="1:14">
      <c r="A14" s="33">
        <v>13</v>
      </c>
      <c r="B14" s="33" t="s">
        <v>33</v>
      </c>
      <c r="C14" s="65" t="s">
        <v>34</v>
      </c>
      <c r="D14" s="33" t="s">
        <v>60</v>
      </c>
      <c r="E14" s="33" t="s">
        <v>63</v>
      </c>
      <c r="F14" s="33"/>
      <c r="G14" s="33" t="s">
        <v>64</v>
      </c>
      <c r="H14" s="66" t="s">
        <v>65</v>
      </c>
      <c r="I14" s="67">
        <v>396.55172413793105</v>
      </c>
      <c r="J14" s="33" t="s">
        <v>68</v>
      </c>
      <c r="K14" s="65">
        <v>45669</v>
      </c>
      <c r="L14" s="94" t="s">
        <v>14</v>
      </c>
      <c r="M14" s="94" t="s">
        <v>222</v>
      </c>
      <c r="N14" s="33">
        <v>2025</v>
      </c>
    </row>
    <row r="15" spans="1:14">
      <c r="A15" s="33">
        <v>14</v>
      </c>
      <c r="B15" s="33" t="s">
        <v>52</v>
      </c>
      <c r="C15" s="127" t="s">
        <v>62</v>
      </c>
      <c r="D15" s="33" t="s">
        <v>60</v>
      </c>
      <c r="E15" s="33" t="s">
        <v>63</v>
      </c>
      <c r="F15" s="33"/>
      <c r="G15" s="33" t="s">
        <v>64</v>
      </c>
      <c r="H15" s="66" t="s">
        <v>699</v>
      </c>
      <c r="I15" s="67">
        <v>344.82758620689657</v>
      </c>
      <c r="J15" s="33" t="s">
        <v>68</v>
      </c>
      <c r="K15" s="65">
        <v>45700</v>
      </c>
      <c r="L15" s="94" t="s">
        <v>14</v>
      </c>
      <c r="M15" s="94" t="s">
        <v>222</v>
      </c>
      <c r="N15" s="33">
        <v>2025</v>
      </c>
    </row>
    <row r="16" spans="1:14">
      <c r="A16" s="33">
        <v>15</v>
      </c>
      <c r="B16" s="33" t="s">
        <v>52</v>
      </c>
      <c r="C16" s="127" t="s">
        <v>62</v>
      </c>
      <c r="D16" s="33" t="s">
        <v>60</v>
      </c>
      <c r="E16" s="33" t="s">
        <v>63</v>
      </c>
      <c r="F16" s="33"/>
      <c r="G16" s="33" t="s">
        <v>64</v>
      </c>
      <c r="H16" s="66" t="s">
        <v>69</v>
      </c>
      <c r="I16" s="67">
        <v>344.82758620689657</v>
      </c>
      <c r="J16" s="33" t="s">
        <v>68</v>
      </c>
      <c r="K16" s="65">
        <v>45942</v>
      </c>
      <c r="L16" s="94" t="s">
        <v>14</v>
      </c>
      <c r="M16" s="94" t="s">
        <v>222</v>
      </c>
      <c r="N16" s="33">
        <v>2025</v>
      </c>
    </row>
    <row r="17" spans="1:14">
      <c r="A17" s="33">
        <v>16</v>
      </c>
      <c r="B17" s="33" t="s">
        <v>52</v>
      </c>
      <c r="C17" s="127" t="s">
        <v>62</v>
      </c>
      <c r="D17" s="33" t="s">
        <v>60</v>
      </c>
      <c r="E17" s="33" t="s">
        <v>63</v>
      </c>
      <c r="F17" s="33"/>
      <c r="G17" s="33" t="s">
        <v>64</v>
      </c>
      <c r="H17" s="66" t="s">
        <v>65</v>
      </c>
      <c r="I17" s="67">
        <v>1484.4827586206898</v>
      </c>
      <c r="J17" s="33" t="s">
        <v>68</v>
      </c>
      <c r="K17" s="65" t="s">
        <v>674</v>
      </c>
      <c r="L17" s="94" t="s">
        <v>14</v>
      </c>
      <c r="M17" s="94" t="s">
        <v>222</v>
      </c>
      <c r="N17" s="33">
        <v>2025</v>
      </c>
    </row>
    <row r="18" spans="1:14">
      <c r="A18" s="33">
        <v>17</v>
      </c>
      <c r="B18" s="33" t="s">
        <v>52</v>
      </c>
      <c r="C18" s="127" t="s">
        <v>62</v>
      </c>
      <c r="D18" s="33" t="s">
        <v>60</v>
      </c>
      <c r="E18" s="33" t="s">
        <v>63</v>
      </c>
      <c r="F18" s="33"/>
      <c r="G18" s="33" t="s">
        <v>64</v>
      </c>
      <c r="H18" s="66" t="s">
        <v>65</v>
      </c>
      <c r="I18" s="67">
        <v>1862.0689655172414</v>
      </c>
      <c r="J18" s="33" t="s">
        <v>68</v>
      </c>
      <c r="K18" s="65" t="s">
        <v>675</v>
      </c>
      <c r="L18" s="94" t="s">
        <v>14</v>
      </c>
      <c r="M18" s="94" t="s">
        <v>222</v>
      </c>
      <c r="N18" s="33">
        <v>2025</v>
      </c>
    </row>
    <row r="19" spans="1:14">
      <c r="A19" s="33">
        <v>18</v>
      </c>
      <c r="B19" s="33" t="s">
        <v>58</v>
      </c>
      <c r="C19" s="65" t="s">
        <v>59</v>
      </c>
      <c r="D19" s="33" t="s">
        <v>60</v>
      </c>
      <c r="E19" s="33" t="s">
        <v>63</v>
      </c>
      <c r="F19" s="33"/>
      <c r="G19" s="33" t="s">
        <v>64</v>
      </c>
      <c r="H19" s="66" t="s">
        <v>65</v>
      </c>
      <c r="I19" s="67">
        <v>7715.1724137931033</v>
      </c>
      <c r="J19" s="33" t="s">
        <v>68</v>
      </c>
      <c r="K19" s="65" t="s">
        <v>676</v>
      </c>
      <c r="L19" s="94" t="s">
        <v>14</v>
      </c>
      <c r="M19" s="94" t="s">
        <v>222</v>
      </c>
      <c r="N19" s="33">
        <v>2025</v>
      </c>
    </row>
    <row r="20" spans="1:14">
      <c r="A20" s="33">
        <v>19</v>
      </c>
      <c r="B20" s="33" t="s">
        <v>58</v>
      </c>
      <c r="C20" s="65" t="s">
        <v>59</v>
      </c>
      <c r="D20" s="33" t="s">
        <v>60</v>
      </c>
      <c r="E20" s="33" t="s">
        <v>63</v>
      </c>
      <c r="F20" s="33"/>
      <c r="G20" s="33" t="s">
        <v>64</v>
      </c>
      <c r="H20" s="66" t="s">
        <v>700</v>
      </c>
      <c r="I20" s="67">
        <v>210.34482758620689</v>
      </c>
      <c r="J20" s="66" t="s">
        <v>68</v>
      </c>
      <c r="K20" s="65">
        <v>45669</v>
      </c>
      <c r="L20" s="94" t="s">
        <v>14</v>
      </c>
      <c r="M20" s="94" t="s">
        <v>222</v>
      </c>
      <c r="N20" s="33">
        <v>2025</v>
      </c>
    </row>
    <row r="21" spans="1:14">
      <c r="A21" s="33">
        <v>20</v>
      </c>
      <c r="B21" s="33" t="s">
        <v>58</v>
      </c>
      <c r="C21" s="65" t="s">
        <v>59</v>
      </c>
      <c r="D21" s="33" t="s">
        <v>60</v>
      </c>
      <c r="E21" s="33" t="s">
        <v>63</v>
      </c>
      <c r="F21" s="33"/>
      <c r="G21" s="33" t="s">
        <v>64</v>
      </c>
      <c r="H21" s="66" t="s">
        <v>257</v>
      </c>
      <c r="I21" s="67">
        <v>7273.1034482758623</v>
      </c>
      <c r="J21" s="33" t="s">
        <v>68</v>
      </c>
      <c r="K21" s="65" t="s">
        <v>676</v>
      </c>
      <c r="L21" s="94" t="s">
        <v>14</v>
      </c>
      <c r="M21" s="94" t="s">
        <v>222</v>
      </c>
      <c r="N21" s="33">
        <v>2025</v>
      </c>
    </row>
    <row r="22" spans="1:14">
      <c r="A22" s="33">
        <v>21</v>
      </c>
      <c r="B22" s="33" t="s">
        <v>58</v>
      </c>
      <c r="C22" s="65" t="s">
        <v>59</v>
      </c>
      <c r="D22" s="33" t="s">
        <v>60</v>
      </c>
      <c r="E22" s="33" t="s">
        <v>63</v>
      </c>
      <c r="F22" s="33"/>
      <c r="G22" s="33" t="s">
        <v>64</v>
      </c>
      <c r="H22" s="66" t="s">
        <v>701</v>
      </c>
      <c r="I22" s="67">
        <v>965.51724137931035</v>
      </c>
      <c r="J22" s="33" t="s">
        <v>68</v>
      </c>
      <c r="K22" s="65">
        <v>45820</v>
      </c>
      <c r="L22" s="94" t="s">
        <v>14</v>
      </c>
      <c r="M22" s="94" t="s">
        <v>222</v>
      </c>
      <c r="N22" s="33">
        <v>2025</v>
      </c>
    </row>
    <row r="23" spans="1:14">
      <c r="A23" s="33">
        <v>22</v>
      </c>
      <c r="B23" s="33" t="s">
        <v>58</v>
      </c>
      <c r="C23" s="65" t="s">
        <v>59</v>
      </c>
      <c r="D23" s="33" t="s">
        <v>60</v>
      </c>
      <c r="E23" s="33" t="s">
        <v>63</v>
      </c>
      <c r="F23" s="33"/>
      <c r="G23" s="33" t="s">
        <v>64</v>
      </c>
      <c r="H23" s="66" t="s">
        <v>702</v>
      </c>
      <c r="I23" s="67">
        <v>1379.3103448275863</v>
      </c>
      <c r="J23" s="33" t="s">
        <v>68</v>
      </c>
      <c r="K23" s="65" t="s">
        <v>677</v>
      </c>
      <c r="L23" s="94" t="s">
        <v>14</v>
      </c>
      <c r="M23" s="94" t="s">
        <v>222</v>
      </c>
      <c r="N23" s="33">
        <v>2025</v>
      </c>
    </row>
    <row r="24" spans="1:14">
      <c r="A24" s="33">
        <v>23</v>
      </c>
      <c r="B24" s="33" t="s">
        <v>17</v>
      </c>
      <c r="C24" s="33" t="s">
        <v>22</v>
      </c>
      <c r="D24" s="33" t="s">
        <v>60</v>
      </c>
      <c r="E24" s="33" t="s">
        <v>63</v>
      </c>
      <c r="F24" s="33"/>
      <c r="G24" s="33" t="s">
        <v>64</v>
      </c>
      <c r="H24" s="66" t="s">
        <v>66</v>
      </c>
      <c r="I24" s="67">
        <v>896.55172413793105</v>
      </c>
      <c r="J24" s="33" t="s">
        <v>68</v>
      </c>
      <c r="K24" s="65">
        <v>45942</v>
      </c>
      <c r="L24" s="94" t="s">
        <v>14</v>
      </c>
      <c r="M24" s="94" t="s">
        <v>222</v>
      </c>
      <c r="N24" s="33">
        <v>2025</v>
      </c>
    </row>
    <row r="25" spans="1:14">
      <c r="A25" s="33">
        <v>24</v>
      </c>
      <c r="B25" s="33" t="s">
        <v>42</v>
      </c>
      <c r="C25" s="65" t="s">
        <v>51</v>
      </c>
      <c r="D25" s="33" t="s">
        <v>60</v>
      </c>
      <c r="E25" s="33" t="s">
        <v>63</v>
      </c>
      <c r="F25" s="33"/>
      <c r="G25" s="33" t="s">
        <v>64</v>
      </c>
      <c r="H25" s="66" t="s">
        <v>65</v>
      </c>
      <c r="I25" s="67">
        <v>1724.1379310344828</v>
      </c>
      <c r="J25" s="33" t="s">
        <v>68</v>
      </c>
      <c r="K25" s="65" t="s">
        <v>678</v>
      </c>
      <c r="L25" s="94" t="s">
        <v>14</v>
      </c>
      <c r="M25" s="94" t="s">
        <v>222</v>
      </c>
      <c r="N25" s="33">
        <v>2025</v>
      </c>
    </row>
    <row r="26" spans="1:14">
      <c r="A26" s="33">
        <v>25</v>
      </c>
      <c r="B26" s="94" t="s">
        <v>27</v>
      </c>
      <c r="C26" s="120" t="s">
        <v>28</v>
      </c>
      <c r="D26" s="33" t="s">
        <v>60</v>
      </c>
      <c r="E26" s="33" t="s">
        <v>63</v>
      </c>
      <c r="F26" s="33"/>
      <c r="G26" s="33" t="s">
        <v>21</v>
      </c>
      <c r="H26" s="33" t="s">
        <v>63</v>
      </c>
      <c r="I26" s="67">
        <v>5035.211267605634</v>
      </c>
      <c r="J26" s="65" t="s">
        <v>14</v>
      </c>
      <c r="K26" s="65" t="s">
        <v>14</v>
      </c>
      <c r="L26" s="68" t="s">
        <v>14</v>
      </c>
      <c r="M26" s="94" t="s">
        <v>222</v>
      </c>
      <c r="N26" s="33">
        <v>2025</v>
      </c>
    </row>
    <row r="27" spans="1:14">
      <c r="A27" s="33">
        <v>26</v>
      </c>
      <c r="B27" s="64" t="s">
        <v>58</v>
      </c>
      <c r="C27" s="65" t="s">
        <v>59</v>
      </c>
      <c r="D27" s="33" t="s">
        <v>60</v>
      </c>
      <c r="E27" s="33" t="s">
        <v>63</v>
      </c>
      <c r="F27" s="33"/>
      <c r="G27" s="33" t="s">
        <v>21</v>
      </c>
      <c r="H27" s="33" t="s">
        <v>63</v>
      </c>
      <c r="I27" s="67">
        <v>10070.422535211268</v>
      </c>
      <c r="J27" s="65" t="s">
        <v>14</v>
      </c>
      <c r="K27" s="65" t="s">
        <v>14</v>
      </c>
      <c r="L27" s="68" t="s">
        <v>14</v>
      </c>
      <c r="M27" s="94" t="s">
        <v>222</v>
      </c>
      <c r="N27" s="33">
        <v>2025</v>
      </c>
    </row>
    <row r="28" spans="1:14">
      <c r="A28" s="33">
        <v>27</v>
      </c>
      <c r="B28" s="64" t="s">
        <v>58</v>
      </c>
      <c r="C28" s="65" t="s">
        <v>59</v>
      </c>
      <c r="D28" s="33" t="s">
        <v>60</v>
      </c>
      <c r="E28" s="33" t="s">
        <v>63</v>
      </c>
      <c r="F28" s="33"/>
      <c r="G28" s="33" t="s">
        <v>21</v>
      </c>
      <c r="H28" s="33" t="s">
        <v>63</v>
      </c>
      <c r="I28" s="67">
        <v>4475.3521126760561</v>
      </c>
      <c r="J28" s="65" t="s">
        <v>14</v>
      </c>
      <c r="K28" s="65" t="s">
        <v>14</v>
      </c>
      <c r="L28" s="68" t="s">
        <v>14</v>
      </c>
      <c r="M28" s="94" t="s">
        <v>222</v>
      </c>
      <c r="N28" s="33">
        <v>2025</v>
      </c>
    </row>
    <row r="29" spans="1:14">
      <c r="A29" s="33">
        <v>28</v>
      </c>
      <c r="B29" s="64" t="s">
        <v>58</v>
      </c>
      <c r="C29" s="65" t="s">
        <v>59</v>
      </c>
      <c r="D29" s="33" t="s">
        <v>60</v>
      </c>
      <c r="E29" s="33" t="s">
        <v>63</v>
      </c>
      <c r="F29" s="33"/>
      <c r="G29" s="33" t="s">
        <v>21</v>
      </c>
      <c r="H29" s="33" t="s">
        <v>63</v>
      </c>
      <c r="I29" s="70">
        <v>5316.9014084507044</v>
      </c>
      <c r="J29" s="65" t="s">
        <v>14</v>
      </c>
      <c r="K29" s="65" t="s">
        <v>14</v>
      </c>
      <c r="L29" s="68" t="s">
        <v>14</v>
      </c>
      <c r="M29" s="94" t="s">
        <v>222</v>
      </c>
      <c r="N29" s="33">
        <v>2025</v>
      </c>
    </row>
    <row r="30" spans="1:14">
      <c r="A30" s="33">
        <v>29</v>
      </c>
      <c r="B30" s="64" t="s">
        <v>58</v>
      </c>
      <c r="C30" s="65" t="s">
        <v>59</v>
      </c>
      <c r="D30" s="33" t="s">
        <v>60</v>
      </c>
      <c r="E30" s="33" t="s">
        <v>63</v>
      </c>
      <c r="F30" s="33"/>
      <c r="G30" s="33" t="s">
        <v>21</v>
      </c>
      <c r="H30" s="33" t="s">
        <v>63</v>
      </c>
      <c r="I30" s="70">
        <v>3169.0140845070423</v>
      </c>
      <c r="J30" s="65" t="s">
        <v>14</v>
      </c>
      <c r="K30" s="65" t="s">
        <v>14</v>
      </c>
      <c r="L30" s="68" t="s">
        <v>14</v>
      </c>
      <c r="M30" s="94" t="s">
        <v>222</v>
      </c>
      <c r="N30" s="33">
        <v>2025</v>
      </c>
    </row>
    <row r="31" spans="1:14">
      <c r="A31" s="33">
        <v>30</v>
      </c>
      <c r="B31" s="94" t="s">
        <v>27</v>
      </c>
      <c r="C31" s="120" t="s">
        <v>28</v>
      </c>
      <c r="D31" s="33" t="s">
        <v>60</v>
      </c>
      <c r="E31" s="33" t="s">
        <v>63</v>
      </c>
      <c r="F31" s="33"/>
      <c r="G31" s="33" t="s">
        <v>21</v>
      </c>
      <c r="H31" s="33" t="s">
        <v>63</v>
      </c>
      <c r="I31" s="70">
        <v>15158.450704225352</v>
      </c>
      <c r="J31" s="65" t="s">
        <v>14</v>
      </c>
      <c r="K31" s="65" t="s">
        <v>14</v>
      </c>
      <c r="L31" s="68" t="s">
        <v>14</v>
      </c>
      <c r="M31" s="94" t="s">
        <v>222</v>
      </c>
      <c r="N31" s="33">
        <v>2025</v>
      </c>
    </row>
    <row r="32" spans="1:14">
      <c r="A32" s="33">
        <v>31</v>
      </c>
      <c r="B32" s="33" t="s">
        <v>17</v>
      </c>
      <c r="C32" s="33" t="s">
        <v>18</v>
      </c>
      <c r="D32" s="33" t="s">
        <v>60</v>
      </c>
      <c r="E32" s="33" t="s">
        <v>102</v>
      </c>
      <c r="F32" s="33"/>
      <c r="G32" s="33" t="s">
        <v>64</v>
      </c>
      <c r="H32" s="33" t="s">
        <v>104</v>
      </c>
      <c r="I32" s="70">
        <v>621.37931034482756</v>
      </c>
      <c r="J32" s="33" t="s">
        <v>68</v>
      </c>
      <c r="K32" s="65" t="s">
        <v>678</v>
      </c>
      <c r="L32" s="94" t="s">
        <v>14</v>
      </c>
      <c r="M32" s="94" t="s">
        <v>222</v>
      </c>
      <c r="N32" s="33">
        <v>2025</v>
      </c>
    </row>
    <row r="33" spans="1:14">
      <c r="A33" s="33">
        <v>32</v>
      </c>
      <c r="B33" s="33" t="s">
        <v>54</v>
      </c>
      <c r="C33" s="33" t="s">
        <v>55</v>
      </c>
      <c r="D33" s="33" t="s">
        <v>60</v>
      </c>
      <c r="E33" s="33" t="s">
        <v>102</v>
      </c>
      <c r="F33" s="33"/>
      <c r="G33" s="33" t="s">
        <v>64</v>
      </c>
      <c r="H33" s="33" t="s">
        <v>745</v>
      </c>
      <c r="I33" s="70">
        <v>377.93103448275861</v>
      </c>
      <c r="J33" s="33" t="s">
        <v>68</v>
      </c>
      <c r="K33" s="65" t="s">
        <v>678</v>
      </c>
      <c r="L33" s="94" t="s">
        <v>14</v>
      </c>
      <c r="M33" s="94" t="s">
        <v>222</v>
      </c>
      <c r="N33" s="33">
        <v>2025</v>
      </c>
    </row>
    <row r="34" spans="1:14">
      <c r="A34" s="33">
        <v>33</v>
      </c>
      <c r="B34" s="33" t="s">
        <v>42</v>
      </c>
      <c r="C34" s="33" t="s">
        <v>70</v>
      </c>
      <c r="D34" s="33" t="s">
        <v>60</v>
      </c>
      <c r="E34" s="33" t="s">
        <v>102</v>
      </c>
      <c r="F34" s="33"/>
      <c r="G34" s="33" t="s">
        <v>64</v>
      </c>
      <c r="H34" s="33" t="s">
        <v>104</v>
      </c>
      <c r="I34" s="70">
        <v>1024.1379310344828</v>
      </c>
      <c r="J34" s="33" t="s">
        <v>68</v>
      </c>
      <c r="K34" s="65" t="s">
        <v>678</v>
      </c>
      <c r="L34" s="94" t="s">
        <v>14</v>
      </c>
      <c r="M34" s="94" t="s">
        <v>222</v>
      </c>
      <c r="N34" s="33">
        <v>2025</v>
      </c>
    </row>
    <row r="35" spans="1:14">
      <c r="A35" s="33">
        <v>34</v>
      </c>
      <c r="B35" s="33" t="s">
        <v>35</v>
      </c>
      <c r="C35" s="33" t="s">
        <v>36</v>
      </c>
      <c r="D35" s="33" t="s">
        <v>60</v>
      </c>
      <c r="E35" s="33" t="s">
        <v>102</v>
      </c>
      <c r="F35" s="33"/>
      <c r="G35" s="33" t="s">
        <v>64</v>
      </c>
      <c r="H35" s="33" t="s">
        <v>745</v>
      </c>
      <c r="I35" s="70">
        <v>109.65517241379311</v>
      </c>
      <c r="J35" s="33" t="s">
        <v>68</v>
      </c>
      <c r="K35" s="65" t="s">
        <v>678</v>
      </c>
      <c r="L35" s="94" t="s">
        <v>14</v>
      </c>
      <c r="M35" s="94" t="s">
        <v>222</v>
      </c>
      <c r="N35" s="33">
        <v>2025</v>
      </c>
    </row>
    <row r="36" spans="1:14">
      <c r="A36" s="33">
        <v>35</v>
      </c>
      <c r="B36" s="33" t="s">
        <v>42</v>
      </c>
      <c r="C36" s="33" t="s">
        <v>45</v>
      </c>
      <c r="D36" s="33" t="s">
        <v>60</v>
      </c>
      <c r="E36" s="33" t="s">
        <v>102</v>
      </c>
      <c r="F36" s="33"/>
      <c r="G36" s="33" t="s">
        <v>64</v>
      </c>
      <c r="H36" s="33" t="s">
        <v>104</v>
      </c>
      <c r="I36" s="70">
        <v>255.86206896551724</v>
      </c>
      <c r="J36" s="33" t="s">
        <v>68</v>
      </c>
      <c r="K36" s="65" t="s">
        <v>678</v>
      </c>
      <c r="L36" s="94" t="s">
        <v>14</v>
      </c>
      <c r="M36" s="94" t="s">
        <v>222</v>
      </c>
      <c r="N36" s="33">
        <v>2025</v>
      </c>
    </row>
    <row r="37" spans="1:14">
      <c r="A37" s="33">
        <v>36</v>
      </c>
      <c r="B37" s="33" t="s">
        <v>33</v>
      </c>
      <c r="C37" s="33" t="s">
        <v>34</v>
      </c>
      <c r="D37" s="33" t="s">
        <v>60</v>
      </c>
      <c r="E37" s="33" t="s">
        <v>102</v>
      </c>
      <c r="F37" s="33"/>
      <c r="G37" s="33" t="s">
        <v>64</v>
      </c>
      <c r="H37" s="33" t="s">
        <v>745</v>
      </c>
      <c r="I37" s="70">
        <v>365.51724137931035</v>
      </c>
      <c r="J37" s="33" t="s">
        <v>68</v>
      </c>
      <c r="K37" s="65" t="s">
        <v>678</v>
      </c>
      <c r="L37" s="94" t="s">
        <v>14</v>
      </c>
      <c r="M37" s="94" t="s">
        <v>222</v>
      </c>
      <c r="N37" s="33">
        <v>2025</v>
      </c>
    </row>
    <row r="38" spans="1:14">
      <c r="A38" s="33">
        <v>37</v>
      </c>
      <c r="B38" s="33" t="s">
        <v>52</v>
      </c>
      <c r="C38" s="122" t="s">
        <v>62</v>
      </c>
      <c r="D38" s="33" t="s">
        <v>60</v>
      </c>
      <c r="E38" s="33" t="s">
        <v>102</v>
      </c>
      <c r="F38" s="33"/>
      <c r="G38" s="33" t="s">
        <v>64</v>
      </c>
      <c r="H38" s="33" t="s">
        <v>745</v>
      </c>
      <c r="I38" s="70">
        <v>837.24137931034488</v>
      </c>
      <c r="J38" s="33" t="s">
        <v>68</v>
      </c>
      <c r="K38" s="65" t="s">
        <v>678</v>
      </c>
      <c r="L38" s="94" t="s">
        <v>14</v>
      </c>
      <c r="M38" s="94" t="s">
        <v>222</v>
      </c>
      <c r="N38" s="33">
        <v>2025</v>
      </c>
    </row>
    <row r="39" spans="1:14">
      <c r="A39" s="33">
        <v>38</v>
      </c>
      <c r="B39" s="33" t="s">
        <v>58</v>
      </c>
      <c r="C39" s="33" t="s">
        <v>59</v>
      </c>
      <c r="D39" s="33" t="s">
        <v>60</v>
      </c>
      <c r="E39" s="33" t="s">
        <v>102</v>
      </c>
      <c r="F39" s="33"/>
      <c r="G39" s="33" t="s">
        <v>64</v>
      </c>
      <c r="H39" s="33" t="s">
        <v>746</v>
      </c>
      <c r="I39" s="70">
        <v>741.37931034482756</v>
      </c>
      <c r="J39" s="33">
        <v>8320</v>
      </c>
      <c r="K39" s="65">
        <v>45942</v>
      </c>
      <c r="L39" s="94" t="s">
        <v>14</v>
      </c>
      <c r="M39" s="94" t="s">
        <v>222</v>
      </c>
      <c r="N39" s="33">
        <v>2025</v>
      </c>
    </row>
    <row r="40" spans="1:14">
      <c r="A40" s="33">
        <v>39</v>
      </c>
      <c r="B40" s="33" t="s">
        <v>58</v>
      </c>
      <c r="C40" s="33" t="s">
        <v>59</v>
      </c>
      <c r="D40" s="33" t="s">
        <v>60</v>
      </c>
      <c r="E40" s="33" t="s">
        <v>102</v>
      </c>
      <c r="F40" s="33"/>
      <c r="G40" s="33" t="s">
        <v>64</v>
      </c>
      <c r="H40" s="33" t="s">
        <v>747</v>
      </c>
      <c r="I40" s="70">
        <v>877.24137931034488</v>
      </c>
      <c r="J40" s="33" t="s">
        <v>68</v>
      </c>
      <c r="K40" s="65" t="s">
        <v>678</v>
      </c>
      <c r="L40" s="94" t="s">
        <v>14</v>
      </c>
      <c r="M40" s="94" t="s">
        <v>222</v>
      </c>
      <c r="N40" s="33">
        <v>2025</v>
      </c>
    </row>
    <row r="41" spans="1:14">
      <c r="A41" s="33">
        <v>40</v>
      </c>
      <c r="B41" s="33" t="s">
        <v>58</v>
      </c>
      <c r="C41" s="33" t="s">
        <v>59</v>
      </c>
      <c r="D41" s="33" t="s">
        <v>60</v>
      </c>
      <c r="E41" s="33" t="s">
        <v>102</v>
      </c>
      <c r="F41" s="33"/>
      <c r="G41" s="33" t="s">
        <v>64</v>
      </c>
      <c r="H41" s="33" t="s">
        <v>748</v>
      </c>
      <c r="I41" s="70">
        <v>1324.1379310344828</v>
      </c>
      <c r="J41" s="33" t="s">
        <v>68</v>
      </c>
      <c r="K41" s="65" t="s">
        <v>679</v>
      </c>
      <c r="L41" s="94" t="s">
        <v>14</v>
      </c>
      <c r="M41" s="94" t="s">
        <v>222</v>
      </c>
      <c r="N41" s="33">
        <v>2025</v>
      </c>
    </row>
    <row r="42" spans="1:14">
      <c r="A42" s="33">
        <v>41</v>
      </c>
      <c r="B42" s="33" t="s">
        <v>58</v>
      </c>
      <c r="C42" s="33" t="s">
        <v>59</v>
      </c>
      <c r="D42" s="33" t="s">
        <v>60</v>
      </c>
      <c r="E42" s="33" t="s">
        <v>102</v>
      </c>
      <c r="F42" s="33"/>
      <c r="G42" s="33" t="s">
        <v>64</v>
      </c>
      <c r="H42" s="33" t="s">
        <v>82</v>
      </c>
      <c r="I42" s="70">
        <v>102.93103448275862</v>
      </c>
      <c r="J42" s="33" t="s">
        <v>68</v>
      </c>
      <c r="K42" s="65" t="s">
        <v>681</v>
      </c>
      <c r="L42" s="94" t="s">
        <v>14</v>
      </c>
      <c r="M42" s="94" t="s">
        <v>222</v>
      </c>
      <c r="N42" s="33">
        <v>2025</v>
      </c>
    </row>
    <row r="43" spans="1:14">
      <c r="A43" s="33">
        <v>42</v>
      </c>
      <c r="B43" s="33" t="s">
        <v>35</v>
      </c>
      <c r="C43" s="33" t="s">
        <v>40</v>
      </c>
      <c r="D43" s="33" t="s">
        <v>60</v>
      </c>
      <c r="E43" s="33" t="s">
        <v>102</v>
      </c>
      <c r="F43" s="33"/>
      <c r="G43" s="33" t="s">
        <v>64</v>
      </c>
      <c r="H43" s="33" t="s">
        <v>104</v>
      </c>
      <c r="I43" s="70">
        <v>36.551724137931032</v>
      </c>
      <c r="J43" s="33" t="s">
        <v>68</v>
      </c>
      <c r="K43" s="65" t="s">
        <v>678</v>
      </c>
      <c r="L43" s="94" t="s">
        <v>14</v>
      </c>
      <c r="M43" s="94" t="s">
        <v>222</v>
      </c>
      <c r="N43" s="33">
        <v>2025</v>
      </c>
    </row>
    <row r="44" spans="1:14">
      <c r="A44" s="33">
        <v>43</v>
      </c>
      <c r="B44" s="33" t="s">
        <v>42</v>
      </c>
      <c r="C44" s="33" t="s">
        <v>47</v>
      </c>
      <c r="D44" s="33" t="s">
        <v>60</v>
      </c>
      <c r="E44" s="33" t="s">
        <v>102</v>
      </c>
      <c r="F44" s="33"/>
      <c r="G44" s="33" t="s">
        <v>64</v>
      </c>
      <c r="H44" s="33" t="s">
        <v>104</v>
      </c>
      <c r="I44" s="70">
        <v>36.551724137931032</v>
      </c>
      <c r="J44" s="33" t="s">
        <v>68</v>
      </c>
      <c r="K44" s="65" t="s">
        <v>684</v>
      </c>
      <c r="L44" s="94" t="s">
        <v>14</v>
      </c>
      <c r="M44" s="94" t="s">
        <v>222</v>
      </c>
      <c r="N44" s="33">
        <v>2025</v>
      </c>
    </row>
    <row r="45" spans="1:14">
      <c r="A45" s="33">
        <v>44</v>
      </c>
      <c r="B45" s="33" t="s">
        <v>42</v>
      </c>
      <c r="C45" s="122" t="s">
        <v>285</v>
      </c>
      <c r="D45" s="33" t="s">
        <v>60</v>
      </c>
      <c r="E45" s="33" t="s">
        <v>102</v>
      </c>
      <c r="F45" s="33"/>
      <c r="G45" s="33" t="s">
        <v>64</v>
      </c>
      <c r="H45" s="33" t="s">
        <v>104</v>
      </c>
      <c r="I45" s="70">
        <v>585.51724137931035</v>
      </c>
      <c r="J45" s="33" t="s">
        <v>68</v>
      </c>
      <c r="K45" s="65" t="s">
        <v>678</v>
      </c>
      <c r="L45" s="94" t="s">
        <v>14</v>
      </c>
      <c r="M45" s="94" t="s">
        <v>222</v>
      </c>
      <c r="N45" s="33">
        <v>2025</v>
      </c>
    </row>
    <row r="46" spans="1:14">
      <c r="A46" s="33">
        <v>45</v>
      </c>
      <c r="B46" s="33" t="s">
        <v>42</v>
      </c>
      <c r="C46" s="33" t="s">
        <v>50</v>
      </c>
      <c r="D46" s="33" t="s">
        <v>60</v>
      </c>
      <c r="E46" s="33" t="s">
        <v>102</v>
      </c>
      <c r="F46" s="33"/>
      <c r="G46" s="33" t="s">
        <v>64</v>
      </c>
      <c r="H46" s="33" t="s">
        <v>745</v>
      </c>
      <c r="I46" s="70">
        <v>237.93103448275863</v>
      </c>
      <c r="J46" s="33" t="s">
        <v>68</v>
      </c>
      <c r="K46" s="65" t="s">
        <v>678</v>
      </c>
      <c r="L46" s="94" t="s">
        <v>14</v>
      </c>
      <c r="M46" s="94" t="s">
        <v>222</v>
      </c>
      <c r="N46" s="33">
        <v>2025</v>
      </c>
    </row>
    <row r="47" spans="1:14">
      <c r="A47" s="33">
        <v>46</v>
      </c>
      <c r="B47" s="33" t="s">
        <v>42</v>
      </c>
      <c r="C47" s="33" t="s">
        <v>51</v>
      </c>
      <c r="D47" s="33" t="s">
        <v>60</v>
      </c>
      <c r="E47" s="33" t="s">
        <v>102</v>
      </c>
      <c r="F47" s="33"/>
      <c r="G47" s="33" t="s">
        <v>64</v>
      </c>
      <c r="H47" s="33" t="s">
        <v>104</v>
      </c>
      <c r="I47" s="70">
        <v>255.86206896551724</v>
      </c>
      <c r="J47" s="33" t="s">
        <v>68</v>
      </c>
      <c r="K47" s="65" t="s">
        <v>678</v>
      </c>
      <c r="L47" s="94" t="s">
        <v>14</v>
      </c>
      <c r="M47" s="94" t="s">
        <v>222</v>
      </c>
      <c r="N47" s="33">
        <v>2025</v>
      </c>
    </row>
    <row r="48" spans="1:14">
      <c r="A48" s="33">
        <v>47</v>
      </c>
      <c r="B48" s="33" t="s">
        <v>17</v>
      </c>
      <c r="C48" s="33" t="s">
        <v>23</v>
      </c>
      <c r="D48" s="33" t="s">
        <v>60</v>
      </c>
      <c r="E48" s="33" t="s">
        <v>102</v>
      </c>
      <c r="F48" s="33"/>
      <c r="G48" s="33" t="s">
        <v>64</v>
      </c>
      <c r="H48" s="33" t="s">
        <v>745</v>
      </c>
      <c r="I48" s="70">
        <v>292.41379310344826</v>
      </c>
      <c r="J48" s="33" t="s">
        <v>68</v>
      </c>
      <c r="K48" s="65" t="s">
        <v>678</v>
      </c>
      <c r="L48" s="94" t="s">
        <v>14</v>
      </c>
      <c r="M48" s="94" t="s">
        <v>222</v>
      </c>
      <c r="N48" s="33">
        <v>2025</v>
      </c>
    </row>
    <row r="49" spans="1:14">
      <c r="A49" s="33">
        <v>48</v>
      </c>
      <c r="B49" s="33" t="s">
        <v>17</v>
      </c>
      <c r="C49" s="33" t="s">
        <v>25</v>
      </c>
      <c r="D49" s="33" t="s">
        <v>60</v>
      </c>
      <c r="E49" s="33" t="s">
        <v>102</v>
      </c>
      <c r="F49" s="33"/>
      <c r="G49" s="33" t="s">
        <v>64</v>
      </c>
      <c r="H49" s="33" t="s">
        <v>745</v>
      </c>
      <c r="I49" s="70">
        <v>2354.4827586206898</v>
      </c>
      <c r="J49" s="33" t="s">
        <v>68</v>
      </c>
      <c r="K49" s="65" t="s">
        <v>678</v>
      </c>
      <c r="L49" s="94" t="s">
        <v>14</v>
      </c>
      <c r="M49" s="94" t="s">
        <v>222</v>
      </c>
      <c r="N49" s="33">
        <v>2025</v>
      </c>
    </row>
    <row r="50" spans="1:14">
      <c r="A50" s="33">
        <v>49</v>
      </c>
      <c r="B50" s="74" t="s">
        <v>17</v>
      </c>
      <c r="C50" s="74" t="s">
        <v>22</v>
      </c>
      <c r="D50" s="33" t="s">
        <v>60</v>
      </c>
      <c r="E50" s="74" t="s">
        <v>102</v>
      </c>
      <c r="F50" s="33"/>
      <c r="G50" s="74" t="s">
        <v>103</v>
      </c>
      <c r="H50" s="33" t="s">
        <v>104</v>
      </c>
      <c r="I50" s="70">
        <v>1160.6896551724137</v>
      </c>
      <c r="J50" s="33" t="s">
        <v>329</v>
      </c>
      <c r="K50" s="65">
        <v>45992</v>
      </c>
      <c r="L50" s="33" t="s">
        <v>14</v>
      </c>
      <c r="M50" s="64" t="s">
        <v>222</v>
      </c>
      <c r="N50" s="33">
        <v>2025</v>
      </c>
    </row>
    <row r="51" spans="1:14">
      <c r="A51" s="33">
        <v>50</v>
      </c>
      <c r="B51" s="33" t="s">
        <v>29</v>
      </c>
      <c r="C51" s="33" t="s">
        <v>30</v>
      </c>
      <c r="D51" s="33" t="s">
        <v>60</v>
      </c>
      <c r="E51" s="74" t="s">
        <v>102</v>
      </c>
      <c r="F51" s="33"/>
      <c r="G51" s="33" t="s">
        <v>105</v>
      </c>
      <c r="H51" s="33" t="s">
        <v>106</v>
      </c>
      <c r="I51" s="70">
        <v>1.4445880371882549</v>
      </c>
      <c r="J51" s="33">
        <v>63</v>
      </c>
      <c r="K51" s="65">
        <v>46025</v>
      </c>
      <c r="L51" s="33" t="s">
        <v>14</v>
      </c>
      <c r="M51" s="64" t="s">
        <v>222</v>
      </c>
      <c r="N51" s="33">
        <v>2025</v>
      </c>
    </row>
    <row r="52" spans="1:14">
      <c r="A52" s="33">
        <v>51</v>
      </c>
      <c r="B52" s="94" t="s">
        <v>27</v>
      </c>
      <c r="C52" s="120" t="s">
        <v>28</v>
      </c>
      <c r="D52" s="33" t="s">
        <v>60</v>
      </c>
      <c r="E52" s="74" t="s">
        <v>102</v>
      </c>
      <c r="F52" s="33"/>
      <c r="G52" s="33" t="s">
        <v>105</v>
      </c>
      <c r="H52" s="33" t="s">
        <v>106</v>
      </c>
      <c r="I52" s="70">
        <v>1652.8174508881871</v>
      </c>
      <c r="J52" s="33">
        <v>63</v>
      </c>
      <c r="K52" s="65">
        <v>46025</v>
      </c>
      <c r="L52" s="33" t="s">
        <v>14</v>
      </c>
      <c r="M52" s="64" t="s">
        <v>222</v>
      </c>
      <c r="N52" s="33">
        <v>2025</v>
      </c>
    </row>
    <row r="53" spans="1:14">
      <c r="A53" s="33">
        <v>52</v>
      </c>
      <c r="B53" s="33" t="s">
        <v>58</v>
      </c>
      <c r="C53" s="33" t="s">
        <v>59</v>
      </c>
      <c r="D53" s="33" t="s">
        <v>60</v>
      </c>
      <c r="E53" s="74" t="s">
        <v>102</v>
      </c>
      <c r="F53" s="33"/>
      <c r="G53" s="73" t="s">
        <v>105</v>
      </c>
      <c r="H53" s="33" t="s">
        <v>106</v>
      </c>
      <c r="I53" s="70">
        <v>31.476115489193631</v>
      </c>
      <c r="J53" s="73">
        <v>63</v>
      </c>
      <c r="K53" s="65">
        <v>46025</v>
      </c>
      <c r="L53" s="73" t="s">
        <v>14</v>
      </c>
      <c r="M53" s="64" t="s">
        <v>222</v>
      </c>
      <c r="N53" s="33">
        <v>2025</v>
      </c>
    </row>
    <row r="54" spans="1:14">
      <c r="A54" s="33">
        <v>53</v>
      </c>
      <c r="B54" s="33" t="s">
        <v>33</v>
      </c>
      <c r="C54" s="33" t="s">
        <v>34</v>
      </c>
      <c r="D54" s="33" t="s">
        <v>60</v>
      </c>
      <c r="E54" s="74" t="s">
        <v>102</v>
      </c>
      <c r="F54" s="33"/>
      <c r="G54" s="33" t="s">
        <v>105</v>
      </c>
      <c r="H54" s="33" t="s">
        <v>106</v>
      </c>
      <c r="I54" s="70">
        <v>190.90098380430206</v>
      </c>
      <c r="J54" s="33">
        <v>63</v>
      </c>
      <c r="K54" s="65">
        <v>46025</v>
      </c>
      <c r="L54" s="73" t="s">
        <v>14</v>
      </c>
      <c r="M54" s="64" t="s">
        <v>222</v>
      </c>
      <c r="N54" s="33">
        <v>2025</v>
      </c>
    </row>
    <row r="55" spans="1:14">
      <c r="A55" s="33">
        <v>54</v>
      </c>
      <c r="B55" s="33" t="s">
        <v>35</v>
      </c>
      <c r="C55" s="33" t="s">
        <v>35</v>
      </c>
      <c r="D55" s="33" t="s">
        <v>60</v>
      </c>
      <c r="E55" s="74" t="s">
        <v>102</v>
      </c>
      <c r="F55" s="33"/>
      <c r="G55" s="33" t="s">
        <v>105</v>
      </c>
      <c r="H55" s="33" t="s">
        <v>106</v>
      </c>
      <c r="I55" s="70">
        <v>584.53797083684299</v>
      </c>
      <c r="J55" s="33">
        <v>63</v>
      </c>
      <c r="K55" s="65">
        <v>46025</v>
      </c>
      <c r="L55" s="33" t="s">
        <v>14</v>
      </c>
      <c r="M55" s="64" t="s">
        <v>222</v>
      </c>
      <c r="N55" s="33">
        <v>2025</v>
      </c>
    </row>
    <row r="56" spans="1:14">
      <c r="A56" s="33">
        <v>55</v>
      </c>
      <c r="B56" s="33" t="s">
        <v>42</v>
      </c>
      <c r="C56" s="33" t="s">
        <v>42</v>
      </c>
      <c r="D56" s="33" t="s">
        <v>60</v>
      </c>
      <c r="E56" s="74" t="s">
        <v>102</v>
      </c>
      <c r="F56" s="33"/>
      <c r="G56" s="33" t="s">
        <v>105</v>
      </c>
      <c r="H56" s="33" t="s">
        <v>106</v>
      </c>
      <c r="I56" s="70">
        <v>1858.1775681656302</v>
      </c>
      <c r="J56" s="33">
        <v>63</v>
      </c>
      <c r="K56" s="65">
        <v>46025</v>
      </c>
      <c r="L56" s="33" t="s">
        <v>14</v>
      </c>
      <c r="M56" s="64" t="s">
        <v>222</v>
      </c>
      <c r="N56" s="33">
        <v>2025</v>
      </c>
    </row>
    <row r="57" spans="1:14">
      <c r="A57" s="33">
        <v>56</v>
      </c>
      <c r="B57" s="33" t="s">
        <v>52</v>
      </c>
      <c r="C57" s="122" t="s">
        <v>62</v>
      </c>
      <c r="D57" s="33" t="s">
        <v>60</v>
      </c>
      <c r="E57" s="74" t="s">
        <v>102</v>
      </c>
      <c r="F57" s="33"/>
      <c r="G57" s="33" t="s">
        <v>105</v>
      </c>
      <c r="H57" s="33" t="s">
        <v>106</v>
      </c>
      <c r="I57" s="70">
        <v>1199.9556676062421</v>
      </c>
      <c r="J57" s="33">
        <v>63</v>
      </c>
      <c r="K57" s="65">
        <v>46025</v>
      </c>
      <c r="L57" s="33" t="s">
        <v>14</v>
      </c>
      <c r="M57" s="64" t="s">
        <v>222</v>
      </c>
      <c r="N57" s="33">
        <v>2025</v>
      </c>
    </row>
    <row r="58" spans="1:14">
      <c r="A58" s="33">
        <v>57</v>
      </c>
      <c r="B58" s="33" t="s">
        <v>42</v>
      </c>
      <c r="C58" s="33" t="s">
        <v>47</v>
      </c>
      <c r="D58" s="33" t="s">
        <v>60</v>
      </c>
      <c r="E58" s="33" t="s">
        <v>56</v>
      </c>
      <c r="F58" s="33"/>
      <c r="G58" s="33" t="s">
        <v>272</v>
      </c>
      <c r="H58" s="33" t="s">
        <v>56</v>
      </c>
      <c r="I58" s="63">
        <v>7000</v>
      </c>
      <c r="J58" s="33" t="s">
        <v>307</v>
      </c>
      <c r="K58" s="65">
        <v>45978</v>
      </c>
      <c r="L58" s="33">
        <v>2025404676</v>
      </c>
      <c r="M58" s="94" t="s">
        <v>222</v>
      </c>
      <c r="N58" s="33">
        <v>2025</v>
      </c>
    </row>
    <row r="59" spans="1:14">
      <c r="A59" s="33">
        <v>58</v>
      </c>
      <c r="B59" s="62" t="s">
        <v>42</v>
      </c>
      <c r="C59" s="122" t="s">
        <v>285</v>
      </c>
      <c r="D59" s="33" t="s">
        <v>60</v>
      </c>
      <c r="E59" s="33" t="s">
        <v>56</v>
      </c>
      <c r="F59" s="33"/>
      <c r="G59" s="62" t="s">
        <v>306</v>
      </c>
      <c r="H59" s="33" t="s">
        <v>56</v>
      </c>
      <c r="I59" s="63">
        <f>11000000/1450</f>
        <v>7586.2068965517237</v>
      </c>
      <c r="J59" s="33" t="s">
        <v>308</v>
      </c>
      <c r="K59" s="65">
        <v>45994</v>
      </c>
      <c r="L59" s="33">
        <v>2025404675</v>
      </c>
      <c r="M59" s="94" t="s">
        <v>222</v>
      </c>
      <c r="N59" s="33">
        <v>2025</v>
      </c>
    </row>
    <row r="60" spans="1:14">
      <c r="A60" s="33">
        <v>59</v>
      </c>
      <c r="B60" s="113" t="s">
        <v>54</v>
      </c>
      <c r="C60" s="113" t="s">
        <v>55</v>
      </c>
      <c r="D60" s="33" t="s">
        <v>60</v>
      </c>
      <c r="E60" s="33" t="s">
        <v>56</v>
      </c>
      <c r="F60" s="33"/>
      <c r="G60" s="62" t="s">
        <v>306</v>
      </c>
      <c r="H60" s="33" t="s">
        <v>56</v>
      </c>
      <c r="I60" s="63">
        <f>11714000/1450</f>
        <v>8078.6206896551721</v>
      </c>
      <c r="J60" s="33">
        <v>45992</v>
      </c>
      <c r="K60" s="65">
        <v>46033</v>
      </c>
      <c r="L60" s="33">
        <v>2025404939</v>
      </c>
      <c r="M60" s="94" t="s">
        <v>222</v>
      </c>
      <c r="N60" s="33">
        <v>2025</v>
      </c>
    </row>
    <row r="61" spans="1:14">
      <c r="A61" s="33">
        <v>60</v>
      </c>
      <c r="B61" s="33" t="s">
        <v>52</v>
      </c>
      <c r="C61" s="127" t="s">
        <v>62</v>
      </c>
      <c r="D61" s="33" t="s">
        <v>60</v>
      </c>
      <c r="E61" s="33" t="s">
        <v>56</v>
      </c>
      <c r="F61" s="33"/>
      <c r="G61" s="33" t="s">
        <v>64</v>
      </c>
      <c r="H61" s="66" t="s">
        <v>729</v>
      </c>
      <c r="I61" s="67">
        <v>1241.3793103448277</v>
      </c>
      <c r="J61" s="33" t="s">
        <v>697</v>
      </c>
      <c r="K61" s="65" t="s">
        <v>279</v>
      </c>
      <c r="L61" s="94" t="s">
        <v>14</v>
      </c>
      <c r="M61" s="94" t="s">
        <v>222</v>
      </c>
      <c r="N61" s="33">
        <v>2025</v>
      </c>
    </row>
    <row r="62" spans="1:14">
      <c r="A62" s="33">
        <v>61</v>
      </c>
      <c r="B62" s="33" t="s">
        <v>52</v>
      </c>
      <c r="C62" s="127" t="s">
        <v>62</v>
      </c>
      <c r="D62" s="33" t="s">
        <v>60</v>
      </c>
      <c r="E62" s="33" t="s">
        <v>56</v>
      </c>
      <c r="F62" s="33"/>
      <c r="G62" s="33" t="s">
        <v>64</v>
      </c>
      <c r="H62" s="66" t="s">
        <v>730</v>
      </c>
      <c r="I62" s="67">
        <v>2169.655172413793</v>
      </c>
      <c r="J62" s="33" t="s">
        <v>68</v>
      </c>
      <c r="K62" s="65" t="s">
        <v>690</v>
      </c>
      <c r="L62" s="94" t="s">
        <v>14</v>
      </c>
      <c r="M62" s="94" t="s">
        <v>222</v>
      </c>
      <c r="N62" s="33">
        <v>2025</v>
      </c>
    </row>
    <row r="63" spans="1:14">
      <c r="A63" s="33">
        <v>62</v>
      </c>
      <c r="B63" s="33" t="s">
        <v>54</v>
      </c>
      <c r="C63" s="33" t="s">
        <v>55</v>
      </c>
      <c r="D63" s="33" t="s">
        <v>60</v>
      </c>
      <c r="E63" s="33" t="s">
        <v>292</v>
      </c>
      <c r="F63" s="33"/>
      <c r="G63" s="33" t="s">
        <v>271</v>
      </c>
      <c r="H63" s="33" t="s">
        <v>292</v>
      </c>
      <c r="I63" s="70">
        <v>5000</v>
      </c>
      <c r="J63" s="33" t="s">
        <v>664</v>
      </c>
      <c r="K63" s="65">
        <v>45888</v>
      </c>
      <c r="L63" s="33">
        <v>2025402966</v>
      </c>
      <c r="M63" s="33" t="s">
        <v>222</v>
      </c>
      <c r="N63" s="33">
        <v>2025</v>
      </c>
    </row>
    <row r="64" spans="1:14">
      <c r="A64" s="33">
        <v>63</v>
      </c>
      <c r="B64" s="33" t="s">
        <v>54</v>
      </c>
      <c r="C64" s="33" t="s">
        <v>55</v>
      </c>
      <c r="D64" s="33" t="s">
        <v>60</v>
      </c>
      <c r="E64" s="33" t="s">
        <v>292</v>
      </c>
      <c r="F64" s="33"/>
      <c r="G64" s="33" t="s">
        <v>662</v>
      </c>
      <c r="H64" s="33" t="s">
        <v>292</v>
      </c>
      <c r="I64" s="70">
        <v>3965.5172413793102</v>
      </c>
      <c r="J64" s="33" t="s">
        <v>665</v>
      </c>
      <c r="K64" s="65">
        <v>46002</v>
      </c>
      <c r="L64" s="33">
        <v>2025404664</v>
      </c>
      <c r="M64" s="33" t="s">
        <v>222</v>
      </c>
      <c r="N64" s="33">
        <v>2025</v>
      </c>
    </row>
    <row r="65" spans="1:14">
      <c r="A65" s="33">
        <v>64</v>
      </c>
      <c r="B65" s="33" t="s">
        <v>54</v>
      </c>
      <c r="C65" s="33" t="s">
        <v>55</v>
      </c>
      <c r="D65" s="33" t="s">
        <v>60</v>
      </c>
      <c r="E65" s="33" t="s">
        <v>292</v>
      </c>
      <c r="F65" s="33"/>
      <c r="G65" s="33" t="s">
        <v>663</v>
      </c>
      <c r="H65" s="33" t="s">
        <v>292</v>
      </c>
      <c r="I65" s="70">
        <v>1427.5862068965516</v>
      </c>
      <c r="J65" s="33" t="s">
        <v>625</v>
      </c>
      <c r="K65" s="65">
        <v>46001</v>
      </c>
      <c r="L65" s="33">
        <v>2025404668</v>
      </c>
      <c r="M65" s="33" t="s">
        <v>222</v>
      </c>
      <c r="N65" s="33">
        <v>2025</v>
      </c>
    </row>
    <row r="66" spans="1:14">
      <c r="A66" s="33">
        <v>65</v>
      </c>
      <c r="B66" s="33" t="s">
        <v>54</v>
      </c>
      <c r="C66" s="33" t="s">
        <v>55</v>
      </c>
      <c r="D66" s="33" t="s">
        <v>60</v>
      </c>
      <c r="E66" s="33" t="s">
        <v>292</v>
      </c>
      <c r="F66" s="33"/>
      <c r="G66" s="33" t="s">
        <v>290</v>
      </c>
      <c r="H66" s="33" t="s">
        <v>292</v>
      </c>
      <c r="I66" s="70">
        <v>3310.344827586207</v>
      </c>
      <c r="J66" s="33" t="s">
        <v>666</v>
      </c>
      <c r="K66" s="65">
        <v>46007</v>
      </c>
      <c r="L66" s="33">
        <v>2025404574</v>
      </c>
      <c r="M66" s="33" t="s">
        <v>222</v>
      </c>
      <c r="N66" s="33">
        <v>2025</v>
      </c>
    </row>
    <row r="67" spans="1:14">
      <c r="A67" s="33">
        <v>66</v>
      </c>
      <c r="B67" s="33" t="s">
        <v>54</v>
      </c>
      <c r="C67" s="33" t="s">
        <v>55</v>
      </c>
      <c r="D67" s="33" t="s">
        <v>60</v>
      </c>
      <c r="E67" s="33" t="s">
        <v>292</v>
      </c>
      <c r="F67" s="33"/>
      <c r="G67" s="33" t="s">
        <v>291</v>
      </c>
      <c r="H67" s="33" t="s">
        <v>292</v>
      </c>
      <c r="I67" s="70">
        <v>4810.3448275862065</v>
      </c>
      <c r="J67" s="33" t="s">
        <v>667</v>
      </c>
      <c r="K67" s="65">
        <v>45990</v>
      </c>
      <c r="L67" s="33">
        <v>2025404807</v>
      </c>
      <c r="M67" s="33" t="s">
        <v>222</v>
      </c>
      <c r="N67" s="33">
        <v>2025</v>
      </c>
    </row>
    <row r="68" spans="1:14">
      <c r="A68" s="33">
        <v>67</v>
      </c>
      <c r="B68" s="33" t="s">
        <v>17</v>
      </c>
      <c r="C68" s="65" t="s">
        <v>18</v>
      </c>
      <c r="D68" s="33" t="s">
        <v>60</v>
      </c>
      <c r="E68" s="33" t="s">
        <v>81</v>
      </c>
      <c r="F68" s="33"/>
      <c r="G68" s="33" t="s">
        <v>64</v>
      </c>
      <c r="H68" s="66" t="s">
        <v>735</v>
      </c>
      <c r="I68" s="67">
        <v>482.75862068965517</v>
      </c>
      <c r="J68" s="33" t="s">
        <v>68</v>
      </c>
      <c r="K68" s="65">
        <v>45880</v>
      </c>
      <c r="L68" s="94" t="s">
        <v>14</v>
      </c>
      <c r="M68" s="94" t="s">
        <v>222</v>
      </c>
      <c r="N68" s="33">
        <v>2025</v>
      </c>
    </row>
    <row r="69" spans="1:14">
      <c r="A69" s="33">
        <v>68</v>
      </c>
      <c r="B69" s="33" t="s">
        <v>58</v>
      </c>
      <c r="C69" s="65" t="s">
        <v>59</v>
      </c>
      <c r="D69" s="33" t="s">
        <v>60</v>
      </c>
      <c r="E69" s="33" t="s">
        <v>81</v>
      </c>
      <c r="F69" s="33"/>
      <c r="G69" s="33" t="s">
        <v>64</v>
      </c>
      <c r="H69" s="66" t="s">
        <v>736</v>
      </c>
      <c r="I69" s="67">
        <v>124.13793103448276</v>
      </c>
      <c r="J69" s="33" t="s">
        <v>68</v>
      </c>
      <c r="K69" s="65">
        <v>45973</v>
      </c>
      <c r="L69" s="94" t="s">
        <v>14</v>
      </c>
      <c r="M69" s="94" t="s">
        <v>222</v>
      </c>
      <c r="N69" s="33">
        <v>2025</v>
      </c>
    </row>
    <row r="70" spans="1:14">
      <c r="A70" s="33">
        <v>69</v>
      </c>
      <c r="B70" s="33" t="s">
        <v>54</v>
      </c>
      <c r="C70" s="33" t="s">
        <v>55</v>
      </c>
      <c r="D70" s="33" t="s">
        <v>60</v>
      </c>
      <c r="E70" s="33" t="s">
        <v>81</v>
      </c>
      <c r="F70" s="33"/>
      <c r="G70" s="33" t="s">
        <v>21</v>
      </c>
      <c r="H70" s="66" t="s">
        <v>309</v>
      </c>
      <c r="I70" s="67">
        <v>0</v>
      </c>
      <c r="J70" s="33" t="s">
        <v>14</v>
      </c>
      <c r="K70" s="65" t="s">
        <v>14</v>
      </c>
      <c r="L70" s="68" t="s">
        <v>14</v>
      </c>
      <c r="M70" s="94" t="s">
        <v>222</v>
      </c>
      <c r="N70" s="33">
        <v>2025</v>
      </c>
    </row>
    <row r="71" spans="1:14">
      <c r="A71" s="33">
        <v>70</v>
      </c>
      <c r="B71" s="33" t="s">
        <v>42</v>
      </c>
      <c r="C71" s="64" t="s">
        <v>43</v>
      </c>
      <c r="D71" s="33" t="s">
        <v>19</v>
      </c>
      <c r="E71" s="33" t="s">
        <v>81</v>
      </c>
      <c r="F71" s="33"/>
      <c r="G71" s="33" t="s">
        <v>21</v>
      </c>
      <c r="H71" s="66" t="s">
        <v>310</v>
      </c>
      <c r="I71" s="70">
        <f>800000/1430</f>
        <v>559.44055944055947</v>
      </c>
      <c r="J71" s="33" t="s">
        <v>14</v>
      </c>
      <c r="K71" s="65" t="s">
        <v>14</v>
      </c>
      <c r="L71" s="68" t="s">
        <v>14</v>
      </c>
      <c r="M71" s="94" t="s">
        <v>222</v>
      </c>
      <c r="N71" s="33">
        <v>2025</v>
      </c>
    </row>
    <row r="72" spans="1:14">
      <c r="A72" s="33">
        <v>71</v>
      </c>
      <c r="B72" s="114" t="s">
        <v>33</v>
      </c>
      <c r="C72" s="114" t="s">
        <v>34</v>
      </c>
      <c r="D72" s="115" t="s">
        <v>19</v>
      </c>
      <c r="E72" s="115" t="s">
        <v>81</v>
      </c>
      <c r="F72" s="115"/>
      <c r="G72" s="115" t="s">
        <v>21</v>
      </c>
      <c r="H72" s="116" t="s">
        <v>755</v>
      </c>
      <c r="I72" s="121">
        <f>8400000/1450</f>
        <v>5793.1034482758623</v>
      </c>
      <c r="J72" s="115" t="s">
        <v>14</v>
      </c>
      <c r="K72" s="117" t="s">
        <v>14</v>
      </c>
      <c r="L72" s="118" t="s">
        <v>14</v>
      </c>
      <c r="M72" s="119" t="s">
        <v>222</v>
      </c>
      <c r="N72" s="115">
        <v>2025</v>
      </c>
    </row>
    <row r="73" spans="1:14">
      <c r="A73" s="33">
        <v>72</v>
      </c>
      <c r="B73" s="115" t="s">
        <v>52</v>
      </c>
      <c r="C73" s="128" t="s">
        <v>62</v>
      </c>
      <c r="D73" s="115" t="s">
        <v>19</v>
      </c>
      <c r="E73" s="115" t="s">
        <v>81</v>
      </c>
      <c r="F73" s="115"/>
      <c r="G73" s="115" t="s">
        <v>21</v>
      </c>
      <c r="H73" s="116" t="s">
        <v>755</v>
      </c>
      <c r="I73" s="121">
        <f>4100000/1450</f>
        <v>2827.5862068965516</v>
      </c>
      <c r="J73" s="115" t="s">
        <v>14</v>
      </c>
      <c r="K73" s="117" t="s">
        <v>14</v>
      </c>
      <c r="L73" s="118" t="s">
        <v>14</v>
      </c>
      <c r="M73" s="119" t="s">
        <v>222</v>
      </c>
      <c r="N73" s="115">
        <v>2025</v>
      </c>
    </row>
    <row r="74" spans="1:14">
      <c r="A74" s="33">
        <v>73</v>
      </c>
      <c r="B74" s="33" t="s">
        <v>17</v>
      </c>
      <c r="C74" s="33" t="s">
        <v>25</v>
      </c>
      <c r="D74" s="33" t="s">
        <v>19</v>
      </c>
      <c r="E74" s="33" t="s">
        <v>81</v>
      </c>
      <c r="F74" s="33"/>
      <c r="G74" s="33" t="s">
        <v>21</v>
      </c>
      <c r="H74" s="66" t="s">
        <v>310</v>
      </c>
      <c r="I74" s="70">
        <f>3650000/1430</f>
        <v>2552.4475524475524</v>
      </c>
      <c r="J74" s="33" t="s">
        <v>14</v>
      </c>
      <c r="K74" s="65" t="s">
        <v>14</v>
      </c>
      <c r="L74" s="68" t="s">
        <v>14</v>
      </c>
      <c r="M74" s="94" t="s">
        <v>222</v>
      </c>
      <c r="N74" s="33">
        <v>2025</v>
      </c>
    </row>
    <row r="75" spans="1:14">
      <c r="A75" s="33">
        <v>74</v>
      </c>
      <c r="B75" s="33" t="s">
        <v>17</v>
      </c>
      <c r="C75" s="33" t="s">
        <v>22</v>
      </c>
      <c r="D75" s="33" t="s">
        <v>19</v>
      </c>
      <c r="E75" s="33" t="s">
        <v>81</v>
      </c>
      <c r="F75" s="33"/>
      <c r="G75" s="33" t="s">
        <v>21</v>
      </c>
      <c r="H75" s="66" t="s">
        <v>310</v>
      </c>
      <c r="I75" s="70">
        <f>4620000/1430</f>
        <v>3230.7692307692309</v>
      </c>
      <c r="J75" s="33" t="s">
        <v>14</v>
      </c>
      <c r="K75" s="65" t="s">
        <v>14</v>
      </c>
      <c r="L75" s="68" t="s">
        <v>14</v>
      </c>
      <c r="M75" s="94" t="s">
        <v>222</v>
      </c>
      <c r="N75" s="33">
        <v>2025</v>
      </c>
    </row>
    <row r="76" spans="1:14">
      <c r="A76" s="33">
        <v>75</v>
      </c>
      <c r="B76" s="33" t="s">
        <v>58</v>
      </c>
      <c r="C76" s="65" t="s">
        <v>59</v>
      </c>
      <c r="D76" s="33" t="s">
        <v>60</v>
      </c>
      <c r="E76" s="33" t="s">
        <v>100</v>
      </c>
      <c r="F76" s="33"/>
      <c r="G76" s="33" t="s">
        <v>64</v>
      </c>
      <c r="H76" s="66" t="s">
        <v>737</v>
      </c>
      <c r="I76" s="67">
        <v>248.27586206896552</v>
      </c>
      <c r="J76" s="33" t="s">
        <v>68</v>
      </c>
      <c r="K76" s="65">
        <v>45912</v>
      </c>
      <c r="L76" s="94" t="s">
        <v>14</v>
      </c>
      <c r="M76" s="94" t="s">
        <v>222</v>
      </c>
      <c r="N76" s="33">
        <v>2025</v>
      </c>
    </row>
    <row r="77" spans="1:14">
      <c r="A77" s="33">
        <v>76</v>
      </c>
      <c r="B77" s="33" t="s">
        <v>17</v>
      </c>
      <c r="C77" s="33" t="s">
        <v>22</v>
      </c>
      <c r="D77" s="33" t="s">
        <v>60</v>
      </c>
      <c r="E77" s="33" t="s">
        <v>100</v>
      </c>
      <c r="F77" s="33"/>
      <c r="G77" s="33" t="s">
        <v>64</v>
      </c>
      <c r="H77" s="33" t="s">
        <v>738</v>
      </c>
      <c r="I77" s="67">
        <v>3376.5517241379312</v>
      </c>
      <c r="J77" s="33" t="s">
        <v>68</v>
      </c>
      <c r="K77" s="65" t="s">
        <v>686</v>
      </c>
      <c r="L77" s="94" t="s">
        <v>14</v>
      </c>
      <c r="M77" s="94" t="s">
        <v>222</v>
      </c>
      <c r="N77" s="33">
        <v>2025</v>
      </c>
    </row>
    <row r="78" spans="1:14">
      <c r="A78" s="33">
        <v>77</v>
      </c>
      <c r="B78" s="33" t="s">
        <v>42</v>
      </c>
      <c r="C78" s="33" t="s">
        <v>50</v>
      </c>
      <c r="D78" s="33" t="s">
        <v>60</v>
      </c>
      <c r="E78" s="33" t="s">
        <v>100</v>
      </c>
      <c r="F78" s="33"/>
      <c r="G78" s="33" t="s">
        <v>64</v>
      </c>
      <c r="H78" s="33" t="s">
        <v>739</v>
      </c>
      <c r="I78" s="67">
        <v>395.86206896551727</v>
      </c>
      <c r="J78" s="33" t="s">
        <v>68</v>
      </c>
      <c r="K78" s="65">
        <v>45942</v>
      </c>
      <c r="L78" s="94" t="s">
        <v>14</v>
      </c>
      <c r="M78" s="94" t="s">
        <v>222</v>
      </c>
      <c r="N78" s="33">
        <v>2025</v>
      </c>
    </row>
    <row r="79" spans="1:14">
      <c r="A79" s="33">
        <v>78</v>
      </c>
      <c r="B79" s="33" t="s">
        <v>54</v>
      </c>
      <c r="C79" s="33" t="s">
        <v>55</v>
      </c>
      <c r="D79" s="33" t="s">
        <v>60</v>
      </c>
      <c r="E79" s="74" t="s">
        <v>100</v>
      </c>
      <c r="F79" s="33"/>
      <c r="G79" s="33" t="s">
        <v>21</v>
      </c>
      <c r="H79" s="33" t="s">
        <v>101</v>
      </c>
      <c r="I79" s="70">
        <v>4000</v>
      </c>
      <c r="J79" s="33" t="s">
        <v>14</v>
      </c>
      <c r="K79" s="65" t="s">
        <v>14</v>
      </c>
      <c r="L79" s="33" t="s">
        <v>14</v>
      </c>
      <c r="M79" s="64" t="s">
        <v>222</v>
      </c>
      <c r="N79" s="33">
        <v>2025</v>
      </c>
    </row>
    <row r="80" spans="1:14">
      <c r="A80" s="33">
        <v>79</v>
      </c>
      <c r="B80" s="33" t="s">
        <v>42</v>
      </c>
      <c r="C80" s="33" t="s">
        <v>45</v>
      </c>
      <c r="D80" s="33" t="s">
        <v>60</v>
      </c>
      <c r="E80" s="33" t="s">
        <v>100</v>
      </c>
      <c r="F80" s="33"/>
      <c r="G80" s="33" t="s">
        <v>244</v>
      </c>
      <c r="H80" s="33" t="s">
        <v>100</v>
      </c>
      <c r="I80" s="70">
        <v>5000</v>
      </c>
      <c r="J80" s="33" t="s">
        <v>328</v>
      </c>
      <c r="K80" s="65">
        <v>46028</v>
      </c>
      <c r="L80" s="33">
        <v>2025404887</v>
      </c>
      <c r="M80" s="64" t="s">
        <v>222</v>
      </c>
      <c r="N80" s="33">
        <v>2025</v>
      </c>
    </row>
    <row r="81" spans="1:14">
      <c r="A81" s="33">
        <v>80</v>
      </c>
      <c r="B81" s="33" t="s">
        <v>52</v>
      </c>
      <c r="C81" s="122" t="s">
        <v>62</v>
      </c>
      <c r="D81" s="33" t="s">
        <v>60</v>
      </c>
      <c r="E81" s="74" t="s">
        <v>100</v>
      </c>
      <c r="F81" s="33"/>
      <c r="G81" s="33" t="s">
        <v>244</v>
      </c>
      <c r="H81" s="33" t="s">
        <v>100</v>
      </c>
      <c r="I81" s="70">
        <v>10500</v>
      </c>
      <c r="J81" s="33" t="s">
        <v>283</v>
      </c>
      <c r="K81" s="65" t="s">
        <v>14</v>
      </c>
      <c r="L81" s="33" t="s">
        <v>14</v>
      </c>
      <c r="M81" s="64" t="s">
        <v>222</v>
      </c>
      <c r="N81" s="33">
        <v>2025</v>
      </c>
    </row>
    <row r="82" spans="1:14">
      <c r="A82" s="33">
        <v>81</v>
      </c>
      <c r="B82" s="33" t="s">
        <v>17</v>
      </c>
      <c r="C82" s="33" t="s">
        <v>25</v>
      </c>
      <c r="D82" s="33" t="s">
        <v>60</v>
      </c>
      <c r="E82" s="74" t="s">
        <v>100</v>
      </c>
      <c r="F82" s="33"/>
      <c r="G82" s="33" t="s">
        <v>244</v>
      </c>
      <c r="H82" s="33" t="s">
        <v>100</v>
      </c>
      <c r="I82" s="70">
        <v>5500</v>
      </c>
      <c r="J82" s="33" t="s">
        <v>14</v>
      </c>
      <c r="K82" s="65" t="s">
        <v>14</v>
      </c>
      <c r="L82" s="33" t="s">
        <v>14</v>
      </c>
      <c r="M82" s="64" t="s">
        <v>222</v>
      </c>
      <c r="N82" s="33">
        <v>2025</v>
      </c>
    </row>
    <row r="83" spans="1:14">
      <c r="A83" s="33">
        <v>82</v>
      </c>
      <c r="B83" s="33" t="s">
        <v>54</v>
      </c>
      <c r="C83" s="33" t="s">
        <v>55</v>
      </c>
      <c r="D83" s="33" t="s">
        <v>60</v>
      </c>
      <c r="E83" s="74" t="s">
        <v>100</v>
      </c>
      <c r="F83" s="33"/>
      <c r="G83" s="33" t="s">
        <v>271</v>
      </c>
      <c r="H83" s="33" t="s">
        <v>100</v>
      </c>
      <c r="I83" s="70">
        <v>1206.8965517241379</v>
      </c>
      <c r="J83" s="33">
        <v>42</v>
      </c>
      <c r="K83" s="65">
        <v>46022</v>
      </c>
      <c r="L83" s="33">
        <v>2026400083</v>
      </c>
      <c r="M83" s="64" t="s">
        <v>222</v>
      </c>
      <c r="N83" s="33">
        <v>2025</v>
      </c>
    </row>
    <row r="84" spans="1:14">
      <c r="A84" s="33">
        <v>83</v>
      </c>
      <c r="B84" s="80" t="s">
        <v>42</v>
      </c>
      <c r="C84" s="33" t="s">
        <v>51</v>
      </c>
      <c r="D84" s="33" t="s">
        <v>60</v>
      </c>
      <c r="E84" s="33" t="s">
        <v>86</v>
      </c>
      <c r="F84" s="33"/>
      <c r="G84" s="62" t="s">
        <v>93</v>
      </c>
      <c r="H84" s="62" t="s">
        <v>91</v>
      </c>
      <c r="I84" s="70">
        <v>1324.1379310344828</v>
      </c>
      <c r="J84" s="33" t="s">
        <v>320</v>
      </c>
      <c r="K84" s="65">
        <v>46022</v>
      </c>
      <c r="L84" s="33" t="s">
        <v>14</v>
      </c>
      <c r="M84" s="62" t="s">
        <v>222</v>
      </c>
      <c r="N84" s="33">
        <v>2025</v>
      </c>
    </row>
    <row r="85" spans="1:14">
      <c r="A85" s="33">
        <v>84</v>
      </c>
      <c r="B85" s="80" t="s">
        <v>61</v>
      </c>
      <c r="C85" s="122" t="s">
        <v>62</v>
      </c>
      <c r="D85" s="33" t="s">
        <v>19</v>
      </c>
      <c r="E85" s="33" t="s">
        <v>86</v>
      </c>
      <c r="F85" s="33"/>
      <c r="G85" s="62" t="s">
        <v>94</v>
      </c>
      <c r="H85" s="62" t="s">
        <v>91</v>
      </c>
      <c r="I85" s="70">
        <v>2080</v>
      </c>
      <c r="J85" s="33" t="s">
        <v>14</v>
      </c>
      <c r="K85" s="65" t="s">
        <v>14</v>
      </c>
      <c r="L85" s="33" t="s">
        <v>14</v>
      </c>
      <c r="M85" s="62" t="s">
        <v>222</v>
      </c>
      <c r="N85" s="33">
        <v>2025</v>
      </c>
    </row>
    <row r="86" spans="1:14">
      <c r="A86" s="33">
        <v>85</v>
      </c>
      <c r="B86" s="80" t="s">
        <v>17</v>
      </c>
      <c r="C86" s="33" t="s">
        <v>23</v>
      </c>
      <c r="D86" s="33" t="s">
        <v>19</v>
      </c>
      <c r="E86" s="33" t="s">
        <v>86</v>
      </c>
      <c r="F86" s="33"/>
      <c r="G86" s="62" t="s">
        <v>94</v>
      </c>
      <c r="H86" s="62" t="s">
        <v>91</v>
      </c>
      <c r="I86" s="70">
        <v>1620</v>
      </c>
      <c r="J86" s="33" t="s">
        <v>14</v>
      </c>
      <c r="K86" s="65" t="s">
        <v>14</v>
      </c>
      <c r="L86" s="33" t="s">
        <v>14</v>
      </c>
      <c r="M86" s="62" t="s">
        <v>222</v>
      </c>
      <c r="N86" s="33">
        <v>2025</v>
      </c>
    </row>
    <row r="87" spans="1:14">
      <c r="A87" s="33">
        <v>86</v>
      </c>
      <c r="B87" s="80" t="s">
        <v>17</v>
      </c>
      <c r="C87" s="33" t="s">
        <v>18</v>
      </c>
      <c r="D87" s="33" t="s">
        <v>19</v>
      </c>
      <c r="E87" s="33" t="s">
        <v>86</v>
      </c>
      <c r="F87" s="33"/>
      <c r="G87" s="33" t="s">
        <v>89</v>
      </c>
      <c r="H87" s="33" t="s">
        <v>276</v>
      </c>
      <c r="I87" s="67">
        <v>23994.954111888113</v>
      </c>
      <c r="J87" s="33" t="s">
        <v>14</v>
      </c>
      <c r="K87" s="65" t="s">
        <v>14</v>
      </c>
      <c r="L87" s="33" t="s">
        <v>14</v>
      </c>
      <c r="M87" s="33" t="s">
        <v>222</v>
      </c>
      <c r="N87" s="33">
        <v>2025</v>
      </c>
    </row>
    <row r="88" spans="1:14">
      <c r="A88" s="33">
        <v>87</v>
      </c>
      <c r="B88" s="80" t="s">
        <v>54</v>
      </c>
      <c r="C88" s="33" t="s">
        <v>55</v>
      </c>
      <c r="D88" s="33" t="s">
        <v>19</v>
      </c>
      <c r="E88" s="33" t="s">
        <v>86</v>
      </c>
      <c r="F88" s="33"/>
      <c r="G88" s="33" t="s">
        <v>89</v>
      </c>
      <c r="H88" s="33" t="s">
        <v>276</v>
      </c>
      <c r="I88" s="70">
        <v>7062.9370629370633</v>
      </c>
      <c r="J88" s="33" t="s">
        <v>14</v>
      </c>
      <c r="K88" s="65" t="s">
        <v>14</v>
      </c>
      <c r="L88" s="33" t="s">
        <v>14</v>
      </c>
      <c r="M88" s="33" t="s">
        <v>222</v>
      </c>
      <c r="N88" s="33">
        <v>2025</v>
      </c>
    </row>
    <row r="89" spans="1:14">
      <c r="A89" s="33">
        <v>88</v>
      </c>
      <c r="B89" s="80" t="s">
        <v>42</v>
      </c>
      <c r="C89" s="33" t="s">
        <v>43</v>
      </c>
      <c r="D89" s="33" t="s">
        <v>19</v>
      </c>
      <c r="E89" s="33" t="s">
        <v>86</v>
      </c>
      <c r="F89" s="33"/>
      <c r="G89" s="33" t="s">
        <v>89</v>
      </c>
      <c r="H89" s="33" t="s">
        <v>276</v>
      </c>
      <c r="I89" s="70">
        <v>1958.041958041958</v>
      </c>
      <c r="J89" s="33" t="s">
        <v>14</v>
      </c>
      <c r="K89" s="65" t="s">
        <v>14</v>
      </c>
      <c r="L89" s="33" t="s">
        <v>14</v>
      </c>
      <c r="M89" s="33" t="s">
        <v>222</v>
      </c>
      <c r="N89" s="33">
        <v>2025</v>
      </c>
    </row>
    <row r="90" spans="1:14">
      <c r="A90" s="33">
        <v>89</v>
      </c>
      <c r="B90" s="80" t="s">
        <v>35</v>
      </c>
      <c r="C90" s="33" t="s">
        <v>36</v>
      </c>
      <c r="D90" s="33" t="s">
        <v>19</v>
      </c>
      <c r="E90" s="74" t="s">
        <v>86</v>
      </c>
      <c r="F90" s="33"/>
      <c r="G90" s="33" t="s">
        <v>89</v>
      </c>
      <c r="H90" s="33" t="s">
        <v>276</v>
      </c>
      <c r="I90" s="70">
        <v>5396.2703916083919</v>
      </c>
      <c r="J90" s="33" t="s">
        <v>14</v>
      </c>
      <c r="K90" s="65" t="s">
        <v>14</v>
      </c>
      <c r="L90" s="33" t="s">
        <v>14</v>
      </c>
      <c r="M90" s="64" t="s">
        <v>222</v>
      </c>
      <c r="N90" s="33">
        <v>2025</v>
      </c>
    </row>
    <row r="91" spans="1:14">
      <c r="A91" s="33">
        <v>90</v>
      </c>
      <c r="B91" s="80" t="s">
        <v>35</v>
      </c>
      <c r="C91" s="33" t="s">
        <v>37</v>
      </c>
      <c r="D91" s="33" t="s">
        <v>19</v>
      </c>
      <c r="E91" s="74" t="s">
        <v>86</v>
      </c>
      <c r="F91" s="33"/>
      <c r="G91" s="33" t="s">
        <v>89</v>
      </c>
      <c r="H91" s="33" t="s">
        <v>276</v>
      </c>
      <c r="I91" s="67">
        <v>6993.0069930069931</v>
      </c>
      <c r="J91" s="33" t="s">
        <v>14</v>
      </c>
      <c r="K91" s="65" t="s">
        <v>14</v>
      </c>
      <c r="L91" s="33" t="s">
        <v>14</v>
      </c>
      <c r="M91" s="64" t="s">
        <v>222</v>
      </c>
      <c r="N91" s="33">
        <v>2025</v>
      </c>
    </row>
    <row r="92" spans="1:14">
      <c r="A92" s="33">
        <v>91</v>
      </c>
      <c r="B92" s="80" t="s">
        <v>42</v>
      </c>
      <c r="C92" s="33" t="s">
        <v>44</v>
      </c>
      <c r="D92" s="33" t="s">
        <v>19</v>
      </c>
      <c r="E92" s="33" t="s">
        <v>86</v>
      </c>
      <c r="F92" s="33"/>
      <c r="G92" s="33" t="s">
        <v>89</v>
      </c>
      <c r="H92" s="33" t="s">
        <v>276</v>
      </c>
      <c r="I92" s="70">
        <v>2237.7622377622379</v>
      </c>
      <c r="J92" s="33" t="s">
        <v>14</v>
      </c>
      <c r="K92" s="65" t="s">
        <v>14</v>
      </c>
      <c r="L92" s="33" t="s">
        <v>14</v>
      </c>
      <c r="M92" s="64" t="s">
        <v>222</v>
      </c>
      <c r="N92" s="33">
        <v>2025</v>
      </c>
    </row>
    <row r="93" spans="1:14">
      <c r="A93" s="33">
        <v>92</v>
      </c>
      <c r="B93" s="80" t="s">
        <v>42</v>
      </c>
      <c r="C93" s="33" t="s">
        <v>45</v>
      </c>
      <c r="D93" s="33" t="s">
        <v>19</v>
      </c>
      <c r="E93" s="74" t="s">
        <v>86</v>
      </c>
      <c r="F93" s="33"/>
      <c r="G93" s="33" t="s">
        <v>89</v>
      </c>
      <c r="H93" s="33" t="s">
        <v>276</v>
      </c>
      <c r="I93" s="70">
        <v>5422.2701048951049</v>
      </c>
      <c r="J93" s="33" t="s">
        <v>14</v>
      </c>
      <c r="K93" s="65" t="s">
        <v>14</v>
      </c>
      <c r="L93" s="33" t="s">
        <v>14</v>
      </c>
      <c r="M93" s="64" t="s">
        <v>222</v>
      </c>
      <c r="N93" s="33">
        <v>2025</v>
      </c>
    </row>
    <row r="94" spans="1:14">
      <c r="A94" s="33">
        <v>93</v>
      </c>
      <c r="B94" s="80" t="s">
        <v>33</v>
      </c>
      <c r="C94" s="74" t="s">
        <v>34</v>
      </c>
      <c r="D94" s="33" t="s">
        <v>19</v>
      </c>
      <c r="E94" s="74" t="s">
        <v>86</v>
      </c>
      <c r="F94" s="33"/>
      <c r="G94" s="74" t="s">
        <v>89</v>
      </c>
      <c r="H94" s="33" t="s">
        <v>276</v>
      </c>
      <c r="I94" s="70">
        <v>8504.5723636363637</v>
      </c>
      <c r="J94" s="33" t="s">
        <v>14</v>
      </c>
      <c r="K94" s="65" t="s">
        <v>14</v>
      </c>
      <c r="L94" s="33" t="s">
        <v>14</v>
      </c>
      <c r="M94" s="64" t="s">
        <v>222</v>
      </c>
      <c r="N94" s="33">
        <v>2025</v>
      </c>
    </row>
    <row r="95" spans="1:14">
      <c r="A95" s="33">
        <v>94</v>
      </c>
      <c r="B95" s="80" t="s">
        <v>61</v>
      </c>
      <c r="C95" s="122" t="s">
        <v>62</v>
      </c>
      <c r="D95" s="33" t="s">
        <v>19</v>
      </c>
      <c r="E95" s="74" t="s">
        <v>86</v>
      </c>
      <c r="F95" s="33"/>
      <c r="G95" s="33" t="s">
        <v>89</v>
      </c>
      <c r="H95" s="33" t="s">
        <v>276</v>
      </c>
      <c r="I95" s="70">
        <v>33360.863433566432</v>
      </c>
      <c r="J95" s="33" t="s">
        <v>14</v>
      </c>
      <c r="K95" s="65" t="s">
        <v>14</v>
      </c>
      <c r="L95" s="33" t="s">
        <v>14</v>
      </c>
      <c r="M95" s="64" t="s">
        <v>222</v>
      </c>
      <c r="N95" s="33">
        <v>2025</v>
      </c>
    </row>
    <row r="96" spans="1:14">
      <c r="A96" s="33">
        <v>95</v>
      </c>
      <c r="B96" s="80" t="s">
        <v>17</v>
      </c>
      <c r="C96" s="33" t="s">
        <v>22</v>
      </c>
      <c r="D96" s="33" t="s">
        <v>19</v>
      </c>
      <c r="E96" s="74" t="s">
        <v>86</v>
      </c>
      <c r="F96" s="33"/>
      <c r="G96" s="33" t="s">
        <v>89</v>
      </c>
      <c r="H96" s="33" t="s">
        <v>276</v>
      </c>
      <c r="I96" s="70">
        <v>12312.860643356642</v>
      </c>
      <c r="J96" s="33" t="s">
        <v>14</v>
      </c>
      <c r="K96" s="65" t="s">
        <v>14</v>
      </c>
      <c r="L96" s="33" t="s">
        <v>14</v>
      </c>
      <c r="M96" s="64" t="s">
        <v>222</v>
      </c>
      <c r="N96" s="33">
        <v>2025</v>
      </c>
    </row>
    <row r="97" spans="1:14">
      <c r="A97" s="33">
        <v>96</v>
      </c>
      <c r="B97" s="80" t="s">
        <v>17</v>
      </c>
      <c r="C97" s="33" t="s">
        <v>92</v>
      </c>
      <c r="D97" s="33" t="s">
        <v>19</v>
      </c>
      <c r="E97" s="33" t="s">
        <v>86</v>
      </c>
      <c r="F97" s="33"/>
      <c r="G97" s="33" t="s">
        <v>89</v>
      </c>
      <c r="H97" s="33" t="s">
        <v>276</v>
      </c>
      <c r="I97" s="70">
        <v>6293.7062937062938</v>
      </c>
      <c r="J97" s="33" t="s">
        <v>14</v>
      </c>
      <c r="K97" s="65" t="s">
        <v>14</v>
      </c>
      <c r="L97" s="33" t="s">
        <v>14</v>
      </c>
      <c r="M97" s="64" t="s">
        <v>222</v>
      </c>
      <c r="N97" s="33">
        <v>2025</v>
      </c>
    </row>
    <row r="98" spans="1:14">
      <c r="A98" s="33">
        <v>97</v>
      </c>
      <c r="B98" s="80" t="s">
        <v>29</v>
      </c>
      <c r="C98" s="33" t="s">
        <v>30</v>
      </c>
      <c r="D98" s="33" t="s">
        <v>19</v>
      </c>
      <c r="E98" s="33" t="s">
        <v>86</v>
      </c>
      <c r="F98" s="33"/>
      <c r="G98" s="33" t="s">
        <v>89</v>
      </c>
      <c r="H98" s="33" t="s">
        <v>276</v>
      </c>
      <c r="I98" s="70">
        <v>2197.4179720279722</v>
      </c>
      <c r="J98" s="33" t="s">
        <v>14</v>
      </c>
      <c r="K98" s="65" t="s">
        <v>14</v>
      </c>
      <c r="L98" s="33" t="s">
        <v>14</v>
      </c>
      <c r="M98" s="64" t="s">
        <v>222</v>
      </c>
      <c r="N98" s="33">
        <v>2025</v>
      </c>
    </row>
    <row r="99" spans="1:14">
      <c r="A99" s="33">
        <v>98</v>
      </c>
      <c r="B99" s="80" t="s">
        <v>35</v>
      </c>
      <c r="C99" s="33" t="s">
        <v>41</v>
      </c>
      <c r="D99" s="33" t="s">
        <v>19</v>
      </c>
      <c r="E99" s="74" t="s">
        <v>86</v>
      </c>
      <c r="F99" s="33"/>
      <c r="G99" s="33" t="s">
        <v>89</v>
      </c>
      <c r="H99" s="33" t="s">
        <v>276</v>
      </c>
      <c r="I99" s="70">
        <v>139.86013986013987</v>
      </c>
      <c r="J99" s="33" t="s">
        <v>14</v>
      </c>
      <c r="K99" s="75" t="s">
        <v>14</v>
      </c>
      <c r="L99" s="33" t="s">
        <v>14</v>
      </c>
      <c r="M99" s="64" t="s">
        <v>222</v>
      </c>
      <c r="N99" s="33">
        <v>2025</v>
      </c>
    </row>
    <row r="100" spans="1:14">
      <c r="A100" s="33">
        <v>99</v>
      </c>
      <c r="B100" s="80" t="s">
        <v>42</v>
      </c>
      <c r="C100" s="33" t="s">
        <v>47</v>
      </c>
      <c r="D100" s="33" t="s">
        <v>19</v>
      </c>
      <c r="E100" s="74" t="s">
        <v>86</v>
      </c>
      <c r="F100" s="33"/>
      <c r="G100" s="33" t="s">
        <v>89</v>
      </c>
      <c r="H100" s="33" t="s">
        <v>276</v>
      </c>
      <c r="I100" s="67">
        <v>3496.5034965034965</v>
      </c>
      <c r="J100" s="33" t="s">
        <v>14</v>
      </c>
      <c r="K100" s="65" t="s">
        <v>14</v>
      </c>
      <c r="L100" s="33" t="s">
        <v>14</v>
      </c>
      <c r="M100" s="64" t="s">
        <v>222</v>
      </c>
      <c r="N100" s="33">
        <v>2025</v>
      </c>
    </row>
    <row r="101" spans="1:14">
      <c r="A101" s="33">
        <v>100</v>
      </c>
      <c r="B101" s="80" t="s">
        <v>42</v>
      </c>
      <c r="C101" s="122" t="s">
        <v>285</v>
      </c>
      <c r="D101" s="33" t="s">
        <v>19</v>
      </c>
      <c r="E101" s="74" t="s">
        <v>86</v>
      </c>
      <c r="F101" s="33"/>
      <c r="G101" s="33" t="s">
        <v>89</v>
      </c>
      <c r="H101" s="73" t="s">
        <v>276</v>
      </c>
      <c r="I101" s="70">
        <v>2867.132867132867</v>
      </c>
      <c r="J101" s="33" t="s">
        <v>14</v>
      </c>
      <c r="K101" s="65" t="s">
        <v>14</v>
      </c>
      <c r="L101" s="33" t="s">
        <v>14</v>
      </c>
      <c r="M101" s="64" t="s">
        <v>222</v>
      </c>
      <c r="N101" s="33">
        <v>2025</v>
      </c>
    </row>
    <row r="102" spans="1:14">
      <c r="A102" s="33">
        <v>101</v>
      </c>
      <c r="B102" s="80" t="s">
        <v>42</v>
      </c>
      <c r="C102" s="33" t="s">
        <v>50</v>
      </c>
      <c r="D102" s="33" t="s">
        <v>19</v>
      </c>
      <c r="E102" s="74" t="s">
        <v>86</v>
      </c>
      <c r="F102" s="33"/>
      <c r="G102" s="33" t="s">
        <v>89</v>
      </c>
      <c r="H102" s="73" t="s">
        <v>276</v>
      </c>
      <c r="I102" s="70">
        <v>34508.00225174825</v>
      </c>
      <c r="J102" s="33" t="s">
        <v>14</v>
      </c>
      <c r="K102" s="65" t="s">
        <v>14</v>
      </c>
      <c r="L102" s="33" t="s">
        <v>14</v>
      </c>
      <c r="M102" s="64" t="s">
        <v>222</v>
      </c>
      <c r="N102" s="33">
        <v>2025</v>
      </c>
    </row>
    <row r="103" spans="1:14">
      <c r="A103" s="33">
        <v>102</v>
      </c>
      <c r="B103" s="80" t="s">
        <v>42</v>
      </c>
      <c r="C103" s="33" t="s">
        <v>49</v>
      </c>
      <c r="D103" s="33" t="s">
        <v>19</v>
      </c>
      <c r="E103" s="33" t="s">
        <v>86</v>
      </c>
      <c r="F103" s="33"/>
      <c r="G103" s="33" t="s">
        <v>89</v>
      </c>
      <c r="H103" s="33" t="s">
        <v>276</v>
      </c>
      <c r="I103" s="70">
        <v>2517.4825174825173</v>
      </c>
      <c r="J103" s="33" t="s">
        <v>14</v>
      </c>
      <c r="K103" s="65" t="s">
        <v>14</v>
      </c>
      <c r="L103" s="33" t="s">
        <v>14</v>
      </c>
      <c r="M103" s="64" t="s">
        <v>222</v>
      </c>
      <c r="N103" s="33">
        <v>2025</v>
      </c>
    </row>
    <row r="104" spans="1:14">
      <c r="A104" s="33">
        <v>103</v>
      </c>
      <c r="B104" s="80" t="s">
        <v>17</v>
      </c>
      <c r="C104" s="33" t="s">
        <v>24</v>
      </c>
      <c r="D104" s="33" t="s">
        <v>19</v>
      </c>
      <c r="E104" s="74" t="s">
        <v>86</v>
      </c>
      <c r="F104" s="33"/>
      <c r="G104" s="33" t="s">
        <v>89</v>
      </c>
      <c r="H104" s="33" t="s">
        <v>276</v>
      </c>
      <c r="I104" s="70">
        <v>4803.6579020979016</v>
      </c>
      <c r="J104" s="33" t="s">
        <v>14</v>
      </c>
      <c r="K104" s="65" t="s">
        <v>14</v>
      </c>
      <c r="L104" s="33" t="s">
        <v>14</v>
      </c>
      <c r="M104" s="64" t="s">
        <v>222</v>
      </c>
      <c r="N104" s="33">
        <v>2025</v>
      </c>
    </row>
    <row r="105" spans="1:14">
      <c r="A105" s="33">
        <v>104</v>
      </c>
      <c r="B105" s="80" t="s">
        <v>17</v>
      </c>
      <c r="C105" s="33" t="s">
        <v>25</v>
      </c>
      <c r="D105" s="33" t="s">
        <v>19</v>
      </c>
      <c r="E105" s="74" t="s">
        <v>86</v>
      </c>
      <c r="F105" s="33"/>
      <c r="G105" s="33" t="s">
        <v>89</v>
      </c>
      <c r="H105" s="33" t="s">
        <v>276</v>
      </c>
      <c r="I105" s="70">
        <v>19417.755734265735</v>
      </c>
      <c r="J105" s="33" t="s">
        <v>14</v>
      </c>
      <c r="K105" s="65" t="s">
        <v>14</v>
      </c>
      <c r="L105" s="33" t="s">
        <v>14</v>
      </c>
      <c r="M105" s="64" t="s">
        <v>222</v>
      </c>
      <c r="N105" s="33">
        <v>2025</v>
      </c>
    </row>
    <row r="106" spans="1:14">
      <c r="A106" s="33">
        <v>105</v>
      </c>
      <c r="B106" s="80" t="s">
        <v>17</v>
      </c>
      <c r="C106" s="33" t="s">
        <v>18</v>
      </c>
      <c r="D106" s="33" t="s">
        <v>19</v>
      </c>
      <c r="E106" s="74" t="s">
        <v>86</v>
      </c>
      <c r="F106" s="33"/>
      <c r="G106" s="33" t="s">
        <v>87</v>
      </c>
      <c r="H106" s="33" t="s">
        <v>276</v>
      </c>
      <c r="I106" s="70">
        <v>12847.901776223776</v>
      </c>
      <c r="J106" s="33" t="s">
        <v>14</v>
      </c>
      <c r="K106" s="65" t="s">
        <v>14</v>
      </c>
      <c r="L106" s="33" t="s">
        <v>14</v>
      </c>
      <c r="M106" s="64" t="s">
        <v>222</v>
      </c>
      <c r="N106" s="33">
        <v>2025</v>
      </c>
    </row>
    <row r="107" spans="1:14">
      <c r="A107" s="33">
        <v>106</v>
      </c>
      <c r="B107" s="80" t="s">
        <v>54</v>
      </c>
      <c r="C107" s="33" t="s">
        <v>55</v>
      </c>
      <c r="D107" s="33" t="s">
        <v>19</v>
      </c>
      <c r="E107" s="74" t="s">
        <v>86</v>
      </c>
      <c r="F107" s="33"/>
      <c r="G107" s="33" t="s">
        <v>87</v>
      </c>
      <c r="H107" s="33" t="s">
        <v>276</v>
      </c>
      <c r="I107" s="70">
        <v>26655.710881118885</v>
      </c>
      <c r="J107" s="33" t="s">
        <v>14</v>
      </c>
      <c r="K107" s="65" t="s">
        <v>14</v>
      </c>
      <c r="L107" s="33" t="s">
        <v>14</v>
      </c>
      <c r="M107" s="64" t="s">
        <v>222</v>
      </c>
      <c r="N107" s="33">
        <v>2025</v>
      </c>
    </row>
    <row r="108" spans="1:14">
      <c r="A108" s="33">
        <v>107</v>
      </c>
      <c r="B108" s="80" t="s">
        <v>42</v>
      </c>
      <c r="C108" s="33" t="s">
        <v>43</v>
      </c>
      <c r="D108" s="33" t="s">
        <v>19</v>
      </c>
      <c r="E108" s="74" t="s">
        <v>86</v>
      </c>
      <c r="F108" s="33"/>
      <c r="G108" s="33" t="s">
        <v>87</v>
      </c>
      <c r="H108" s="33" t="s">
        <v>276</v>
      </c>
      <c r="I108" s="70">
        <v>17872.980825174825</v>
      </c>
      <c r="J108" s="33" t="s">
        <v>14</v>
      </c>
      <c r="K108" s="65" t="s">
        <v>14</v>
      </c>
      <c r="L108" s="33" t="s">
        <v>14</v>
      </c>
      <c r="M108" s="64" t="s">
        <v>222</v>
      </c>
      <c r="N108" s="33">
        <v>2025</v>
      </c>
    </row>
    <row r="109" spans="1:14">
      <c r="A109" s="33">
        <v>108</v>
      </c>
      <c r="B109" s="80" t="s">
        <v>35</v>
      </c>
      <c r="C109" s="33" t="s">
        <v>36</v>
      </c>
      <c r="D109" s="33" t="s">
        <v>19</v>
      </c>
      <c r="E109" s="33" t="s">
        <v>86</v>
      </c>
      <c r="F109" s="33"/>
      <c r="G109" s="33" t="s">
        <v>87</v>
      </c>
      <c r="H109" s="33" t="s">
        <v>276</v>
      </c>
      <c r="I109" s="70">
        <v>3030.3029370629374</v>
      </c>
      <c r="J109" s="33" t="s">
        <v>14</v>
      </c>
      <c r="K109" s="65" t="s">
        <v>14</v>
      </c>
      <c r="L109" s="33" t="s">
        <v>14</v>
      </c>
      <c r="M109" s="64" t="s">
        <v>222</v>
      </c>
      <c r="N109" s="33">
        <v>2025</v>
      </c>
    </row>
    <row r="110" spans="1:14">
      <c r="A110" s="33">
        <v>109</v>
      </c>
      <c r="B110" s="80" t="s">
        <v>35</v>
      </c>
      <c r="C110" s="33" t="s">
        <v>37</v>
      </c>
      <c r="D110" s="33" t="s">
        <v>19</v>
      </c>
      <c r="E110" s="74" t="s">
        <v>86</v>
      </c>
      <c r="F110" s="33"/>
      <c r="G110" s="33" t="s">
        <v>87</v>
      </c>
      <c r="H110" s="33" t="s">
        <v>276</v>
      </c>
      <c r="I110" s="70">
        <v>18671.328258741258</v>
      </c>
      <c r="J110" s="33" t="s">
        <v>14</v>
      </c>
      <c r="K110" s="65" t="s">
        <v>14</v>
      </c>
      <c r="L110" s="33" t="s">
        <v>14</v>
      </c>
      <c r="M110" s="64" t="s">
        <v>222</v>
      </c>
      <c r="N110" s="33">
        <v>2025</v>
      </c>
    </row>
    <row r="111" spans="1:14">
      <c r="A111" s="33">
        <v>110</v>
      </c>
      <c r="B111" s="80" t="s">
        <v>42</v>
      </c>
      <c r="C111" s="74" t="s">
        <v>44</v>
      </c>
      <c r="D111" s="33" t="s">
        <v>19</v>
      </c>
      <c r="E111" s="74" t="s">
        <v>86</v>
      </c>
      <c r="F111" s="33"/>
      <c r="G111" s="74" t="s">
        <v>87</v>
      </c>
      <c r="H111" s="33" t="s">
        <v>276</v>
      </c>
      <c r="I111" s="70">
        <v>11687.936783216783</v>
      </c>
      <c r="J111" s="33" t="s">
        <v>14</v>
      </c>
      <c r="K111" s="65" t="s">
        <v>14</v>
      </c>
      <c r="L111" s="33" t="s">
        <v>14</v>
      </c>
      <c r="M111" s="64" t="s">
        <v>222</v>
      </c>
      <c r="N111" s="33">
        <v>2025</v>
      </c>
    </row>
    <row r="112" spans="1:14">
      <c r="A112" s="33">
        <v>111</v>
      </c>
      <c r="B112" s="80" t="s">
        <v>42</v>
      </c>
      <c r="C112" s="33" t="s">
        <v>45</v>
      </c>
      <c r="D112" s="33" t="s">
        <v>19</v>
      </c>
      <c r="E112" s="74" t="s">
        <v>86</v>
      </c>
      <c r="F112" s="33"/>
      <c r="G112" s="33" t="s">
        <v>87</v>
      </c>
      <c r="H112" s="33" t="s">
        <v>276</v>
      </c>
      <c r="I112" s="70">
        <v>24424.53320979021</v>
      </c>
      <c r="J112" s="33" t="s">
        <v>14</v>
      </c>
      <c r="K112" s="65" t="s">
        <v>14</v>
      </c>
      <c r="L112" s="33" t="s">
        <v>14</v>
      </c>
      <c r="M112" s="64" t="s">
        <v>222</v>
      </c>
      <c r="N112" s="33">
        <v>2025</v>
      </c>
    </row>
    <row r="113" spans="1:14">
      <c r="A113" s="33">
        <v>112</v>
      </c>
      <c r="B113" s="80" t="s">
        <v>33</v>
      </c>
      <c r="C113" s="33" t="s">
        <v>34</v>
      </c>
      <c r="D113" s="33" t="s">
        <v>19</v>
      </c>
      <c r="E113" s="74" t="s">
        <v>86</v>
      </c>
      <c r="F113" s="33"/>
      <c r="G113" s="33" t="s">
        <v>87</v>
      </c>
      <c r="H113" s="33" t="s">
        <v>276</v>
      </c>
      <c r="I113" s="70">
        <v>29513.439657342657</v>
      </c>
      <c r="J113" s="33" t="s">
        <v>14</v>
      </c>
      <c r="K113" s="65" t="s">
        <v>14</v>
      </c>
      <c r="L113" s="33" t="s">
        <v>14</v>
      </c>
      <c r="M113" s="64" t="s">
        <v>222</v>
      </c>
      <c r="N113" s="33">
        <v>2025</v>
      </c>
    </row>
    <row r="114" spans="1:14">
      <c r="A114" s="33">
        <v>113</v>
      </c>
      <c r="B114" s="80" t="s">
        <v>61</v>
      </c>
      <c r="C114" s="122" t="s">
        <v>62</v>
      </c>
      <c r="D114" s="33" t="s">
        <v>19</v>
      </c>
      <c r="E114" s="74" t="s">
        <v>86</v>
      </c>
      <c r="F114" s="33"/>
      <c r="G114" s="33" t="s">
        <v>87</v>
      </c>
      <c r="H114" s="33" t="s">
        <v>276</v>
      </c>
      <c r="I114" s="70">
        <v>91309.475818181818</v>
      </c>
      <c r="J114" s="33" t="s">
        <v>14</v>
      </c>
      <c r="K114" s="65" t="s">
        <v>14</v>
      </c>
      <c r="L114" s="33" t="s">
        <v>14</v>
      </c>
      <c r="M114" s="64" t="s">
        <v>222</v>
      </c>
      <c r="N114" s="33">
        <v>2025</v>
      </c>
    </row>
    <row r="115" spans="1:14">
      <c r="A115" s="33">
        <v>114</v>
      </c>
      <c r="B115" s="80" t="s">
        <v>58</v>
      </c>
      <c r="C115" s="33" t="s">
        <v>59</v>
      </c>
      <c r="D115" s="33" t="s">
        <v>19</v>
      </c>
      <c r="E115" s="33" t="s">
        <v>86</v>
      </c>
      <c r="F115" s="33"/>
      <c r="G115" s="33" t="s">
        <v>87</v>
      </c>
      <c r="H115" s="33" t="s">
        <v>276</v>
      </c>
      <c r="I115" s="70">
        <v>6107.2258951048943</v>
      </c>
      <c r="J115" s="33" t="s">
        <v>14</v>
      </c>
      <c r="K115" s="65" t="s">
        <v>14</v>
      </c>
      <c r="L115" s="33" t="s">
        <v>14</v>
      </c>
      <c r="M115" s="33" t="s">
        <v>222</v>
      </c>
      <c r="N115" s="33">
        <v>2025</v>
      </c>
    </row>
    <row r="116" spans="1:14">
      <c r="A116" s="33">
        <v>115</v>
      </c>
      <c r="B116" s="80" t="s">
        <v>17</v>
      </c>
      <c r="C116" s="33" t="s">
        <v>22</v>
      </c>
      <c r="D116" s="33" t="s">
        <v>19</v>
      </c>
      <c r="E116" s="33" t="s">
        <v>86</v>
      </c>
      <c r="F116" s="33"/>
      <c r="G116" s="33" t="s">
        <v>87</v>
      </c>
      <c r="H116" s="33" t="s">
        <v>276</v>
      </c>
      <c r="I116" s="70">
        <v>4905.0115034965038</v>
      </c>
      <c r="J116" s="33" t="s">
        <v>14</v>
      </c>
      <c r="K116" s="65" t="s">
        <v>14</v>
      </c>
      <c r="L116" s="33" t="s">
        <v>14</v>
      </c>
      <c r="M116" s="33" t="s">
        <v>222</v>
      </c>
      <c r="N116" s="33">
        <v>2025</v>
      </c>
    </row>
    <row r="117" spans="1:14">
      <c r="A117" s="33">
        <v>116</v>
      </c>
      <c r="B117" s="80" t="s">
        <v>42</v>
      </c>
      <c r="C117" s="33" t="s">
        <v>46</v>
      </c>
      <c r="D117" s="33" t="s">
        <v>19</v>
      </c>
      <c r="E117" s="33" t="s">
        <v>86</v>
      </c>
      <c r="F117" s="33"/>
      <c r="G117" s="33" t="s">
        <v>87</v>
      </c>
      <c r="H117" s="33" t="s">
        <v>276</v>
      </c>
      <c r="I117" s="70">
        <v>10792.540447552448</v>
      </c>
      <c r="J117" s="33" t="s">
        <v>14</v>
      </c>
      <c r="K117" s="65" t="s">
        <v>14</v>
      </c>
      <c r="L117" s="33" t="s">
        <v>14</v>
      </c>
      <c r="M117" s="64" t="s">
        <v>222</v>
      </c>
      <c r="N117" s="33">
        <v>2025</v>
      </c>
    </row>
    <row r="118" spans="1:14">
      <c r="A118" s="33">
        <v>117</v>
      </c>
      <c r="B118" s="80" t="s">
        <v>29</v>
      </c>
      <c r="C118" s="33" t="s">
        <v>30</v>
      </c>
      <c r="D118" s="33" t="s">
        <v>19</v>
      </c>
      <c r="E118" s="33" t="s">
        <v>86</v>
      </c>
      <c r="F118" s="33"/>
      <c r="G118" s="33" t="s">
        <v>87</v>
      </c>
      <c r="H118" s="33" t="s">
        <v>276</v>
      </c>
      <c r="I118" s="70">
        <v>5119.477713286713</v>
      </c>
      <c r="J118" s="33" t="s">
        <v>14</v>
      </c>
      <c r="K118" s="65" t="s">
        <v>14</v>
      </c>
      <c r="L118" s="33" t="s">
        <v>14</v>
      </c>
      <c r="M118" s="33" t="s">
        <v>222</v>
      </c>
      <c r="N118" s="33">
        <v>2025</v>
      </c>
    </row>
    <row r="119" spans="1:14">
      <c r="A119" s="33">
        <v>118</v>
      </c>
      <c r="B119" s="80" t="s">
        <v>35</v>
      </c>
      <c r="C119" s="33" t="s">
        <v>39</v>
      </c>
      <c r="D119" s="33" t="s">
        <v>19</v>
      </c>
      <c r="E119" s="33" t="s">
        <v>86</v>
      </c>
      <c r="F119" s="33"/>
      <c r="G119" s="33" t="s">
        <v>87</v>
      </c>
      <c r="H119" s="33" t="s">
        <v>276</v>
      </c>
      <c r="I119" s="70">
        <v>1893.9393356643357</v>
      </c>
      <c r="J119" s="33" t="s">
        <v>14</v>
      </c>
      <c r="K119" s="65" t="s">
        <v>14</v>
      </c>
      <c r="L119" s="33" t="s">
        <v>14</v>
      </c>
      <c r="M119" s="33" t="s">
        <v>222</v>
      </c>
      <c r="N119" s="33">
        <v>2025</v>
      </c>
    </row>
    <row r="120" spans="1:14">
      <c r="A120" s="33">
        <v>119</v>
      </c>
      <c r="B120" s="80" t="s">
        <v>35</v>
      </c>
      <c r="C120" s="33" t="s">
        <v>41</v>
      </c>
      <c r="D120" s="33" t="s">
        <v>19</v>
      </c>
      <c r="E120" s="33" t="s">
        <v>86</v>
      </c>
      <c r="F120" s="33"/>
      <c r="G120" s="33" t="s">
        <v>87</v>
      </c>
      <c r="H120" s="33" t="s">
        <v>276</v>
      </c>
      <c r="I120" s="70">
        <v>3021.5616783216783</v>
      </c>
      <c r="J120" s="33" t="s">
        <v>14</v>
      </c>
      <c r="K120" s="65" t="s">
        <v>14</v>
      </c>
      <c r="L120" s="33" t="s">
        <v>14</v>
      </c>
      <c r="M120" s="33" t="s">
        <v>222</v>
      </c>
      <c r="N120" s="33">
        <v>2025</v>
      </c>
    </row>
    <row r="121" spans="1:14">
      <c r="A121" s="33">
        <v>120</v>
      </c>
      <c r="B121" s="80" t="s">
        <v>42</v>
      </c>
      <c r="C121" s="33" t="s">
        <v>47</v>
      </c>
      <c r="D121" s="33" t="s">
        <v>19</v>
      </c>
      <c r="E121" s="33" t="s">
        <v>86</v>
      </c>
      <c r="F121" s="33"/>
      <c r="G121" s="33" t="s">
        <v>87</v>
      </c>
      <c r="H121" s="33" t="s">
        <v>276</v>
      </c>
      <c r="I121" s="70">
        <v>4708.6245594405591</v>
      </c>
      <c r="J121" s="33" t="s">
        <v>14</v>
      </c>
      <c r="K121" s="65" t="s">
        <v>14</v>
      </c>
      <c r="L121" s="33" t="s">
        <v>14</v>
      </c>
      <c r="M121" s="33" t="s">
        <v>222</v>
      </c>
      <c r="N121" s="33">
        <v>2025</v>
      </c>
    </row>
    <row r="122" spans="1:14">
      <c r="A122" s="33">
        <v>121</v>
      </c>
      <c r="B122" s="80" t="s">
        <v>42</v>
      </c>
      <c r="C122" s="122" t="s">
        <v>285</v>
      </c>
      <c r="D122" s="33" t="s">
        <v>19</v>
      </c>
      <c r="E122" s="33" t="s">
        <v>86</v>
      </c>
      <c r="F122" s="33"/>
      <c r="G122" s="33" t="s">
        <v>87</v>
      </c>
      <c r="H122" s="33" t="s">
        <v>276</v>
      </c>
      <c r="I122" s="70">
        <v>17217.423818181818</v>
      </c>
      <c r="J122" s="33" t="s">
        <v>14</v>
      </c>
      <c r="K122" s="65" t="s">
        <v>14</v>
      </c>
      <c r="L122" s="33" t="s">
        <v>14</v>
      </c>
      <c r="M122" s="33" t="s">
        <v>222</v>
      </c>
      <c r="N122" s="33">
        <v>2025</v>
      </c>
    </row>
    <row r="123" spans="1:14">
      <c r="A123" s="33">
        <v>122</v>
      </c>
      <c r="B123" s="80" t="s">
        <v>42</v>
      </c>
      <c r="C123" s="33" t="s">
        <v>50</v>
      </c>
      <c r="D123" s="33" t="s">
        <v>19</v>
      </c>
      <c r="E123" s="33" t="s">
        <v>86</v>
      </c>
      <c r="F123" s="33"/>
      <c r="G123" s="33" t="s">
        <v>87</v>
      </c>
      <c r="H123" s="33" t="s">
        <v>276</v>
      </c>
      <c r="I123" s="63">
        <v>21474.416664335662</v>
      </c>
      <c r="J123" s="33" t="s">
        <v>14</v>
      </c>
      <c r="K123" s="65" t="s">
        <v>14</v>
      </c>
      <c r="L123" s="33" t="s">
        <v>14</v>
      </c>
      <c r="M123" s="33" t="s">
        <v>222</v>
      </c>
      <c r="N123" s="33">
        <v>2025</v>
      </c>
    </row>
    <row r="124" spans="1:14">
      <c r="A124" s="33">
        <v>123</v>
      </c>
      <c r="B124" s="80" t="s">
        <v>42</v>
      </c>
      <c r="C124" s="33" t="s">
        <v>49</v>
      </c>
      <c r="D124" s="33" t="s">
        <v>19</v>
      </c>
      <c r="E124" s="33" t="s">
        <v>86</v>
      </c>
      <c r="F124" s="33"/>
      <c r="G124" s="33" t="s">
        <v>87</v>
      </c>
      <c r="H124" s="33" t="s">
        <v>276</v>
      </c>
      <c r="I124" s="63">
        <v>3863.6362447552447</v>
      </c>
      <c r="J124" s="33" t="s">
        <v>14</v>
      </c>
      <c r="K124" s="65" t="s">
        <v>14</v>
      </c>
      <c r="L124" s="33" t="s">
        <v>14</v>
      </c>
      <c r="M124" s="33" t="s">
        <v>222</v>
      </c>
      <c r="N124" s="33">
        <v>2025</v>
      </c>
    </row>
    <row r="125" spans="1:14">
      <c r="A125" s="33">
        <v>124</v>
      </c>
      <c r="B125" s="80" t="s">
        <v>42</v>
      </c>
      <c r="C125" s="33" t="s">
        <v>51</v>
      </c>
      <c r="D125" s="33" t="s">
        <v>19</v>
      </c>
      <c r="E125" s="33" t="s">
        <v>86</v>
      </c>
      <c r="F125" s="33"/>
      <c r="G125" s="33" t="s">
        <v>87</v>
      </c>
      <c r="H125" s="33" t="s">
        <v>276</v>
      </c>
      <c r="I125" s="70">
        <v>3712.121097902098</v>
      </c>
      <c r="J125" s="33" t="s">
        <v>14</v>
      </c>
      <c r="K125" s="65" t="s">
        <v>14</v>
      </c>
      <c r="L125" s="33" t="s">
        <v>14</v>
      </c>
      <c r="M125" s="33" t="s">
        <v>222</v>
      </c>
      <c r="N125" s="33">
        <v>2025</v>
      </c>
    </row>
    <row r="126" spans="1:14">
      <c r="A126" s="33">
        <v>125</v>
      </c>
      <c r="B126" s="33" t="s">
        <v>17</v>
      </c>
      <c r="C126" s="33" t="s">
        <v>24</v>
      </c>
      <c r="D126" s="33" t="s">
        <v>19</v>
      </c>
      <c r="E126" s="33" t="s">
        <v>86</v>
      </c>
      <c r="F126" s="33"/>
      <c r="G126" s="33" t="s">
        <v>87</v>
      </c>
      <c r="H126" s="33" t="s">
        <v>276</v>
      </c>
      <c r="I126" s="63">
        <v>11360.722258741258</v>
      </c>
      <c r="J126" s="33" t="s">
        <v>14</v>
      </c>
      <c r="K126" s="65" t="s">
        <v>14</v>
      </c>
      <c r="L126" s="33" t="s">
        <v>14</v>
      </c>
      <c r="M126" s="33" t="s">
        <v>222</v>
      </c>
      <c r="N126" s="33">
        <v>2025</v>
      </c>
    </row>
    <row r="127" spans="1:14">
      <c r="A127" s="33">
        <v>126</v>
      </c>
      <c r="B127" s="61" t="s">
        <v>17</v>
      </c>
      <c r="C127" s="33" t="s">
        <v>25</v>
      </c>
      <c r="D127" s="33" t="s">
        <v>19</v>
      </c>
      <c r="E127" s="33" t="s">
        <v>86</v>
      </c>
      <c r="F127" s="33"/>
      <c r="G127" s="33" t="s">
        <v>87</v>
      </c>
      <c r="H127" s="61" t="s">
        <v>276</v>
      </c>
      <c r="I127" s="63">
        <v>12101.454797202798</v>
      </c>
      <c r="J127" s="33" t="s">
        <v>14</v>
      </c>
      <c r="K127" s="65" t="s">
        <v>14</v>
      </c>
      <c r="L127" s="33" t="s">
        <v>14</v>
      </c>
      <c r="M127" s="33" t="s">
        <v>222</v>
      </c>
      <c r="N127" s="33">
        <v>2025</v>
      </c>
    </row>
    <row r="128" spans="1:14">
      <c r="A128" s="33">
        <v>127</v>
      </c>
      <c r="B128" s="33" t="s">
        <v>17</v>
      </c>
      <c r="C128" s="65" t="s">
        <v>26</v>
      </c>
      <c r="D128" s="33" t="s">
        <v>19</v>
      </c>
      <c r="E128" s="33" t="s">
        <v>86</v>
      </c>
      <c r="F128" s="33"/>
      <c r="G128" s="33" t="s">
        <v>87</v>
      </c>
      <c r="H128" s="66" t="s">
        <v>276</v>
      </c>
      <c r="I128" s="67">
        <v>2121.2120559440559</v>
      </c>
      <c r="J128" s="33" t="s">
        <v>14</v>
      </c>
      <c r="K128" s="65" t="s">
        <v>14</v>
      </c>
      <c r="L128" s="68" t="s">
        <v>14</v>
      </c>
      <c r="M128" s="62" t="s">
        <v>222</v>
      </c>
      <c r="N128" s="33">
        <v>2025</v>
      </c>
    </row>
    <row r="129" spans="1:14">
      <c r="A129" s="33">
        <v>128</v>
      </c>
      <c r="B129" s="33" t="s">
        <v>17</v>
      </c>
      <c r="C129" s="33" t="s">
        <v>18</v>
      </c>
      <c r="D129" s="33" t="s">
        <v>19</v>
      </c>
      <c r="E129" s="33" t="s">
        <v>86</v>
      </c>
      <c r="F129" s="33"/>
      <c r="G129" s="33" t="s">
        <v>89</v>
      </c>
      <c r="H129" s="66" t="s">
        <v>276</v>
      </c>
      <c r="I129" s="67">
        <v>20313.33455172414</v>
      </c>
      <c r="J129" s="66" t="s">
        <v>14</v>
      </c>
      <c r="K129" s="65" t="s">
        <v>14</v>
      </c>
      <c r="L129" s="68" t="s">
        <v>14</v>
      </c>
      <c r="M129" s="62" t="s">
        <v>222</v>
      </c>
      <c r="N129" s="33">
        <v>2025</v>
      </c>
    </row>
    <row r="130" spans="1:14">
      <c r="A130" s="33">
        <v>129</v>
      </c>
      <c r="B130" s="33" t="s">
        <v>54</v>
      </c>
      <c r="C130" s="65" t="s">
        <v>55</v>
      </c>
      <c r="D130" s="33" t="s">
        <v>19</v>
      </c>
      <c r="E130" s="33" t="s">
        <v>86</v>
      </c>
      <c r="F130" s="33"/>
      <c r="G130" s="33" t="s">
        <v>89</v>
      </c>
      <c r="H130" s="66" t="s">
        <v>276</v>
      </c>
      <c r="I130" s="67">
        <v>7448.2758620689656</v>
      </c>
      <c r="J130" s="33" t="s">
        <v>14</v>
      </c>
      <c r="K130" s="65" t="s">
        <v>14</v>
      </c>
      <c r="L130" s="68" t="s">
        <v>14</v>
      </c>
      <c r="M130" s="62" t="s">
        <v>222</v>
      </c>
      <c r="N130" s="33">
        <v>2025</v>
      </c>
    </row>
    <row r="131" spans="1:14">
      <c r="A131" s="33">
        <v>130</v>
      </c>
      <c r="B131" s="33" t="s">
        <v>42</v>
      </c>
      <c r="C131" s="65" t="s">
        <v>43</v>
      </c>
      <c r="D131" s="33" t="s">
        <v>19</v>
      </c>
      <c r="E131" s="33" t="s">
        <v>86</v>
      </c>
      <c r="F131" s="33"/>
      <c r="G131" s="33" t="s">
        <v>89</v>
      </c>
      <c r="H131" s="66" t="s">
        <v>276</v>
      </c>
      <c r="I131" s="67">
        <v>3448.2758620689656</v>
      </c>
      <c r="J131" s="33" t="s">
        <v>14</v>
      </c>
      <c r="K131" s="65" t="s">
        <v>14</v>
      </c>
      <c r="L131" s="68" t="s">
        <v>14</v>
      </c>
      <c r="M131" s="62" t="s">
        <v>222</v>
      </c>
      <c r="N131" s="33">
        <v>2025</v>
      </c>
    </row>
    <row r="132" spans="1:14">
      <c r="A132" s="33">
        <v>131</v>
      </c>
      <c r="B132" s="33" t="s">
        <v>35</v>
      </c>
      <c r="C132" s="65" t="s">
        <v>36</v>
      </c>
      <c r="D132" s="33" t="s">
        <v>19</v>
      </c>
      <c r="E132" s="33" t="s">
        <v>86</v>
      </c>
      <c r="F132" s="33"/>
      <c r="G132" s="33" t="s">
        <v>89</v>
      </c>
      <c r="H132" s="66" t="s">
        <v>276</v>
      </c>
      <c r="I132" s="67">
        <v>5310.3448275862065</v>
      </c>
      <c r="J132" s="33" t="s">
        <v>14</v>
      </c>
      <c r="K132" s="65" t="s">
        <v>14</v>
      </c>
      <c r="L132" s="68" t="s">
        <v>14</v>
      </c>
      <c r="M132" s="62" t="s">
        <v>222</v>
      </c>
      <c r="N132" s="33">
        <v>2025</v>
      </c>
    </row>
    <row r="133" spans="1:14">
      <c r="A133" s="33">
        <v>132</v>
      </c>
      <c r="B133" s="33" t="s">
        <v>35</v>
      </c>
      <c r="C133" s="65" t="s">
        <v>37</v>
      </c>
      <c r="D133" s="33" t="s">
        <v>19</v>
      </c>
      <c r="E133" s="33" t="s">
        <v>86</v>
      </c>
      <c r="F133" s="33"/>
      <c r="G133" s="33" t="s">
        <v>89</v>
      </c>
      <c r="H133" s="66" t="s">
        <v>276</v>
      </c>
      <c r="I133" s="67">
        <v>7034.4827586206893</v>
      </c>
      <c r="J133" s="33" t="s">
        <v>14</v>
      </c>
      <c r="K133" s="65" t="s">
        <v>14</v>
      </c>
      <c r="L133" s="68" t="s">
        <v>14</v>
      </c>
      <c r="M133" s="62" t="s">
        <v>222</v>
      </c>
      <c r="N133" s="33">
        <v>2025</v>
      </c>
    </row>
    <row r="134" spans="1:14">
      <c r="A134" s="33">
        <v>133</v>
      </c>
      <c r="B134" s="33" t="s">
        <v>42</v>
      </c>
      <c r="C134" s="65" t="s">
        <v>45</v>
      </c>
      <c r="D134" s="33" t="s">
        <v>19</v>
      </c>
      <c r="E134" s="33" t="s">
        <v>86</v>
      </c>
      <c r="F134" s="33"/>
      <c r="G134" s="33" t="s">
        <v>89</v>
      </c>
      <c r="H134" s="66" t="s">
        <v>276</v>
      </c>
      <c r="I134" s="67">
        <v>5576.1273862068965</v>
      </c>
      <c r="J134" s="33" t="s">
        <v>14</v>
      </c>
      <c r="K134" s="65" t="s">
        <v>14</v>
      </c>
      <c r="L134" s="68" t="s">
        <v>14</v>
      </c>
      <c r="M134" s="62" t="s">
        <v>222</v>
      </c>
      <c r="N134" s="33">
        <v>2025</v>
      </c>
    </row>
    <row r="135" spans="1:14">
      <c r="A135" s="33">
        <v>134</v>
      </c>
      <c r="B135" s="33" t="s">
        <v>33</v>
      </c>
      <c r="C135" s="33" t="s">
        <v>34</v>
      </c>
      <c r="D135" s="33" t="s">
        <v>19</v>
      </c>
      <c r="E135" s="33" t="s">
        <v>86</v>
      </c>
      <c r="F135" s="33"/>
      <c r="G135" s="33" t="s">
        <v>89</v>
      </c>
      <c r="H135" s="33" t="s">
        <v>276</v>
      </c>
      <c r="I135" s="67">
        <v>9763.9258068965519</v>
      </c>
      <c r="J135" s="33" t="s">
        <v>14</v>
      </c>
      <c r="K135" s="65" t="s">
        <v>14</v>
      </c>
      <c r="L135" s="68" t="s">
        <v>14</v>
      </c>
      <c r="M135" s="62" t="s">
        <v>222</v>
      </c>
      <c r="N135" s="33">
        <v>2025</v>
      </c>
    </row>
    <row r="136" spans="1:14">
      <c r="A136" s="33">
        <v>135</v>
      </c>
      <c r="B136" s="33" t="s">
        <v>52</v>
      </c>
      <c r="C136" s="127" t="s">
        <v>62</v>
      </c>
      <c r="D136" s="33" t="s">
        <v>19</v>
      </c>
      <c r="E136" s="33" t="s">
        <v>86</v>
      </c>
      <c r="F136" s="33"/>
      <c r="G136" s="33" t="s">
        <v>89</v>
      </c>
      <c r="H136" s="66" t="s">
        <v>276</v>
      </c>
      <c r="I136" s="67">
        <v>35385.614965517241</v>
      </c>
      <c r="J136" s="33" t="s">
        <v>14</v>
      </c>
      <c r="K136" s="65" t="s">
        <v>14</v>
      </c>
      <c r="L136" s="68" t="s">
        <v>14</v>
      </c>
      <c r="M136" s="62" t="s">
        <v>222</v>
      </c>
      <c r="N136" s="33">
        <v>2025</v>
      </c>
    </row>
    <row r="137" spans="1:14">
      <c r="A137" s="33">
        <v>136</v>
      </c>
      <c r="B137" s="33" t="s">
        <v>58</v>
      </c>
      <c r="C137" s="65" t="s">
        <v>59</v>
      </c>
      <c r="D137" s="33" t="s">
        <v>19</v>
      </c>
      <c r="E137" s="33" t="s">
        <v>86</v>
      </c>
      <c r="F137" s="33"/>
      <c r="G137" s="33" t="s">
        <v>89</v>
      </c>
      <c r="H137" s="66" t="s">
        <v>276</v>
      </c>
      <c r="I137" s="67">
        <v>1098.1432551724138</v>
      </c>
      <c r="J137" s="33" t="s">
        <v>14</v>
      </c>
      <c r="K137" s="65" t="s">
        <v>14</v>
      </c>
      <c r="L137" s="68" t="s">
        <v>14</v>
      </c>
      <c r="M137" s="62" t="s">
        <v>222</v>
      </c>
      <c r="N137" s="33">
        <v>2025</v>
      </c>
    </row>
    <row r="138" spans="1:14">
      <c r="A138" s="33">
        <v>137</v>
      </c>
      <c r="B138" s="33" t="s">
        <v>17</v>
      </c>
      <c r="C138" s="65" t="s">
        <v>22</v>
      </c>
      <c r="D138" s="33" t="s">
        <v>19</v>
      </c>
      <c r="E138" s="33" t="s">
        <v>86</v>
      </c>
      <c r="F138" s="33"/>
      <c r="G138" s="33" t="s">
        <v>89</v>
      </c>
      <c r="H138" s="66" t="s">
        <v>276</v>
      </c>
      <c r="I138" s="67">
        <v>11970.875344827586</v>
      </c>
      <c r="J138" s="33" t="s">
        <v>14</v>
      </c>
      <c r="K138" s="65" t="s">
        <v>14</v>
      </c>
      <c r="L138" s="68" t="s">
        <v>14</v>
      </c>
      <c r="M138" s="62" t="s">
        <v>222</v>
      </c>
      <c r="N138" s="33">
        <v>2025</v>
      </c>
    </row>
    <row r="139" spans="1:14">
      <c r="A139" s="33">
        <v>138</v>
      </c>
      <c r="B139" s="33" t="s">
        <v>17</v>
      </c>
      <c r="C139" s="65" t="s">
        <v>92</v>
      </c>
      <c r="D139" s="33" t="s">
        <v>19</v>
      </c>
      <c r="E139" s="33" t="s">
        <v>86</v>
      </c>
      <c r="F139" s="33"/>
      <c r="G139" s="33" t="s">
        <v>89</v>
      </c>
      <c r="H139" s="66" t="s">
        <v>276</v>
      </c>
      <c r="I139" s="67">
        <v>9586.2068965517246</v>
      </c>
      <c r="J139" s="33" t="s">
        <v>14</v>
      </c>
      <c r="K139" s="65" t="s">
        <v>14</v>
      </c>
      <c r="L139" s="68" t="s">
        <v>14</v>
      </c>
      <c r="M139" s="62" t="s">
        <v>222</v>
      </c>
      <c r="N139" s="33">
        <v>2025</v>
      </c>
    </row>
    <row r="140" spans="1:14">
      <c r="A140" s="33">
        <v>139</v>
      </c>
      <c r="B140" s="33" t="s">
        <v>42</v>
      </c>
      <c r="C140" s="33" t="s">
        <v>47</v>
      </c>
      <c r="D140" s="33" t="s">
        <v>19</v>
      </c>
      <c r="E140" s="33" t="s">
        <v>86</v>
      </c>
      <c r="F140" s="33"/>
      <c r="G140" s="33" t="s">
        <v>89</v>
      </c>
      <c r="H140" s="66" t="s">
        <v>276</v>
      </c>
      <c r="I140" s="67">
        <v>4275.8620689655172</v>
      </c>
      <c r="J140" s="33" t="s">
        <v>14</v>
      </c>
      <c r="K140" s="65" t="s">
        <v>14</v>
      </c>
      <c r="L140" s="68" t="s">
        <v>14</v>
      </c>
      <c r="M140" s="62" t="s">
        <v>222</v>
      </c>
      <c r="N140" s="33">
        <v>2025</v>
      </c>
    </row>
    <row r="141" spans="1:14">
      <c r="A141" s="33">
        <v>140</v>
      </c>
      <c r="B141" s="33" t="s">
        <v>17</v>
      </c>
      <c r="C141" s="65" t="s">
        <v>24</v>
      </c>
      <c r="D141" s="33" t="s">
        <v>19</v>
      </c>
      <c r="E141" s="33" t="s">
        <v>86</v>
      </c>
      <c r="F141" s="33"/>
      <c r="G141" s="33" t="s">
        <v>89</v>
      </c>
      <c r="H141" s="66" t="s">
        <v>276</v>
      </c>
      <c r="I141" s="67">
        <v>6136.3565241379301</v>
      </c>
      <c r="J141" s="33" t="s">
        <v>14</v>
      </c>
      <c r="K141" s="65" t="s">
        <v>14</v>
      </c>
      <c r="L141" s="68" t="s">
        <v>14</v>
      </c>
      <c r="M141" s="62" t="s">
        <v>222</v>
      </c>
      <c r="N141" s="33">
        <v>2025</v>
      </c>
    </row>
    <row r="142" spans="1:14">
      <c r="A142" s="33">
        <v>141</v>
      </c>
      <c r="B142" s="33" t="s">
        <v>42</v>
      </c>
      <c r="C142" s="122" t="s">
        <v>285</v>
      </c>
      <c r="D142" s="33" t="s">
        <v>19</v>
      </c>
      <c r="E142" s="33" t="s">
        <v>86</v>
      </c>
      <c r="F142" s="33"/>
      <c r="G142" s="33" t="s">
        <v>89</v>
      </c>
      <c r="H142" s="66" t="s">
        <v>276</v>
      </c>
      <c r="I142" s="67">
        <v>7248.2758620689656</v>
      </c>
      <c r="J142" s="33" t="s">
        <v>14</v>
      </c>
      <c r="K142" s="65" t="s">
        <v>14</v>
      </c>
      <c r="L142" s="68" t="s">
        <v>14</v>
      </c>
      <c r="M142" s="62" t="s">
        <v>222</v>
      </c>
      <c r="N142" s="33">
        <v>2025</v>
      </c>
    </row>
    <row r="143" spans="1:14">
      <c r="A143" s="33">
        <v>142</v>
      </c>
      <c r="B143" s="33" t="s">
        <v>42</v>
      </c>
      <c r="C143" s="65" t="s">
        <v>50</v>
      </c>
      <c r="D143" s="33" t="s">
        <v>19</v>
      </c>
      <c r="E143" s="33" t="s">
        <v>86</v>
      </c>
      <c r="F143" s="33"/>
      <c r="G143" s="33" t="s">
        <v>89</v>
      </c>
      <c r="H143" s="66" t="s">
        <v>276</v>
      </c>
      <c r="I143" s="67">
        <v>27856.916799999999</v>
      </c>
      <c r="J143" s="33" t="s">
        <v>14</v>
      </c>
      <c r="K143" s="65" t="s">
        <v>14</v>
      </c>
      <c r="L143" s="68" t="s">
        <v>14</v>
      </c>
      <c r="M143" s="62" t="s">
        <v>222</v>
      </c>
      <c r="N143" s="33">
        <v>2025</v>
      </c>
    </row>
    <row r="144" spans="1:14">
      <c r="A144" s="33">
        <v>143</v>
      </c>
      <c r="B144" s="33" t="s">
        <v>42</v>
      </c>
      <c r="C144" s="65" t="s">
        <v>49</v>
      </c>
      <c r="D144" s="33" t="s">
        <v>19</v>
      </c>
      <c r="E144" s="33" t="s">
        <v>86</v>
      </c>
      <c r="F144" s="33"/>
      <c r="G144" s="33" t="s">
        <v>89</v>
      </c>
      <c r="H144" s="66" t="s">
        <v>276</v>
      </c>
      <c r="I144" s="67">
        <v>3586.2068965517242</v>
      </c>
      <c r="J144" s="33" t="s">
        <v>14</v>
      </c>
      <c r="K144" s="65" t="s">
        <v>14</v>
      </c>
      <c r="L144" s="68" t="s">
        <v>14</v>
      </c>
      <c r="M144" s="62" t="s">
        <v>222</v>
      </c>
      <c r="N144" s="33">
        <v>2025</v>
      </c>
    </row>
    <row r="145" spans="1:14">
      <c r="A145" s="33">
        <v>144</v>
      </c>
      <c r="B145" s="33" t="s">
        <v>17</v>
      </c>
      <c r="C145" s="65" t="s">
        <v>25</v>
      </c>
      <c r="D145" s="33" t="s">
        <v>19</v>
      </c>
      <c r="E145" s="33" t="s">
        <v>86</v>
      </c>
      <c r="F145" s="33"/>
      <c r="G145" s="33" t="s">
        <v>89</v>
      </c>
      <c r="H145" s="66" t="s">
        <v>276</v>
      </c>
      <c r="I145" s="67">
        <v>19060.530517241379</v>
      </c>
      <c r="J145" s="33" t="s">
        <v>14</v>
      </c>
      <c r="K145" s="65" t="s">
        <v>14</v>
      </c>
      <c r="L145" s="68" t="s">
        <v>14</v>
      </c>
      <c r="M145" s="62" t="s">
        <v>222</v>
      </c>
      <c r="N145" s="33">
        <v>2025</v>
      </c>
    </row>
    <row r="146" spans="1:14">
      <c r="A146" s="33">
        <v>145</v>
      </c>
      <c r="B146" s="33" t="s">
        <v>17</v>
      </c>
      <c r="C146" s="33" t="s">
        <v>18</v>
      </c>
      <c r="D146" s="33" t="s">
        <v>19</v>
      </c>
      <c r="E146" s="33" t="s">
        <v>86</v>
      </c>
      <c r="F146" s="33"/>
      <c r="G146" s="33" t="s">
        <v>89</v>
      </c>
      <c r="H146" s="66" t="s">
        <v>273</v>
      </c>
      <c r="I146" s="67">
        <v>17947.427020689654</v>
      </c>
      <c r="J146" s="33" t="s">
        <v>14</v>
      </c>
      <c r="K146" s="65" t="s">
        <v>14</v>
      </c>
      <c r="L146" s="68" t="s">
        <v>14</v>
      </c>
      <c r="M146" s="62" t="s">
        <v>222</v>
      </c>
      <c r="N146" s="33">
        <v>2025</v>
      </c>
    </row>
    <row r="147" spans="1:14">
      <c r="A147" s="33">
        <v>146</v>
      </c>
      <c r="B147" s="33" t="s">
        <v>35</v>
      </c>
      <c r="C147" s="79" t="s">
        <v>36</v>
      </c>
      <c r="D147" s="33" t="s">
        <v>19</v>
      </c>
      <c r="E147" s="33" t="s">
        <v>86</v>
      </c>
      <c r="F147" s="33"/>
      <c r="G147" s="33" t="s">
        <v>89</v>
      </c>
      <c r="H147" s="66" t="s">
        <v>273</v>
      </c>
      <c r="I147" s="67">
        <v>491.37931034482756</v>
      </c>
      <c r="J147" s="33" t="s">
        <v>14</v>
      </c>
      <c r="K147" s="65" t="s">
        <v>14</v>
      </c>
      <c r="L147" s="68" t="s">
        <v>14</v>
      </c>
      <c r="M147" s="62" t="s">
        <v>222</v>
      </c>
      <c r="N147" s="33">
        <v>2025</v>
      </c>
    </row>
    <row r="148" spans="1:14">
      <c r="A148" s="33">
        <v>147</v>
      </c>
      <c r="B148" s="33" t="s">
        <v>35</v>
      </c>
      <c r="C148" s="65" t="s">
        <v>37</v>
      </c>
      <c r="D148" s="33" t="s">
        <v>19</v>
      </c>
      <c r="E148" s="33" t="s">
        <v>86</v>
      </c>
      <c r="F148" s="33"/>
      <c r="G148" s="33" t="s">
        <v>89</v>
      </c>
      <c r="H148" s="66" t="s">
        <v>273</v>
      </c>
      <c r="I148" s="67">
        <v>1693.6339310344829</v>
      </c>
      <c r="J148" s="33" t="s">
        <v>14</v>
      </c>
      <c r="K148" s="65" t="s">
        <v>14</v>
      </c>
      <c r="L148" s="68" t="s">
        <v>14</v>
      </c>
      <c r="M148" s="62" t="s">
        <v>222</v>
      </c>
      <c r="N148" s="33">
        <v>2025</v>
      </c>
    </row>
    <row r="149" spans="1:14">
      <c r="A149" s="33">
        <v>148</v>
      </c>
      <c r="B149" s="33" t="s">
        <v>42</v>
      </c>
      <c r="C149" s="65" t="s">
        <v>45</v>
      </c>
      <c r="D149" s="33" t="s">
        <v>19</v>
      </c>
      <c r="E149" s="33" t="s">
        <v>86</v>
      </c>
      <c r="F149" s="33"/>
      <c r="G149" s="33" t="s">
        <v>89</v>
      </c>
      <c r="H149" s="66" t="s">
        <v>273</v>
      </c>
      <c r="I149" s="67">
        <v>12935.119289655171</v>
      </c>
      <c r="J149" s="33" t="s">
        <v>14</v>
      </c>
      <c r="K149" s="65" t="s">
        <v>14</v>
      </c>
      <c r="L149" s="68" t="s">
        <v>14</v>
      </c>
      <c r="M149" s="62" t="s">
        <v>222</v>
      </c>
      <c r="N149" s="33">
        <v>2025</v>
      </c>
    </row>
    <row r="150" spans="1:14">
      <c r="A150" s="33">
        <v>149</v>
      </c>
      <c r="B150" s="33" t="s">
        <v>33</v>
      </c>
      <c r="C150" s="65" t="s">
        <v>34</v>
      </c>
      <c r="D150" s="33" t="s">
        <v>19</v>
      </c>
      <c r="E150" s="33" t="s">
        <v>86</v>
      </c>
      <c r="F150" s="33"/>
      <c r="G150" s="33" t="s">
        <v>89</v>
      </c>
      <c r="H150" s="66" t="s">
        <v>273</v>
      </c>
      <c r="I150" s="67">
        <v>463.1299724137931</v>
      </c>
      <c r="J150" s="33" t="s">
        <v>14</v>
      </c>
      <c r="K150" s="65" t="s">
        <v>14</v>
      </c>
      <c r="L150" s="68" t="s">
        <v>14</v>
      </c>
      <c r="M150" s="62" t="s">
        <v>222</v>
      </c>
      <c r="N150" s="33">
        <v>2025</v>
      </c>
    </row>
    <row r="151" spans="1:14">
      <c r="A151" s="33">
        <v>150</v>
      </c>
      <c r="B151" s="64" t="s">
        <v>52</v>
      </c>
      <c r="C151" s="127" t="s">
        <v>62</v>
      </c>
      <c r="D151" s="33" t="s">
        <v>19</v>
      </c>
      <c r="E151" s="33" t="s">
        <v>86</v>
      </c>
      <c r="F151" s="33"/>
      <c r="G151" s="33" t="s">
        <v>89</v>
      </c>
      <c r="H151" s="33" t="s">
        <v>273</v>
      </c>
      <c r="I151" s="67">
        <v>97870.454503448273</v>
      </c>
      <c r="J151" s="65" t="s">
        <v>14</v>
      </c>
      <c r="K151" s="65" t="s">
        <v>14</v>
      </c>
      <c r="L151" s="68" t="s">
        <v>14</v>
      </c>
      <c r="M151" s="62" t="s">
        <v>222</v>
      </c>
      <c r="N151" s="33">
        <v>2025</v>
      </c>
    </row>
    <row r="152" spans="1:14">
      <c r="A152" s="33">
        <v>151</v>
      </c>
      <c r="B152" s="64" t="s">
        <v>17</v>
      </c>
      <c r="C152" s="65" t="s">
        <v>22</v>
      </c>
      <c r="D152" s="33" t="s">
        <v>19</v>
      </c>
      <c r="E152" s="33" t="s">
        <v>86</v>
      </c>
      <c r="F152" s="33"/>
      <c r="G152" s="33" t="s">
        <v>89</v>
      </c>
      <c r="H152" s="33" t="s">
        <v>273</v>
      </c>
      <c r="I152" s="67">
        <v>18048.132606896554</v>
      </c>
      <c r="J152" s="65" t="s">
        <v>14</v>
      </c>
      <c r="K152" s="65" t="s">
        <v>14</v>
      </c>
      <c r="L152" s="68" t="s">
        <v>14</v>
      </c>
      <c r="M152" s="62" t="s">
        <v>222</v>
      </c>
      <c r="N152" s="33">
        <v>2025</v>
      </c>
    </row>
    <row r="153" spans="1:14">
      <c r="A153" s="33">
        <v>152</v>
      </c>
      <c r="B153" s="64" t="s">
        <v>42</v>
      </c>
      <c r="C153" s="65" t="s">
        <v>47</v>
      </c>
      <c r="D153" s="33" t="s">
        <v>19</v>
      </c>
      <c r="E153" s="33" t="s">
        <v>86</v>
      </c>
      <c r="F153" s="33"/>
      <c r="G153" s="33" t="s">
        <v>89</v>
      </c>
      <c r="H153" s="33" t="s">
        <v>273</v>
      </c>
      <c r="I153" s="70">
        <v>7634.7479862068967</v>
      </c>
      <c r="J153" s="65" t="s">
        <v>14</v>
      </c>
      <c r="K153" s="65" t="s">
        <v>14</v>
      </c>
      <c r="L153" s="68" t="s">
        <v>14</v>
      </c>
      <c r="M153" s="62" t="s">
        <v>222</v>
      </c>
      <c r="N153" s="33">
        <v>2025</v>
      </c>
    </row>
    <row r="154" spans="1:14">
      <c r="A154" s="33">
        <v>153</v>
      </c>
      <c r="B154" s="64" t="s">
        <v>17</v>
      </c>
      <c r="C154" s="65" t="s">
        <v>24</v>
      </c>
      <c r="D154" s="33" t="s">
        <v>19</v>
      </c>
      <c r="E154" s="33" t="s">
        <v>86</v>
      </c>
      <c r="F154" s="33"/>
      <c r="G154" s="33" t="s">
        <v>89</v>
      </c>
      <c r="H154" s="33" t="s">
        <v>273</v>
      </c>
      <c r="I154" s="70">
        <v>14487.533131034483</v>
      </c>
      <c r="J154" s="65" t="s">
        <v>14</v>
      </c>
      <c r="K154" s="65" t="s">
        <v>14</v>
      </c>
      <c r="L154" s="68" t="s">
        <v>14</v>
      </c>
      <c r="M154" s="62" t="s">
        <v>222</v>
      </c>
      <c r="N154" s="33">
        <v>2025</v>
      </c>
    </row>
    <row r="155" spans="1:14">
      <c r="A155" s="33">
        <v>154</v>
      </c>
      <c r="B155" s="33" t="s">
        <v>42</v>
      </c>
      <c r="C155" s="122" t="s">
        <v>285</v>
      </c>
      <c r="D155" s="33" t="s">
        <v>19</v>
      </c>
      <c r="E155" s="33" t="s">
        <v>86</v>
      </c>
      <c r="F155" s="33"/>
      <c r="G155" s="33" t="s">
        <v>89</v>
      </c>
      <c r="H155" s="33" t="s">
        <v>273</v>
      </c>
      <c r="I155" s="63">
        <v>2426.6578137931033</v>
      </c>
      <c r="J155" s="65" t="s">
        <v>14</v>
      </c>
      <c r="K155" s="65" t="s">
        <v>14</v>
      </c>
      <c r="L155" s="68" t="s">
        <v>14</v>
      </c>
      <c r="M155" s="33" t="s">
        <v>222</v>
      </c>
      <c r="N155" s="33">
        <v>2025</v>
      </c>
    </row>
    <row r="156" spans="1:14">
      <c r="A156" s="33">
        <v>155</v>
      </c>
      <c r="B156" s="33" t="s">
        <v>42</v>
      </c>
      <c r="C156" s="65" t="s">
        <v>50</v>
      </c>
      <c r="D156" s="33" t="s">
        <v>19</v>
      </c>
      <c r="E156" s="33" t="s">
        <v>86</v>
      </c>
      <c r="F156" s="33"/>
      <c r="G156" s="33" t="s">
        <v>89</v>
      </c>
      <c r="H156" s="33" t="s">
        <v>273</v>
      </c>
      <c r="I156" s="63">
        <v>82017.670986206896</v>
      </c>
      <c r="J156" s="65" t="s">
        <v>14</v>
      </c>
      <c r="K156" s="65" t="s">
        <v>14</v>
      </c>
      <c r="L156" s="68" t="s">
        <v>14</v>
      </c>
      <c r="M156" s="33" t="s">
        <v>222</v>
      </c>
      <c r="N156" s="33">
        <v>2025</v>
      </c>
    </row>
    <row r="157" spans="1:14">
      <c r="A157" s="33">
        <v>156</v>
      </c>
      <c r="B157" s="33" t="s">
        <v>42</v>
      </c>
      <c r="C157" s="33" t="s">
        <v>49</v>
      </c>
      <c r="D157" s="33" t="s">
        <v>19</v>
      </c>
      <c r="E157" s="33" t="s">
        <v>86</v>
      </c>
      <c r="F157" s="33"/>
      <c r="G157" s="33" t="s">
        <v>89</v>
      </c>
      <c r="H157" s="33" t="s">
        <v>273</v>
      </c>
      <c r="I157" s="63">
        <v>1159.1511931034483</v>
      </c>
      <c r="J157" s="65" t="s">
        <v>14</v>
      </c>
      <c r="K157" s="65" t="s">
        <v>14</v>
      </c>
      <c r="L157" s="68" t="s">
        <v>14</v>
      </c>
      <c r="M157" s="33" t="s">
        <v>222</v>
      </c>
      <c r="N157" s="33">
        <v>2025</v>
      </c>
    </row>
    <row r="158" spans="1:14">
      <c r="A158" s="33">
        <v>157</v>
      </c>
      <c r="B158" s="33" t="s">
        <v>17</v>
      </c>
      <c r="C158" s="65" t="s">
        <v>25</v>
      </c>
      <c r="D158" s="33" t="s">
        <v>19</v>
      </c>
      <c r="E158" s="33" t="s">
        <v>86</v>
      </c>
      <c r="F158" s="33"/>
      <c r="G158" s="33" t="s">
        <v>89</v>
      </c>
      <c r="H158" s="33" t="s">
        <v>273</v>
      </c>
      <c r="I158" s="63">
        <v>123845.51149655171</v>
      </c>
      <c r="J158" s="65" t="s">
        <v>14</v>
      </c>
      <c r="K158" s="65" t="s">
        <v>14</v>
      </c>
      <c r="L158" s="68" t="s">
        <v>14</v>
      </c>
      <c r="M158" s="33" t="s">
        <v>222</v>
      </c>
      <c r="N158" s="33">
        <v>2025</v>
      </c>
    </row>
    <row r="159" spans="1:14">
      <c r="A159" s="33">
        <v>158</v>
      </c>
      <c r="B159" s="33" t="s">
        <v>17</v>
      </c>
      <c r="C159" s="65" t="s">
        <v>26</v>
      </c>
      <c r="D159" s="33" t="s">
        <v>19</v>
      </c>
      <c r="E159" s="33" t="s">
        <v>86</v>
      </c>
      <c r="F159" s="33"/>
      <c r="G159" s="33" t="s">
        <v>89</v>
      </c>
      <c r="H159" s="33" t="s">
        <v>273</v>
      </c>
      <c r="I159" s="63">
        <v>478.24933103448279</v>
      </c>
      <c r="J159" s="65" t="s">
        <v>14</v>
      </c>
      <c r="K159" s="65" t="s">
        <v>14</v>
      </c>
      <c r="L159" s="68" t="s">
        <v>14</v>
      </c>
      <c r="M159" s="33" t="s">
        <v>222</v>
      </c>
      <c r="N159" s="33">
        <v>2025</v>
      </c>
    </row>
    <row r="160" spans="1:14">
      <c r="A160" s="33">
        <v>159</v>
      </c>
      <c r="B160" s="33" t="s">
        <v>17</v>
      </c>
      <c r="C160" s="33" t="s">
        <v>18</v>
      </c>
      <c r="D160" s="33" t="s">
        <v>19</v>
      </c>
      <c r="E160" s="33" t="s">
        <v>86</v>
      </c>
      <c r="F160" s="33"/>
      <c r="G160" s="33" t="s">
        <v>87</v>
      </c>
      <c r="H160" s="33" t="s">
        <v>273</v>
      </c>
      <c r="I160" s="63">
        <v>13410.015779310344</v>
      </c>
      <c r="J160" s="65" t="s">
        <v>14</v>
      </c>
      <c r="K160" s="65" t="s">
        <v>14</v>
      </c>
      <c r="L160" s="68" t="s">
        <v>14</v>
      </c>
      <c r="M160" s="33" t="s">
        <v>222</v>
      </c>
      <c r="N160" s="33">
        <v>2025</v>
      </c>
    </row>
    <row r="161" spans="1:14">
      <c r="A161" s="33">
        <v>160</v>
      </c>
      <c r="B161" s="33" t="s">
        <v>54</v>
      </c>
      <c r="C161" s="65" t="s">
        <v>55</v>
      </c>
      <c r="D161" s="33" t="s">
        <v>19</v>
      </c>
      <c r="E161" s="33" t="s">
        <v>86</v>
      </c>
      <c r="F161" s="33"/>
      <c r="G161" s="33" t="s">
        <v>87</v>
      </c>
      <c r="H161" s="33" t="s">
        <v>273</v>
      </c>
      <c r="I161" s="77">
        <v>13125.294344827587</v>
      </c>
      <c r="J161" s="33" t="s">
        <v>14</v>
      </c>
      <c r="K161" s="65" t="s">
        <v>14</v>
      </c>
      <c r="L161" s="68" t="s">
        <v>14</v>
      </c>
      <c r="M161" s="33" t="s">
        <v>222</v>
      </c>
      <c r="N161" s="33">
        <v>2025</v>
      </c>
    </row>
    <row r="162" spans="1:14">
      <c r="A162" s="33">
        <v>161</v>
      </c>
      <c r="B162" s="62" t="s">
        <v>42</v>
      </c>
      <c r="C162" s="33" t="s">
        <v>43</v>
      </c>
      <c r="D162" s="33" t="s">
        <v>19</v>
      </c>
      <c r="E162" s="33" t="s">
        <v>86</v>
      </c>
      <c r="F162" s="33"/>
      <c r="G162" s="62" t="s">
        <v>87</v>
      </c>
      <c r="H162" s="62" t="s">
        <v>273</v>
      </c>
      <c r="I162" s="70">
        <v>13809.681551724138</v>
      </c>
      <c r="J162" s="33" t="s">
        <v>14</v>
      </c>
      <c r="K162" s="65" t="s">
        <v>14</v>
      </c>
      <c r="L162" s="33" t="s">
        <v>14</v>
      </c>
      <c r="M162" s="62" t="s">
        <v>222</v>
      </c>
      <c r="N162" s="33">
        <v>2025</v>
      </c>
    </row>
    <row r="163" spans="1:14">
      <c r="A163" s="33">
        <v>162</v>
      </c>
      <c r="B163" s="33" t="s">
        <v>35</v>
      </c>
      <c r="C163" s="33" t="s">
        <v>36</v>
      </c>
      <c r="D163" s="33" t="s">
        <v>19</v>
      </c>
      <c r="E163" s="33" t="s">
        <v>86</v>
      </c>
      <c r="F163" s="33"/>
      <c r="G163" s="33" t="s">
        <v>87</v>
      </c>
      <c r="H163" s="33" t="s">
        <v>273</v>
      </c>
      <c r="I163" s="70">
        <v>3134.3426482758618</v>
      </c>
      <c r="J163" s="33" t="s">
        <v>14</v>
      </c>
      <c r="K163" s="65" t="s">
        <v>14</v>
      </c>
      <c r="L163" s="33" t="s">
        <v>14</v>
      </c>
      <c r="M163" s="33" t="s">
        <v>222</v>
      </c>
      <c r="N163" s="33">
        <v>2025</v>
      </c>
    </row>
    <row r="164" spans="1:14">
      <c r="A164" s="33">
        <v>163</v>
      </c>
      <c r="B164" s="33" t="s">
        <v>35</v>
      </c>
      <c r="C164" s="33" t="s">
        <v>37</v>
      </c>
      <c r="D164" s="33" t="s">
        <v>19</v>
      </c>
      <c r="E164" s="33" t="s">
        <v>86</v>
      </c>
      <c r="F164" s="33"/>
      <c r="G164" s="33" t="s">
        <v>87</v>
      </c>
      <c r="H164" s="33" t="s">
        <v>273</v>
      </c>
      <c r="I164" s="70">
        <v>29056.975993103446</v>
      </c>
      <c r="J164" s="33" t="s">
        <v>14</v>
      </c>
      <c r="K164" s="65" t="s">
        <v>14</v>
      </c>
      <c r="L164" s="33" t="s">
        <v>14</v>
      </c>
      <c r="M164" s="33" t="s">
        <v>222</v>
      </c>
      <c r="N164" s="33">
        <v>2025</v>
      </c>
    </row>
    <row r="165" spans="1:14">
      <c r="A165" s="33">
        <v>164</v>
      </c>
      <c r="B165" s="73" t="s">
        <v>42</v>
      </c>
      <c r="C165" s="73" t="s">
        <v>44</v>
      </c>
      <c r="D165" s="33" t="s">
        <v>19</v>
      </c>
      <c r="E165" s="73" t="s">
        <v>86</v>
      </c>
      <c r="F165" s="33"/>
      <c r="G165" s="73" t="s">
        <v>87</v>
      </c>
      <c r="H165" s="73" t="s">
        <v>273</v>
      </c>
      <c r="I165" s="67">
        <v>25730.371310344828</v>
      </c>
      <c r="J165" s="33" t="s">
        <v>14</v>
      </c>
      <c r="K165" s="65" t="s">
        <v>14</v>
      </c>
      <c r="L165" s="33" t="s">
        <v>14</v>
      </c>
      <c r="M165" s="62" t="s">
        <v>222</v>
      </c>
      <c r="N165" s="33">
        <v>2025</v>
      </c>
    </row>
    <row r="166" spans="1:14">
      <c r="A166" s="33">
        <v>165</v>
      </c>
      <c r="B166" s="73" t="s">
        <v>42</v>
      </c>
      <c r="C166" s="123" t="s">
        <v>45</v>
      </c>
      <c r="D166" s="73" t="s">
        <v>19</v>
      </c>
      <c r="E166" s="73" t="s">
        <v>86</v>
      </c>
      <c r="F166" s="33"/>
      <c r="G166" s="73" t="s">
        <v>87</v>
      </c>
      <c r="H166" s="73" t="s">
        <v>273</v>
      </c>
      <c r="I166" s="67">
        <v>45028.558744827584</v>
      </c>
      <c r="J166" s="33" t="s">
        <v>14</v>
      </c>
      <c r="K166" s="65" t="s">
        <v>14</v>
      </c>
      <c r="L166" s="33" t="s">
        <v>14</v>
      </c>
      <c r="M166" s="62" t="s">
        <v>222</v>
      </c>
      <c r="N166" s="33">
        <v>2025</v>
      </c>
    </row>
    <row r="167" spans="1:14">
      <c r="A167" s="33">
        <v>166</v>
      </c>
      <c r="B167" s="73" t="s">
        <v>33</v>
      </c>
      <c r="C167" s="73" t="s">
        <v>34</v>
      </c>
      <c r="D167" s="73" t="s">
        <v>19</v>
      </c>
      <c r="E167" s="73" t="s">
        <v>86</v>
      </c>
      <c r="F167" s="33"/>
      <c r="G167" s="73" t="s">
        <v>87</v>
      </c>
      <c r="H167" s="73" t="s">
        <v>273</v>
      </c>
      <c r="I167" s="67">
        <v>20232.753289655171</v>
      </c>
      <c r="J167" s="33" t="s">
        <v>14</v>
      </c>
      <c r="K167" s="65" t="s">
        <v>14</v>
      </c>
      <c r="L167" s="33" t="s">
        <v>14</v>
      </c>
      <c r="M167" s="62" t="s">
        <v>222</v>
      </c>
      <c r="N167" s="33">
        <v>2025</v>
      </c>
    </row>
    <row r="168" spans="1:14">
      <c r="A168" s="33">
        <v>167</v>
      </c>
      <c r="B168" s="33" t="s">
        <v>52</v>
      </c>
      <c r="C168" s="122" t="s">
        <v>62</v>
      </c>
      <c r="D168" s="33" t="s">
        <v>19</v>
      </c>
      <c r="E168" s="33" t="s">
        <v>86</v>
      </c>
      <c r="F168" s="33"/>
      <c r="G168" s="33" t="s">
        <v>87</v>
      </c>
      <c r="H168" s="33" t="s">
        <v>273</v>
      </c>
      <c r="I168" s="70">
        <v>168116.49788965518</v>
      </c>
      <c r="J168" s="33" t="s">
        <v>14</v>
      </c>
      <c r="K168" s="65" t="s">
        <v>14</v>
      </c>
      <c r="L168" s="33" t="s">
        <v>14</v>
      </c>
      <c r="M168" s="33" t="s">
        <v>222</v>
      </c>
      <c r="N168" s="33">
        <v>2025</v>
      </c>
    </row>
    <row r="169" spans="1:14">
      <c r="A169" s="33">
        <v>168</v>
      </c>
      <c r="B169" s="33" t="s">
        <v>17</v>
      </c>
      <c r="C169" s="33" t="s">
        <v>22</v>
      </c>
      <c r="D169" s="33" t="s">
        <v>19</v>
      </c>
      <c r="E169" s="33" t="s">
        <v>86</v>
      </c>
      <c r="F169" s="33"/>
      <c r="G169" s="33" t="s">
        <v>87</v>
      </c>
      <c r="H169" s="33" t="s">
        <v>273</v>
      </c>
      <c r="I169" s="63">
        <v>3045.0927793103451</v>
      </c>
      <c r="J169" s="33" t="s">
        <v>14</v>
      </c>
      <c r="K169" s="65" t="s">
        <v>14</v>
      </c>
      <c r="L169" s="33" t="s">
        <v>14</v>
      </c>
      <c r="M169" s="33" t="s">
        <v>222</v>
      </c>
      <c r="N169" s="33">
        <v>2025</v>
      </c>
    </row>
    <row r="170" spans="1:14">
      <c r="A170" s="33">
        <v>169</v>
      </c>
      <c r="B170" s="33" t="s">
        <v>35</v>
      </c>
      <c r="C170" s="33" t="s">
        <v>41</v>
      </c>
      <c r="D170" s="33" t="s">
        <v>19</v>
      </c>
      <c r="E170" s="33" t="s">
        <v>86</v>
      </c>
      <c r="F170" s="33"/>
      <c r="G170" s="33" t="s">
        <v>87</v>
      </c>
      <c r="H170" s="33" t="s">
        <v>273</v>
      </c>
      <c r="I170" s="63">
        <v>1358.090151724138</v>
      </c>
      <c r="J170" s="33" t="s">
        <v>14</v>
      </c>
      <c r="K170" s="65" t="s">
        <v>14</v>
      </c>
      <c r="L170" s="33" t="s">
        <v>14</v>
      </c>
      <c r="M170" s="33" t="s">
        <v>222</v>
      </c>
      <c r="N170" s="33">
        <v>2025</v>
      </c>
    </row>
    <row r="171" spans="1:14">
      <c r="A171" s="33">
        <v>170</v>
      </c>
      <c r="B171" s="33" t="s">
        <v>42</v>
      </c>
      <c r="C171" s="33" t="s">
        <v>47</v>
      </c>
      <c r="D171" s="33" t="s">
        <v>19</v>
      </c>
      <c r="E171" s="33" t="s">
        <v>86</v>
      </c>
      <c r="F171" s="33"/>
      <c r="G171" s="33" t="s">
        <v>87</v>
      </c>
      <c r="H171" s="33" t="s">
        <v>273</v>
      </c>
      <c r="I171" s="70">
        <v>12542.408455172415</v>
      </c>
      <c r="J171" s="33" t="s">
        <v>14</v>
      </c>
      <c r="K171" s="65" t="s">
        <v>14</v>
      </c>
      <c r="L171" s="33" t="s">
        <v>14</v>
      </c>
      <c r="M171" s="33" t="s">
        <v>222</v>
      </c>
      <c r="N171" s="33">
        <v>2025</v>
      </c>
    </row>
    <row r="172" spans="1:14">
      <c r="A172" s="33">
        <v>171</v>
      </c>
      <c r="B172" s="33" t="s">
        <v>17</v>
      </c>
      <c r="C172" s="33" t="s">
        <v>319</v>
      </c>
      <c r="D172" s="33" t="s">
        <v>19</v>
      </c>
      <c r="E172" s="61" t="s">
        <v>86</v>
      </c>
      <c r="F172" s="33"/>
      <c r="G172" s="33" t="s">
        <v>87</v>
      </c>
      <c r="H172" s="33" t="s">
        <v>273</v>
      </c>
      <c r="I172" s="63">
        <v>7034.0795310344829</v>
      </c>
      <c r="J172" s="33" t="s">
        <v>14</v>
      </c>
      <c r="K172" s="65" t="s">
        <v>14</v>
      </c>
      <c r="L172" s="33" t="s">
        <v>14</v>
      </c>
      <c r="M172" s="33" t="s">
        <v>222</v>
      </c>
      <c r="N172" s="33">
        <v>2025</v>
      </c>
    </row>
    <row r="173" spans="1:14">
      <c r="A173" s="33">
        <v>172</v>
      </c>
      <c r="B173" s="33" t="s">
        <v>42</v>
      </c>
      <c r="C173" s="122" t="s">
        <v>285</v>
      </c>
      <c r="D173" s="33" t="s">
        <v>19</v>
      </c>
      <c r="E173" s="33" t="s">
        <v>86</v>
      </c>
      <c r="F173" s="33"/>
      <c r="G173" s="33" t="s">
        <v>87</v>
      </c>
      <c r="H173" s="66" t="s">
        <v>273</v>
      </c>
      <c r="I173" s="67">
        <v>24003.183027586208</v>
      </c>
      <c r="J173" s="33" t="s">
        <v>14</v>
      </c>
      <c r="K173" s="65" t="s">
        <v>14</v>
      </c>
      <c r="L173" s="68" t="s">
        <v>14</v>
      </c>
      <c r="M173" s="62" t="s">
        <v>222</v>
      </c>
      <c r="N173" s="33">
        <v>2025</v>
      </c>
    </row>
    <row r="174" spans="1:14">
      <c r="A174" s="33">
        <v>173</v>
      </c>
      <c r="B174" s="33" t="s">
        <v>42</v>
      </c>
      <c r="C174" s="65" t="s">
        <v>50</v>
      </c>
      <c r="D174" s="33" t="s">
        <v>19</v>
      </c>
      <c r="E174" s="33" t="s">
        <v>86</v>
      </c>
      <c r="F174" s="33"/>
      <c r="G174" s="33" t="s">
        <v>87</v>
      </c>
      <c r="H174" s="66" t="s">
        <v>273</v>
      </c>
      <c r="I174" s="67">
        <v>73887.058179310348</v>
      </c>
      <c r="J174" s="65" t="s">
        <v>14</v>
      </c>
      <c r="K174" s="65" t="s">
        <v>14</v>
      </c>
      <c r="L174" s="68" t="s">
        <v>14</v>
      </c>
      <c r="M174" s="62" t="s">
        <v>222</v>
      </c>
      <c r="N174" s="33">
        <v>2025</v>
      </c>
    </row>
    <row r="175" spans="1:14">
      <c r="A175" s="33">
        <v>174</v>
      </c>
      <c r="B175" s="33" t="s">
        <v>42</v>
      </c>
      <c r="C175" s="65" t="s">
        <v>49</v>
      </c>
      <c r="D175" s="33" t="s">
        <v>19</v>
      </c>
      <c r="E175" s="33" t="s">
        <v>86</v>
      </c>
      <c r="F175" s="33"/>
      <c r="G175" s="33" t="s">
        <v>87</v>
      </c>
      <c r="H175" s="66" t="s">
        <v>273</v>
      </c>
      <c r="I175" s="67">
        <v>4257.5490896551719</v>
      </c>
      <c r="J175" s="33" t="s">
        <v>14</v>
      </c>
      <c r="K175" s="65" t="s">
        <v>14</v>
      </c>
      <c r="L175" s="68" t="s">
        <v>14</v>
      </c>
      <c r="M175" s="62" t="s">
        <v>222</v>
      </c>
      <c r="N175" s="33">
        <v>2025</v>
      </c>
    </row>
    <row r="176" spans="1:14">
      <c r="A176" s="33">
        <v>175</v>
      </c>
      <c r="B176" s="33" t="s">
        <v>42</v>
      </c>
      <c r="C176" s="65" t="s">
        <v>51</v>
      </c>
      <c r="D176" s="33" t="s">
        <v>19</v>
      </c>
      <c r="E176" s="33" t="s">
        <v>86</v>
      </c>
      <c r="F176" s="33"/>
      <c r="G176" s="33" t="s">
        <v>87</v>
      </c>
      <c r="H176" s="66" t="s">
        <v>273</v>
      </c>
      <c r="I176" s="67">
        <v>12323.225372413792</v>
      </c>
      <c r="J176" s="33" t="s">
        <v>14</v>
      </c>
      <c r="K176" s="65" t="s">
        <v>14</v>
      </c>
      <c r="L176" s="68" t="s">
        <v>14</v>
      </c>
      <c r="M176" s="62" t="s">
        <v>222</v>
      </c>
      <c r="N176" s="33">
        <v>2025</v>
      </c>
    </row>
    <row r="177" spans="1:14">
      <c r="A177" s="33">
        <v>176</v>
      </c>
      <c r="B177" s="33" t="s">
        <v>17</v>
      </c>
      <c r="C177" s="65" t="s">
        <v>25</v>
      </c>
      <c r="D177" s="33" t="s">
        <v>19</v>
      </c>
      <c r="E177" s="33" t="s">
        <v>86</v>
      </c>
      <c r="F177" s="33"/>
      <c r="G177" s="33" t="s">
        <v>87</v>
      </c>
      <c r="H177" s="69" t="s">
        <v>273</v>
      </c>
      <c r="I177" s="67">
        <v>22707.426931034483</v>
      </c>
      <c r="J177" s="33" t="s">
        <v>14</v>
      </c>
      <c r="K177" s="65" t="s">
        <v>14</v>
      </c>
      <c r="L177" s="68" t="s">
        <v>14</v>
      </c>
      <c r="M177" s="62" t="s">
        <v>222</v>
      </c>
      <c r="N177" s="33">
        <v>2025</v>
      </c>
    </row>
    <row r="178" spans="1:14">
      <c r="A178" s="33">
        <v>177</v>
      </c>
      <c r="B178" s="33" t="s">
        <v>17</v>
      </c>
      <c r="C178" s="33" t="s">
        <v>18</v>
      </c>
      <c r="D178" s="33" t="s">
        <v>19</v>
      </c>
      <c r="E178" s="33" t="s">
        <v>86</v>
      </c>
      <c r="F178" s="33"/>
      <c r="G178" s="33" t="s">
        <v>87</v>
      </c>
      <c r="H178" s="66" t="s">
        <v>91</v>
      </c>
      <c r="I178" s="67">
        <v>15495.553972413794</v>
      </c>
      <c r="J178" s="33" t="s">
        <v>14</v>
      </c>
      <c r="K178" s="65" t="s">
        <v>14</v>
      </c>
      <c r="L178" s="68" t="s">
        <v>14</v>
      </c>
      <c r="M178" s="62" t="s">
        <v>222</v>
      </c>
      <c r="N178" s="33">
        <v>2025</v>
      </c>
    </row>
    <row r="179" spans="1:14">
      <c r="A179" s="33">
        <v>178</v>
      </c>
      <c r="B179" s="33" t="s">
        <v>54</v>
      </c>
      <c r="C179" s="65" t="s">
        <v>55</v>
      </c>
      <c r="D179" s="33" t="s">
        <v>19</v>
      </c>
      <c r="E179" s="33" t="s">
        <v>86</v>
      </c>
      <c r="F179" s="33"/>
      <c r="G179" s="33" t="s">
        <v>87</v>
      </c>
      <c r="H179" s="66" t="s">
        <v>91</v>
      </c>
      <c r="I179" s="67">
        <v>25463.244634482759</v>
      </c>
      <c r="J179" s="33" t="s">
        <v>14</v>
      </c>
      <c r="K179" s="65" t="s">
        <v>14</v>
      </c>
      <c r="L179" s="68" t="s">
        <v>14</v>
      </c>
      <c r="M179" s="62" t="s">
        <v>222</v>
      </c>
      <c r="N179" s="33">
        <v>2025</v>
      </c>
    </row>
    <row r="180" spans="1:14">
      <c r="A180" s="33">
        <v>179</v>
      </c>
      <c r="B180" s="33" t="s">
        <v>42</v>
      </c>
      <c r="C180" s="65" t="s">
        <v>43</v>
      </c>
      <c r="D180" s="33" t="s">
        <v>19</v>
      </c>
      <c r="E180" s="33" t="s">
        <v>86</v>
      </c>
      <c r="F180" s="33"/>
      <c r="G180" s="33" t="s">
        <v>87</v>
      </c>
      <c r="H180" s="66" t="s">
        <v>91</v>
      </c>
      <c r="I180" s="67">
        <v>14007.957586206896</v>
      </c>
      <c r="J180" s="33" t="s">
        <v>14</v>
      </c>
      <c r="K180" s="65" t="s">
        <v>14</v>
      </c>
      <c r="L180" s="68" t="s">
        <v>14</v>
      </c>
      <c r="M180" s="62" t="s">
        <v>222</v>
      </c>
      <c r="N180" s="33">
        <v>2025</v>
      </c>
    </row>
    <row r="181" spans="1:14">
      <c r="A181" s="33">
        <v>180</v>
      </c>
      <c r="B181" s="64" t="s">
        <v>35</v>
      </c>
      <c r="C181" s="65" t="s">
        <v>36</v>
      </c>
      <c r="D181" s="33" t="s">
        <v>19</v>
      </c>
      <c r="E181" s="33" t="s">
        <v>86</v>
      </c>
      <c r="F181" s="33"/>
      <c r="G181" s="33" t="s">
        <v>87</v>
      </c>
      <c r="H181" s="33" t="s">
        <v>91</v>
      </c>
      <c r="I181" s="70">
        <v>3517.2413793103447</v>
      </c>
      <c r="J181" s="65" t="s">
        <v>14</v>
      </c>
      <c r="K181" s="65" t="s">
        <v>14</v>
      </c>
      <c r="L181" s="68" t="s">
        <v>14</v>
      </c>
      <c r="M181" s="62" t="s">
        <v>222</v>
      </c>
      <c r="N181" s="33">
        <v>2025</v>
      </c>
    </row>
    <row r="182" spans="1:14">
      <c r="A182" s="33">
        <v>181</v>
      </c>
      <c r="B182" s="62" t="s">
        <v>35</v>
      </c>
      <c r="C182" s="33" t="s">
        <v>37</v>
      </c>
      <c r="D182" s="33" t="s">
        <v>19</v>
      </c>
      <c r="E182" s="33" t="s">
        <v>86</v>
      </c>
      <c r="F182" s="33"/>
      <c r="G182" s="62" t="s">
        <v>87</v>
      </c>
      <c r="H182" s="62" t="s">
        <v>91</v>
      </c>
      <c r="I182" s="70">
        <v>17013.793131034483</v>
      </c>
      <c r="J182" s="33" t="s">
        <v>14</v>
      </c>
      <c r="K182" s="65" t="s">
        <v>14</v>
      </c>
      <c r="L182" s="33" t="s">
        <v>14</v>
      </c>
      <c r="M182" s="62" t="s">
        <v>222</v>
      </c>
      <c r="N182" s="33">
        <v>2025</v>
      </c>
    </row>
    <row r="183" spans="1:14">
      <c r="A183" s="33">
        <v>182</v>
      </c>
      <c r="B183" s="62" t="s">
        <v>42</v>
      </c>
      <c r="C183" s="33" t="s">
        <v>44</v>
      </c>
      <c r="D183" s="33" t="s">
        <v>19</v>
      </c>
      <c r="E183" s="33" t="s">
        <v>86</v>
      </c>
      <c r="F183" s="33"/>
      <c r="G183" s="62" t="s">
        <v>87</v>
      </c>
      <c r="H183" s="62" t="s">
        <v>91</v>
      </c>
      <c r="I183" s="70">
        <v>12383.023827586207</v>
      </c>
      <c r="J183" s="33" t="s">
        <v>14</v>
      </c>
      <c r="K183" s="65" t="s">
        <v>14</v>
      </c>
      <c r="L183" s="33" t="s">
        <v>14</v>
      </c>
      <c r="M183" s="62" t="s">
        <v>222</v>
      </c>
      <c r="N183" s="33">
        <v>2025</v>
      </c>
    </row>
    <row r="184" spans="1:14">
      <c r="A184" s="33">
        <v>183</v>
      </c>
      <c r="B184" s="62" t="s">
        <v>42</v>
      </c>
      <c r="C184" s="33" t="s">
        <v>45</v>
      </c>
      <c r="D184" s="33" t="s">
        <v>19</v>
      </c>
      <c r="E184" s="33" t="s">
        <v>86</v>
      </c>
      <c r="F184" s="33"/>
      <c r="G184" s="62" t="s">
        <v>87</v>
      </c>
      <c r="H184" s="62" t="s">
        <v>91</v>
      </c>
      <c r="I184" s="70">
        <v>22242.175117241379</v>
      </c>
      <c r="J184" s="33" t="s">
        <v>14</v>
      </c>
      <c r="K184" s="65" t="s">
        <v>14</v>
      </c>
      <c r="L184" s="33" t="s">
        <v>14</v>
      </c>
      <c r="M184" s="62" t="s">
        <v>222</v>
      </c>
      <c r="N184" s="33">
        <v>2025</v>
      </c>
    </row>
    <row r="185" spans="1:14">
      <c r="A185" s="33">
        <v>184</v>
      </c>
      <c r="B185" s="62" t="s">
        <v>33</v>
      </c>
      <c r="C185" s="33" t="s">
        <v>34</v>
      </c>
      <c r="D185" s="33" t="s">
        <v>19</v>
      </c>
      <c r="E185" s="33" t="s">
        <v>86</v>
      </c>
      <c r="F185" s="33"/>
      <c r="G185" s="62" t="s">
        <v>87</v>
      </c>
      <c r="H185" s="62" t="s">
        <v>91</v>
      </c>
      <c r="I185" s="70">
        <v>24432.413993103448</v>
      </c>
      <c r="J185" s="33" t="s">
        <v>14</v>
      </c>
      <c r="K185" s="65" t="s">
        <v>14</v>
      </c>
      <c r="L185" s="33" t="s">
        <v>14</v>
      </c>
      <c r="M185" s="62" t="s">
        <v>222</v>
      </c>
      <c r="N185" s="33">
        <v>2025</v>
      </c>
    </row>
    <row r="186" spans="1:14">
      <c r="A186" s="33">
        <v>185</v>
      </c>
      <c r="B186" s="62" t="s">
        <v>52</v>
      </c>
      <c r="C186" s="122" t="s">
        <v>62</v>
      </c>
      <c r="D186" s="33" t="s">
        <v>19</v>
      </c>
      <c r="E186" s="33" t="s">
        <v>86</v>
      </c>
      <c r="F186" s="33"/>
      <c r="G186" s="62" t="s">
        <v>87</v>
      </c>
      <c r="H186" s="62" t="s">
        <v>91</v>
      </c>
      <c r="I186" s="70">
        <v>93100.960620689657</v>
      </c>
      <c r="J186" s="33" t="s">
        <v>14</v>
      </c>
      <c r="K186" s="65" t="s">
        <v>14</v>
      </c>
      <c r="L186" s="33" t="s">
        <v>14</v>
      </c>
      <c r="M186" s="62" t="s">
        <v>222</v>
      </c>
      <c r="N186" s="33">
        <v>2025</v>
      </c>
    </row>
    <row r="187" spans="1:14">
      <c r="A187" s="33">
        <v>186</v>
      </c>
      <c r="B187" s="33" t="s">
        <v>58</v>
      </c>
      <c r="C187" s="33" t="s">
        <v>59</v>
      </c>
      <c r="D187" s="33" t="s">
        <v>19</v>
      </c>
      <c r="E187" s="33" t="s">
        <v>86</v>
      </c>
      <c r="F187" s="33"/>
      <c r="G187" s="33" t="s">
        <v>87</v>
      </c>
      <c r="H187" s="33" t="s">
        <v>91</v>
      </c>
      <c r="I187" s="70">
        <v>4758.6207724137921</v>
      </c>
      <c r="J187" s="33" t="s">
        <v>14</v>
      </c>
      <c r="K187" s="65" t="s">
        <v>14</v>
      </c>
      <c r="L187" s="33" t="s">
        <v>14</v>
      </c>
      <c r="M187" s="33" t="s">
        <v>222</v>
      </c>
      <c r="N187" s="33">
        <v>2025</v>
      </c>
    </row>
    <row r="188" spans="1:14">
      <c r="A188" s="33">
        <v>187</v>
      </c>
      <c r="B188" s="33" t="s">
        <v>17</v>
      </c>
      <c r="C188" s="33" t="s">
        <v>22</v>
      </c>
      <c r="D188" s="33" t="s">
        <v>19</v>
      </c>
      <c r="E188" s="33" t="s">
        <v>86</v>
      </c>
      <c r="F188" s="33"/>
      <c r="G188" s="33" t="s">
        <v>87</v>
      </c>
      <c r="H188" s="33" t="s">
        <v>91</v>
      </c>
      <c r="I188" s="70">
        <v>4814.3236275862064</v>
      </c>
      <c r="J188" s="33" t="s">
        <v>14</v>
      </c>
      <c r="K188" s="65" t="s">
        <v>14</v>
      </c>
      <c r="L188" s="33" t="s">
        <v>14</v>
      </c>
      <c r="M188" s="33" t="s">
        <v>222</v>
      </c>
      <c r="N188" s="33">
        <v>2025</v>
      </c>
    </row>
    <row r="189" spans="1:14">
      <c r="A189" s="33">
        <v>188</v>
      </c>
      <c r="B189" s="73" t="s">
        <v>42</v>
      </c>
      <c r="C189" s="123" t="s">
        <v>46</v>
      </c>
      <c r="D189" s="73" t="s">
        <v>19</v>
      </c>
      <c r="E189" s="73" t="s">
        <v>86</v>
      </c>
      <c r="F189" s="33"/>
      <c r="G189" s="73" t="s">
        <v>87</v>
      </c>
      <c r="H189" s="73" t="s">
        <v>91</v>
      </c>
      <c r="I189" s="67">
        <v>15318.30244137931</v>
      </c>
      <c r="J189" s="33" t="s">
        <v>14</v>
      </c>
      <c r="K189" s="65" t="s">
        <v>14</v>
      </c>
      <c r="L189" s="33" t="s">
        <v>14</v>
      </c>
      <c r="M189" s="62" t="s">
        <v>222</v>
      </c>
      <c r="N189" s="33">
        <v>2025</v>
      </c>
    </row>
    <row r="190" spans="1:14">
      <c r="A190" s="33">
        <v>189</v>
      </c>
      <c r="B190" s="33" t="s">
        <v>35</v>
      </c>
      <c r="C190" s="33" t="s">
        <v>39</v>
      </c>
      <c r="D190" s="33" t="s">
        <v>19</v>
      </c>
      <c r="E190" s="74" t="s">
        <v>86</v>
      </c>
      <c r="F190" s="33"/>
      <c r="G190" s="33" t="s">
        <v>87</v>
      </c>
      <c r="H190" s="33" t="s">
        <v>91</v>
      </c>
      <c r="I190" s="70">
        <v>1724.1379310344828</v>
      </c>
      <c r="J190" s="33" t="s">
        <v>14</v>
      </c>
      <c r="K190" s="65" t="s">
        <v>14</v>
      </c>
      <c r="L190" s="33" t="s">
        <v>14</v>
      </c>
      <c r="M190" s="64" t="s">
        <v>222</v>
      </c>
      <c r="N190" s="33">
        <v>2025</v>
      </c>
    </row>
    <row r="191" spans="1:14">
      <c r="A191" s="33">
        <v>190</v>
      </c>
      <c r="B191" s="33" t="s">
        <v>35</v>
      </c>
      <c r="C191" s="33" t="s">
        <v>41</v>
      </c>
      <c r="D191" s="33" t="s">
        <v>19</v>
      </c>
      <c r="E191" s="74" t="s">
        <v>86</v>
      </c>
      <c r="F191" s="33"/>
      <c r="G191" s="33" t="s">
        <v>87</v>
      </c>
      <c r="H191" s="33" t="s">
        <v>91</v>
      </c>
      <c r="I191" s="70">
        <v>1793.1034482758621</v>
      </c>
      <c r="J191" s="33" t="s">
        <v>14</v>
      </c>
      <c r="K191" s="65" t="s">
        <v>14</v>
      </c>
      <c r="L191" s="33" t="s">
        <v>14</v>
      </c>
      <c r="M191" s="64" t="s">
        <v>222</v>
      </c>
      <c r="N191" s="33">
        <v>2025</v>
      </c>
    </row>
    <row r="192" spans="1:14">
      <c r="A192" s="33">
        <v>191</v>
      </c>
      <c r="B192" s="33" t="s">
        <v>42</v>
      </c>
      <c r="C192" s="33" t="s">
        <v>47</v>
      </c>
      <c r="D192" s="33" t="s">
        <v>19</v>
      </c>
      <c r="E192" s="74" t="s">
        <v>86</v>
      </c>
      <c r="F192" s="33"/>
      <c r="G192" s="33" t="s">
        <v>87</v>
      </c>
      <c r="H192" s="33" t="s">
        <v>91</v>
      </c>
      <c r="I192" s="70">
        <v>8435.0132965517241</v>
      </c>
      <c r="J192" s="33" t="s">
        <v>14</v>
      </c>
      <c r="K192" s="65" t="s">
        <v>14</v>
      </c>
      <c r="L192" s="33" t="s">
        <v>14</v>
      </c>
      <c r="M192" s="64" t="s">
        <v>222</v>
      </c>
      <c r="N192" s="33">
        <v>2025</v>
      </c>
    </row>
    <row r="193" spans="1:14">
      <c r="A193" s="33">
        <v>192</v>
      </c>
      <c r="B193" s="33" t="s">
        <v>17</v>
      </c>
      <c r="C193" s="33" t="s">
        <v>24</v>
      </c>
      <c r="D193" s="33" t="s">
        <v>19</v>
      </c>
      <c r="E193" s="33" t="s">
        <v>86</v>
      </c>
      <c r="F193" s="33"/>
      <c r="G193" s="33" t="s">
        <v>87</v>
      </c>
      <c r="H193" s="33" t="s">
        <v>91</v>
      </c>
      <c r="I193" s="70">
        <v>11701.326289655173</v>
      </c>
      <c r="J193" s="33" t="s">
        <v>14</v>
      </c>
      <c r="K193" s="65" t="s">
        <v>14</v>
      </c>
      <c r="L193" s="33" t="s">
        <v>14</v>
      </c>
      <c r="M193" s="33" t="s">
        <v>222</v>
      </c>
      <c r="N193" s="33">
        <v>2025</v>
      </c>
    </row>
    <row r="194" spans="1:14">
      <c r="A194" s="33">
        <v>193</v>
      </c>
      <c r="B194" s="33" t="s">
        <v>42</v>
      </c>
      <c r="C194" s="122" t="s">
        <v>285</v>
      </c>
      <c r="D194" s="33" t="s">
        <v>19</v>
      </c>
      <c r="E194" s="33" t="s">
        <v>86</v>
      </c>
      <c r="F194" s="33"/>
      <c r="G194" s="33" t="s">
        <v>87</v>
      </c>
      <c r="H194" s="33" t="s">
        <v>91</v>
      </c>
      <c r="I194" s="70">
        <v>23344.35428965517</v>
      </c>
      <c r="J194" s="33" t="s">
        <v>14</v>
      </c>
      <c r="K194" s="65" t="s">
        <v>14</v>
      </c>
      <c r="L194" s="33" t="s">
        <v>14</v>
      </c>
      <c r="M194" s="33" t="s">
        <v>222</v>
      </c>
      <c r="N194" s="33">
        <v>2025</v>
      </c>
    </row>
    <row r="195" spans="1:14">
      <c r="A195" s="33">
        <v>194</v>
      </c>
      <c r="B195" s="33" t="s">
        <v>42</v>
      </c>
      <c r="C195" s="33" t="s">
        <v>50</v>
      </c>
      <c r="D195" s="33" t="s">
        <v>19</v>
      </c>
      <c r="E195" s="33" t="s">
        <v>86</v>
      </c>
      <c r="F195" s="33"/>
      <c r="G195" s="33" t="s">
        <v>87</v>
      </c>
      <c r="H195" s="33" t="s">
        <v>91</v>
      </c>
      <c r="I195" s="70">
        <v>20814.376696551724</v>
      </c>
      <c r="J195" s="33" t="s">
        <v>14</v>
      </c>
      <c r="K195" s="65" t="s">
        <v>14</v>
      </c>
      <c r="L195" s="33" t="s">
        <v>14</v>
      </c>
      <c r="M195" s="33" t="s">
        <v>222</v>
      </c>
      <c r="N195" s="33">
        <v>2025</v>
      </c>
    </row>
    <row r="196" spans="1:14">
      <c r="A196" s="33">
        <v>195</v>
      </c>
      <c r="B196" s="61" t="s">
        <v>42</v>
      </c>
      <c r="C196" s="33" t="s">
        <v>49</v>
      </c>
      <c r="D196" s="33" t="s">
        <v>19</v>
      </c>
      <c r="E196" s="33" t="s">
        <v>86</v>
      </c>
      <c r="F196" s="33"/>
      <c r="G196" s="33" t="s">
        <v>87</v>
      </c>
      <c r="H196" s="33" t="s">
        <v>91</v>
      </c>
      <c r="I196" s="63">
        <v>1793.1034482758621</v>
      </c>
      <c r="J196" s="33" t="s">
        <v>14</v>
      </c>
      <c r="K196" s="65" t="s">
        <v>14</v>
      </c>
      <c r="L196" s="33" t="s">
        <v>14</v>
      </c>
      <c r="M196" s="33" t="s">
        <v>222</v>
      </c>
      <c r="N196" s="33">
        <v>2025</v>
      </c>
    </row>
    <row r="197" spans="1:14">
      <c r="A197" s="33">
        <v>196</v>
      </c>
      <c r="B197" s="33" t="s">
        <v>42</v>
      </c>
      <c r="C197" s="33" t="s">
        <v>51</v>
      </c>
      <c r="D197" s="33" t="s">
        <v>19</v>
      </c>
      <c r="E197" s="33" t="s">
        <v>86</v>
      </c>
      <c r="F197" s="33"/>
      <c r="G197" s="33" t="s">
        <v>87</v>
      </c>
      <c r="H197" s="33" t="s">
        <v>91</v>
      </c>
      <c r="I197" s="63">
        <v>1724.1379310344828</v>
      </c>
      <c r="J197" s="33" t="s">
        <v>14</v>
      </c>
      <c r="K197" s="65" t="s">
        <v>14</v>
      </c>
      <c r="L197" s="33" t="s">
        <v>14</v>
      </c>
      <c r="M197" s="33" t="s">
        <v>222</v>
      </c>
      <c r="N197" s="33">
        <v>2025</v>
      </c>
    </row>
    <row r="198" spans="1:14">
      <c r="A198" s="33">
        <v>197</v>
      </c>
      <c r="B198" s="33" t="s">
        <v>17</v>
      </c>
      <c r="C198" s="33" t="s">
        <v>25</v>
      </c>
      <c r="D198" s="33" t="s">
        <v>19</v>
      </c>
      <c r="E198" s="33" t="s">
        <v>86</v>
      </c>
      <c r="F198" s="33"/>
      <c r="G198" s="33" t="s">
        <v>87</v>
      </c>
      <c r="H198" s="33" t="s">
        <v>91</v>
      </c>
      <c r="I198" s="63">
        <v>13019.151241379312</v>
      </c>
      <c r="J198" s="33" t="s">
        <v>14</v>
      </c>
      <c r="K198" s="65" t="s">
        <v>14</v>
      </c>
      <c r="L198" s="33" t="s">
        <v>14</v>
      </c>
      <c r="M198" s="33" t="s">
        <v>222</v>
      </c>
      <c r="N198" s="33">
        <v>2025</v>
      </c>
    </row>
    <row r="199" spans="1:14">
      <c r="A199" s="33">
        <v>198</v>
      </c>
      <c r="B199" s="33" t="s">
        <v>17</v>
      </c>
      <c r="C199" s="65" t="s">
        <v>26</v>
      </c>
      <c r="D199" s="33" t="s">
        <v>19</v>
      </c>
      <c r="E199" s="33" t="s">
        <v>86</v>
      </c>
      <c r="F199" s="33"/>
      <c r="G199" s="33" t="s">
        <v>87</v>
      </c>
      <c r="H199" s="66" t="s">
        <v>91</v>
      </c>
      <c r="I199" s="67">
        <v>543.76657931034481</v>
      </c>
      <c r="J199" s="33" t="s">
        <v>14</v>
      </c>
      <c r="K199" s="65" t="s">
        <v>14</v>
      </c>
      <c r="L199" s="68" t="s">
        <v>14</v>
      </c>
      <c r="M199" s="62" t="s">
        <v>222</v>
      </c>
      <c r="N199" s="33">
        <v>2025</v>
      </c>
    </row>
    <row r="200" spans="1:14">
      <c r="A200" s="33">
        <v>199</v>
      </c>
      <c r="B200" s="33" t="s">
        <v>54</v>
      </c>
      <c r="C200" s="65" t="s">
        <v>55</v>
      </c>
      <c r="D200" s="33" t="s">
        <v>19</v>
      </c>
      <c r="E200" s="33" t="s">
        <v>86</v>
      </c>
      <c r="F200" s="33"/>
      <c r="G200" s="33" t="s">
        <v>90</v>
      </c>
      <c r="H200" s="66" t="s">
        <v>273</v>
      </c>
      <c r="I200" s="67">
        <v>18465.517200000002</v>
      </c>
      <c r="J200" s="33" t="s">
        <v>14</v>
      </c>
      <c r="K200" s="65" t="s">
        <v>14</v>
      </c>
      <c r="L200" s="68" t="s">
        <v>14</v>
      </c>
      <c r="M200" s="62" t="s">
        <v>222</v>
      </c>
      <c r="N200" s="33">
        <v>2025</v>
      </c>
    </row>
    <row r="201" spans="1:14">
      <c r="A201" s="33">
        <v>200</v>
      </c>
      <c r="B201" s="62" t="s">
        <v>42</v>
      </c>
      <c r="C201" s="33" t="s">
        <v>43</v>
      </c>
      <c r="D201" s="33" t="s">
        <v>19</v>
      </c>
      <c r="E201" s="33" t="s">
        <v>86</v>
      </c>
      <c r="F201" s="33"/>
      <c r="G201" s="62" t="s">
        <v>90</v>
      </c>
      <c r="H201" s="62" t="s">
        <v>273</v>
      </c>
      <c r="I201" s="70">
        <v>6366.0477586206898</v>
      </c>
      <c r="J201" s="33" t="s">
        <v>14</v>
      </c>
      <c r="K201" s="65" t="s">
        <v>14</v>
      </c>
      <c r="L201" s="33" t="s">
        <v>14</v>
      </c>
      <c r="M201" s="62" t="s">
        <v>222</v>
      </c>
      <c r="N201" s="33">
        <v>2025</v>
      </c>
    </row>
    <row r="202" spans="1:14">
      <c r="A202" s="33">
        <v>201</v>
      </c>
      <c r="B202" s="62" t="s">
        <v>35</v>
      </c>
      <c r="C202" s="33" t="s">
        <v>36</v>
      </c>
      <c r="D202" s="33" t="s">
        <v>19</v>
      </c>
      <c r="E202" s="33" t="s">
        <v>86</v>
      </c>
      <c r="F202" s="33"/>
      <c r="G202" s="62" t="s">
        <v>90</v>
      </c>
      <c r="H202" s="62" t="s">
        <v>273</v>
      </c>
      <c r="I202" s="70">
        <v>509.28382068965522</v>
      </c>
      <c r="J202" s="33" t="s">
        <v>14</v>
      </c>
      <c r="K202" s="65" t="s">
        <v>14</v>
      </c>
      <c r="L202" s="33" t="s">
        <v>14</v>
      </c>
      <c r="M202" s="62" t="s">
        <v>222</v>
      </c>
      <c r="N202" s="33">
        <v>2025</v>
      </c>
    </row>
    <row r="203" spans="1:14">
      <c r="A203" s="33">
        <v>202</v>
      </c>
      <c r="B203" s="62" t="s">
        <v>42</v>
      </c>
      <c r="C203" s="33" t="s">
        <v>45</v>
      </c>
      <c r="D203" s="33" t="s">
        <v>19</v>
      </c>
      <c r="E203" s="33" t="s">
        <v>86</v>
      </c>
      <c r="F203" s="33"/>
      <c r="G203" s="62" t="s">
        <v>90</v>
      </c>
      <c r="H203" s="62" t="s">
        <v>273</v>
      </c>
      <c r="I203" s="70">
        <v>6368.1366068965517</v>
      </c>
      <c r="J203" s="33" t="s">
        <v>14</v>
      </c>
      <c r="K203" s="65" t="s">
        <v>14</v>
      </c>
      <c r="L203" s="33" t="s">
        <v>14</v>
      </c>
      <c r="M203" s="62" t="s">
        <v>222</v>
      </c>
      <c r="N203" s="33">
        <v>2025</v>
      </c>
    </row>
    <row r="204" spans="1:14">
      <c r="A204" s="33">
        <v>203</v>
      </c>
      <c r="B204" s="62" t="s">
        <v>33</v>
      </c>
      <c r="C204" s="33" t="s">
        <v>34</v>
      </c>
      <c r="D204" s="33" t="s">
        <v>19</v>
      </c>
      <c r="E204" s="33" t="s">
        <v>86</v>
      </c>
      <c r="F204" s="33"/>
      <c r="G204" s="62" t="s">
        <v>90</v>
      </c>
      <c r="H204" s="62" t="s">
        <v>273</v>
      </c>
      <c r="I204" s="70">
        <v>6763.6605724137935</v>
      </c>
      <c r="J204" s="33" t="s">
        <v>14</v>
      </c>
      <c r="K204" s="65" t="s">
        <v>14</v>
      </c>
      <c r="L204" s="33" t="s">
        <v>14</v>
      </c>
      <c r="M204" s="62" t="s">
        <v>222</v>
      </c>
      <c r="N204" s="33">
        <v>2025</v>
      </c>
    </row>
    <row r="205" spans="1:14">
      <c r="A205" s="33">
        <v>204</v>
      </c>
      <c r="B205" s="62" t="s">
        <v>61</v>
      </c>
      <c r="C205" s="122" t="s">
        <v>62</v>
      </c>
      <c r="D205" s="33" t="s">
        <v>19</v>
      </c>
      <c r="E205" s="33" t="s">
        <v>86</v>
      </c>
      <c r="F205" s="33"/>
      <c r="G205" s="62" t="s">
        <v>90</v>
      </c>
      <c r="H205" s="62" t="s">
        <v>273</v>
      </c>
      <c r="I205" s="70">
        <v>27083.852875862071</v>
      </c>
      <c r="J205" s="33" t="s">
        <v>14</v>
      </c>
      <c r="K205" s="65" t="s">
        <v>14</v>
      </c>
      <c r="L205" s="33" t="s">
        <v>14</v>
      </c>
      <c r="M205" s="62" t="s">
        <v>222</v>
      </c>
      <c r="N205" s="33">
        <v>2025</v>
      </c>
    </row>
    <row r="206" spans="1:14">
      <c r="A206" s="33">
        <v>205</v>
      </c>
      <c r="B206" s="62" t="s">
        <v>58</v>
      </c>
      <c r="C206" s="60" t="s">
        <v>59</v>
      </c>
      <c r="D206" s="33" t="s">
        <v>19</v>
      </c>
      <c r="E206" s="33" t="s">
        <v>86</v>
      </c>
      <c r="F206" s="33"/>
      <c r="G206" s="62" t="s">
        <v>90</v>
      </c>
      <c r="H206" s="62" t="s">
        <v>273</v>
      </c>
      <c r="I206" s="70">
        <v>1293.1034482758621</v>
      </c>
      <c r="J206" s="33" t="s">
        <v>14</v>
      </c>
      <c r="K206" s="65" t="s">
        <v>14</v>
      </c>
      <c r="L206" s="33" t="s">
        <v>14</v>
      </c>
      <c r="M206" s="62" t="s">
        <v>222</v>
      </c>
      <c r="N206" s="33">
        <v>2025</v>
      </c>
    </row>
    <row r="207" spans="1:14">
      <c r="A207" s="33">
        <v>206</v>
      </c>
      <c r="B207" s="62" t="s">
        <v>42</v>
      </c>
      <c r="C207" s="33" t="s">
        <v>50</v>
      </c>
      <c r="D207" s="33" t="s">
        <v>19</v>
      </c>
      <c r="E207" s="33" t="s">
        <v>86</v>
      </c>
      <c r="F207" s="33"/>
      <c r="G207" s="62" t="s">
        <v>90</v>
      </c>
      <c r="H207" s="62" t="s">
        <v>273</v>
      </c>
      <c r="I207" s="70">
        <v>26425.232213793104</v>
      </c>
      <c r="J207" s="33" t="s">
        <v>14</v>
      </c>
      <c r="K207" s="65" t="s">
        <v>14</v>
      </c>
      <c r="L207" s="33" t="s">
        <v>14</v>
      </c>
      <c r="M207" s="62" t="s">
        <v>222</v>
      </c>
      <c r="N207" s="33">
        <v>2025</v>
      </c>
    </row>
    <row r="208" spans="1:14">
      <c r="A208" s="33">
        <v>207</v>
      </c>
      <c r="B208" s="33" t="s">
        <v>54</v>
      </c>
      <c r="C208" s="65" t="s">
        <v>55</v>
      </c>
      <c r="D208" s="33" t="s">
        <v>60</v>
      </c>
      <c r="E208" s="33" t="s">
        <v>71</v>
      </c>
      <c r="F208" s="33"/>
      <c r="G208" s="33" t="s">
        <v>64</v>
      </c>
      <c r="H208" s="66" t="s">
        <v>75</v>
      </c>
      <c r="I208" s="67">
        <v>1116.5517241379309</v>
      </c>
      <c r="J208" s="33" t="s">
        <v>693</v>
      </c>
      <c r="K208" s="65">
        <v>45700</v>
      </c>
      <c r="L208" s="94" t="s">
        <v>14</v>
      </c>
      <c r="M208" s="94" t="s">
        <v>222</v>
      </c>
      <c r="N208" s="33">
        <v>2025</v>
      </c>
    </row>
    <row r="209" spans="1:14">
      <c r="A209" s="33">
        <v>208</v>
      </c>
      <c r="B209" s="33" t="s">
        <v>54</v>
      </c>
      <c r="C209" s="65" t="s">
        <v>55</v>
      </c>
      <c r="D209" s="33" t="s">
        <v>60</v>
      </c>
      <c r="E209" s="33" t="s">
        <v>71</v>
      </c>
      <c r="F209" s="33"/>
      <c r="G209" s="33" t="s">
        <v>64</v>
      </c>
      <c r="H209" s="66" t="s">
        <v>75</v>
      </c>
      <c r="I209" s="67">
        <v>1580</v>
      </c>
      <c r="J209" s="33" t="s">
        <v>694</v>
      </c>
      <c r="K209" s="65">
        <v>45820</v>
      </c>
      <c r="L209" s="94" t="s">
        <v>14</v>
      </c>
      <c r="M209" s="94" t="s">
        <v>222</v>
      </c>
      <c r="N209" s="33">
        <v>2025</v>
      </c>
    </row>
    <row r="210" spans="1:14">
      <c r="A210" s="33">
        <v>209</v>
      </c>
      <c r="B210" s="33" t="s">
        <v>54</v>
      </c>
      <c r="C210" s="33" t="s">
        <v>55</v>
      </c>
      <c r="D210" s="33" t="s">
        <v>60</v>
      </c>
      <c r="E210" s="33" t="s">
        <v>71</v>
      </c>
      <c r="F210" s="33"/>
      <c r="G210" s="33" t="s">
        <v>64</v>
      </c>
      <c r="H210" s="33" t="s">
        <v>75</v>
      </c>
      <c r="I210" s="67">
        <v>3710.344827586207</v>
      </c>
      <c r="J210" s="33" t="s">
        <v>695</v>
      </c>
      <c r="K210" s="65" t="s">
        <v>679</v>
      </c>
      <c r="L210" s="94" t="s">
        <v>14</v>
      </c>
      <c r="M210" s="94" t="s">
        <v>222</v>
      </c>
      <c r="N210" s="33">
        <v>2025</v>
      </c>
    </row>
    <row r="211" spans="1:14">
      <c r="A211" s="33">
        <v>210</v>
      </c>
      <c r="B211" s="33" t="s">
        <v>54</v>
      </c>
      <c r="C211" s="33" t="s">
        <v>55</v>
      </c>
      <c r="D211" s="33" t="s">
        <v>60</v>
      </c>
      <c r="E211" s="33" t="s">
        <v>71</v>
      </c>
      <c r="F211" s="33"/>
      <c r="G211" s="33" t="s">
        <v>64</v>
      </c>
      <c r="H211" s="33" t="s">
        <v>75</v>
      </c>
      <c r="I211" s="67">
        <v>1966.3793103448277</v>
      </c>
      <c r="J211" s="33" t="s">
        <v>696</v>
      </c>
      <c r="K211" s="65" t="s">
        <v>673</v>
      </c>
      <c r="L211" s="94" t="s">
        <v>14</v>
      </c>
      <c r="M211" s="94" t="s">
        <v>222</v>
      </c>
      <c r="N211" s="33">
        <v>2025</v>
      </c>
    </row>
    <row r="212" spans="1:14">
      <c r="A212" s="33">
        <v>211</v>
      </c>
      <c r="B212" s="33" t="s">
        <v>54</v>
      </c>
      <c r="C212" s="33" t="s">
        <v>55</v>
      </c>
      <c r="D212" s="33" t="s">
        <v>60</v>
      </c>
      <c r="E212" s="33" t="s">
        <v>71</v>
      </c>
      <c r="F212" s="33"/>
      <c r="G212" s="33" t="s">
        <v>64</v>
      </c>
      <c r="H212" s="33" t="s">
        <v>75</v>
      </c>
      <c r="I212" s="67">
        <v>5386.2068965517237</v>
      </c>
      <c r="J212" s="33" t="s">
        <v>68</v>
      </c>
      <c r="K212" s="65" t="s">
        <v>678</v>
      </c>
      <c r="L212" s="94" t="s">
        <v>14</v>
      </c>
      <c r="M212" s="94" t="s">
        <v>222</v>
      </c>
      <c r="N212" s="33">
        <v>2025</v>
      </c>
    </row>
    <row r="213" spans="1:14">
      <c r="A213" s="33">
        <v>212</v>
      </c>
      <c r="B213" s="33" t="s">
        <v>42</v>
      </c>
      <c r="C213" s="33" t="s">
        <v>70</v>
      </c>
      <c r="D213" s="33" t="s">
        <v>60</v>
      </c>
      <c r="E213" s="33" t="s">
        <v>71</v>
      </c>
      <c r="F213" s="33"/>
      <c r="G213" s="33" t="s">
        <v>64</v>
      </c>
      <c r="H213" s="33" t="s">
        <v>703</v>
      </c>
      <c r="I213" s="67">
        <v>1482.7586206896551</v>
      </c>
      <c r="J213" s="33" t="s">
        <v>68</v>
      </c>
      <c r="K213" s="65" t="s">
        <v>680</v>
      </c>
      <c r="L213" s="94" t="s">
        <v>14</v>
      </c>
      <c r="M213" s="94" t="s">
        <v>222</v>
      </c>
      <c r="N213" s="33">
        <v>2025</v>
      </c>
    </row>
    <row r="214" spans="1:14">
      <c r="A214" s="33">
        <v>213</v>
      </c>
      <c r="B214" s="33" t="s">
        <v>42</v>
      </c>
      <c r="C214" s="33" t="s">
        <v>70</v>
      </c>
      <c r="D214" s="33" t="s">
        <v>60</v>
      </c>
      <c r="E214" s="33" t="s">
        <v>71</v>
      </c>
      <c r="F214" s="33"/>
      <c r="G214" s="33" t="s">
        <v>64</v>
      </c>
      <c r="H214" s="33" t="s">
        <v>704</v>
      </c>
      <c r="I214" s="67">
        <v>502.06896551724139</v>
      </c>
      <c r="J214" s="33" t="s">
        <v>68</v>
      </c>
      <c r="K214" s="65" t="s">
        <v>681</v>
      </c>
      <c r="L214" s="94" t="s">
        <v>14</v>
      </c>
      <c r="M214" s="94" t="s">
        <v>222</v>
      </c>
      <c r="N214" s="33">
        <v>2025</v>
      </c>
    </row>
    <row r="215" spans="1:14">
      <c r="A215" s="33">
        <v>214</v>
      </c>
      <c r="B215" s="33" t="s">
        <v>42</v>
      </c>
      <c r="C215" s="65" t="s">
        <v>70</v>
      </c>
      <c r="D215" s="33" t="s">
        <v>60</v>
      </c>
      <c r="E215" s="33" t="s">
        <v>71</v>
      </c>
      <c r="F215" s="33"/>
      <c r="G215" s="33" t="s">
        <v>64</v>
      </c>
      <c r="H215" s="66" t="s">
        <v>705</v>
      </c>
      <c r="I215" s="67">
        <v>568.9655172413793</v>
      </c>
      <c r="J215" s="33" t="s">
        <v>68</v>
      </c>
      <c r="K215" s="65" t="s">
        <v>280</v>
      </c>
      <c r="L215" s="94" t="s">
        <v>14</v>
      </c>
      <c r="M215" s="94" t="s">
        <v>222</v>
      </c>
      <c r="N215" s="33">
        <v>2025</v>
      </c>
    </row>
    <row r="216" spans="1:14">
      <c r="A216" s="33">
        <v>215</v>
      </c>
      <c r="B216" s="33" t="s">
        <v>35</v>
      </c>
      <c r="C216" s="65" t="s">
        <v>36</v>
      </c>
      <c r="D216" s="33" t="s">
        <v>60</v>
      </c>
      <c r="E216" s="33" t="s">
        <v>71</v>
      </c>
      <c r="F216" s="33"/>
      <c r="G216" s="33" t="s">
        <v>64</v>
      </c>
      <c r="H216" s="66" t="s">
        <v>706</v>
      </c>
      <c r="I216" s="67">
        <v>1341.3793103448277</v>
      </c>
      <c r="J216" s="33">
        <v>3646</v>
      </c>
      <c r="K216" s="65" t="s">
        <v>682</v>
      </c>
      <c r="L216" s="94" t="s">
        <v>14</v>
      </c>
      <c r="M216" s="94" t="s">
        <v>222</v>
      </c>
      <c r="N216" s="33">
        <v>2025</v>
      </c>
    </row>
    <row r="217" spans="1:14">
      <c r="A217" s="33">
        <v>216</v>
      </c>
      <c r="B217" s="33" t="s">
        <v>35</v>
      </c>
      <c r="C217" s="65" t="s">
        <v>36</v>
      </c>
      <c r="D217" s="33" t="s">
        <v>60</v>
      </c>
      <c r="E217" s="33" t="s">
        <v>71</v>
      </c>
      <c r="F217" s="33"/>
      <c r="G217" s="33" t="s">
        <v>64</v>
      </c>
      <c r="H217" s="66" t="s">
        <v>707</v>
      </c>
      <c r="I217" s="67">
        <v>206.89655172413794</v>
      </c>
      <c r="J217" s="33">
        <v>583</v>
      </c>
      <c r="K217" s="65" t="s">
        <v>683</v>
      </c>
      <c r="L217" s="94" t="s">
        <v>14</v>
      </c>
      <c r="M217" s="94" t="s">
        <v>222</v>
      </c>
      <c r="N217" s="33">
        <v>2025</v>
      </c>
    </row>
    <row r="218" spans="1:14">
      <c r="A218" s="33">
        <v>217</v>
      </c>
      <c r="B218" s="33" t="s">
        <v>35</v>
      </c>
      <c r="C218" s="65" t="s">
        <v>37</v>
      </c>
      <c r="D218" s="33" t="s">
        <v>60</v>
      </c>
      <c r="E218" s="33" t="s">
        <v>71</v>
      </c>
      <c r="F218" s="33"/>
      <c r="G218" s="33" t="s">
        <v>64</v>
      </c>
      <c r="H218" s="66" t="s">
        <v>259</v>
      </c>
      <c r="I218" s="67">
        <v>789.31034482758616</v>
      </c>
      <c r="J218" s="33" t="s">
        <v>68</v>
      </c>
      <c r="K218" s="65">
        <v>45700</v>
      </c>
      <c r="L218" s="94" t="s">
        <v>14</v>
      </c>
      <c r="M218" s="94" t="s">
        <v>222</v>
      </c>
      <c r="N218" s="33">
        <v>2025</v>
      </c>
    </row>
    <row r="219" spans="1:14">
      <c r="A219" s="33">
        <v>218</v>
      </c>
      <c r="B219" s="33" t="s">
        <v>42</v>
      </c>
      <c r="C219" s="65" t="s">
        <v>44</v>
      </c>
      <c r="D219" s="33" t="s">
        <v>60</v>
      </c>
      <c r="E219" s="33" t="s">
        <v>71</v>
      </c>
      <c r="F219" s="33"/>
      <c r="G219" s="33" t="s">
        <v>64</v>
      </c>
      <c r="H219" s="69" t="s">
        <v>260</v>
      </c>
      <c r="I219" s="67">
        <v>388.62068965517244</v>
      </c>
      <c r="J219" s="33" t="s">
        <v>68</v>
      </c>
      <c r="K219" s="65">
        <v>45759</v>
      </c>
      <c r="L219" s="94" t="s">
        <v>14</v>
      </c>
      <c r="M219" s="94" t="s">
        <v>222</v>
      </c>
      <c r="N219" s="33">
        <v>2025</v>
      </c>
    </row>
    <row r="220" spans="1:14">
      <c r="A220" s="33">
        <v>219</v>
      </c>
      <c r="B220" s="33" t="s">
        <v>42</v>
      </c>
      <c r="C220" s="79" t="s">
        <v>44</v>
      </c>
      <c r="D220" s="33" t="s">
        <v>60</v>
      </c>
      <c r="E220" s="33" t="s">
        <v>71</v>
      </c>
      <c r="F220" s="33"/>
      <c r="G220" s="33" t="s">
        <v>64</v>
      </c>
      <c r="H220" s="66" t="s">
        <v>260</v>
      </c>
      <c r="I220" s="67">
        <v>173.10344827586206</v>
      </c>
      <c r="J220" s="33" t="s">
        <v>68</v>
      </c>
      <c r="K220" s="65" t="s">
        <v>684</v>
      </c>
      <c r="L220" s="94" t="s">
        <v>14</v>
      </c>
      <c r="M220" s="94" t="s">
        <v>222</v>
      </c>
      <c r="N220" s="33">
        <v>2025</v>
      </c>
    </row>
    <row r="221" spans="1:14">
      <c r="A221" s="33">
        <v>220</v>
      </c>
      <c r="B221" s="33" t="s">
        <v>42</v>
      </c>
      <c r="C221" s="65" t="s">
        <v>45</v>
      </c>
      <c r="D221" s="33" t="s">
        <v>60</v>
      </c>
      <c r="E221" s="33" t="s">
        <v>71</v>
      </c>
      <c r="F221" s="33"/>
      <c r="G221" s="33" t="s">
        <v>64</v>
      </c>
      <c r="H221" s="66" t="s">
        <v>708</v>
      </c>
      <c r="I221" s="67">
        <v>1554.4827586206898</v>
      </c>
      <c r="J221" s="33" t="s">
        <v>68</v>
      </c>
      <c r="K221" s="65">
        <v>46002</v>
      </c>
      <c r="L221" s="94" t="s">
        <v>14</v>
      </c>
      <c r="M221" s="94" t="s">
        <v>222</v>
      </c>
      <c r="N221" s="33">
        <v>2025</v>
      </c>
    </row>
    <row r="222" spans="1:14">
      <c r="A222" s="33">
        <v>221</v>
      </c>
      <c r="B222" s="33" t="s">
        <v>42</v>
      </c>
      <c r="C222" s="65" t="s">
        <v>45</v>
      </c>
      <c r="D222" s="33" t="s">
        <v>60</v>
      </c>
      <c r="E222" s="33" t="s">
        <v>71</v>
      </c>
      <c r="F222" s="33"/>
      <c r="G222" s="33" t="s">
        <v>64</v>
      </c>
      <c r="H222" s="66" t="s">
        <v>708</v>
      </c>
      <c r="I222" s="67">
        <v>1181.7241379310344</v>
      </c>
      <c r="J222" s="33" t="s">
        <v>68</v>
      </c>
      <c r="K222" s="65">
        <v>45973</v>
      </c>
      <c r="L222" s="94" t="s">
        <v>14</v>
      </c>
      <c r="M222" s="94" t="s">
        <v>222</v>
      </c>
      <c r="N222" s="33">
        <v>2025</v>
      </c>
    </row>
    <row r="223" spans="1:14">
      <c r="A223" s="33">
        <v>222</v>
      </c>
      <c r="B223" s="33" t="s">
        <v>669</v>
      </c>
      <c r="C223" s="33" t="s">
        <v>670</v>
      </c>
      <c r="D223" s="33" t="s">
        <v>60</v>
      </c>
      <c r="E223" s="33" t="s">
        <v>71</v>
      </c>
      <c r="F223" s="33"/>
      <c r="G223" s="33" t="s">
        <v>64</v>
      </c>
      <c r="H223" s="33" t="s">
        <v>709</v>
      </c>
      <c r="I223" s="67">
        <v>1679.3103448275863</v>
      </c>
      <c r="J223" s="33" t="s">
        <v>68</v>
      </c>
      <c r="K223" s="65" t="s">
        <v>685</v>
      </c>
      <c r="L223" s="94" t="s">
        <v>14</v>
      </c>
      <c r="M223" s="94" t="s">
        <v>222</v>
      </c>
      <c r="N223" s="33">
        <v>2025</v>
      </c>
    </row>
    <row r="224" spans="1:14">
      <c r="A224" s="33">
        <v>223</v>
      </c>
      <c r="B224" s="33" t="s">
        <v>33</v>
      </c>
      <c r="C224" s="65" t="s">
        <v>34</v>
      </c>
      <c r="D224" s="33" t="s">
        <v>60</v>
      </c>
      <c r="E224" s="33" t="s">
        <v>71</v>
      </c>
      <c r="F224" s="33"/>
      <c r="G224" s="33" t="s">
        <v>64</v>
      </c>
      <c r="H224" s="66" t="s">
        <v>258</v>
      </c>
      <c r="I224" s="67">
        <v>431.0344827586207</v>
      </c>
      <c r="J224" s="33" t="s">
        <v>68</v>
      </c>
      <c r="K224" s="65">
        <v>45727</v>
      </c>
      <c r="L224" s="94" t="s">
        <v>14</v>
      </c>
      <c r="M224" s="94" t="s">
        <v>222</v>
      </c>
      <c r="N224" s="33">
        <v>2025</v>
      </c>
    </row>
    <row r="225" spans="1:14">
      <c r="A225" s="33">
        <v>224</v>
      </c>
      <c r="B225" s="33" t="s">
        <v>33</v>
      </c>
      <c r="C225" s="65" t="s">
        <v>34</v>
      </c>
      <c r="D225" s="33" t="s">
        <v>60</v>
      </c>
      <c r="E225" s="33" t="s">
        <v>71</v>
      </c>
      <c r="F225" s="33"/>
      <c r="G225" s="33" t="s">
        <v>64</v>
      </c>
      <c r="H225" s="66" t="s">
        <v>258</v>
      </c>
      <c r="I225" s="67">
        <v>1244.8275862068965</v>
      </c>
      <c r="J225" s="33" t="s">
        <v>68</v>
      </c>
      <c r="K225" s="65" t="s">
        <v>280</v>
      </c>
      <c r="L225" s="94" t="s">
        <v>14</v>
      </c>
      <c r="M225" s="94" t="s">
        <v>222</v>
      </c>
      <c r="N225" s="33">
        <v>2025</v>
      </c>
    </row>
    <row r="226" spans="1:14">
      <c r="A226" s="33">
        <v>225</v>
      </c>
      <c r="B226" s="33" t="s">
        <v>33</v>
      </c>
      <c r="C226" s="65" t="s">
        <v>34</v>
      </c>
      <c r="D226" s="33" t="s">
        <v>60</v>
      </c>
      <c r="E226" s="33" t="s">
        <v>71</v>
      </c>
      <c r="F226" s="33"/>
      <c r="G226" s="33" t="s">
        <v>64</v>
      </c>
      <c r="H226" s="66" t="s">
        <v>258</v>
      </c>
      <c r="I226" s="67">
        <v>206.89655172413794</v>
      </c>
      <c r="J226" s="33" t="s">
        <v>68</v>
      </c>
      <c r="K226" s="65" t="s">
        <v>281</v>
      </c>
      <c r="L226" s="94" t="s">
        <v>14</v>
      </c>
      <c r="M226" s="94" t="s">
        <v>222</v>
      </c>
      <c r="N226" s="33">
        <v>2025</v>
      </c>
    </row>
    <row r="227" spans="1:14">
      <c r="A227" s="33">
        <v>226</v>
      </c>
      <c r="B227" s="33" t="s">
        <v>52</v>
      </c>
      <c r="C227" s="127" t="s">
        <v>62</v>
      </c>
      <c r="D227" s="33" t="s">
        <v>60</v>
      </c>
      <c r="E227" s="33" t="s">
        <v>71</v>
      </c>
      <c r="F227" s="33"/>
      <c r="G227" s="33" t="s">
        <v>64</v>
      </c>
      <c r="H227" s="66" t="s">
        <v>710</v>
      </c>
      <c r="I227" s="67">
        <v>315.86206896551727</v>
      </c>
      <c r="J227" s="33">
        <v>30566</v>
      </c>
      <c r="K227" s="65">
        <v>45669</v>
      </c>
      <c r="L227" s="94" t="s">
        <v>14</v>
      </c>
      <c r="M227" s="94" t="s">
        <v>222</v>
      </c>
      <c r="N227" s="33">
        <v>2025</v>
      </c>
    </row>
    <row r="228" spans="1:14">
      <c r="A228" s="33">
        <v>227</v>
      </c>
      <c r="B228" s="33" t="s">
        <v>52</v>
      </c>
      <c r="C228" s="127" t="s">
        <v>62</v>
      </c>
      <c r="D228" s="33" t="s">
        <v>60</v>
      </c>
      <c r="E228" s="33" t="s">
        <v>71</v>
      </c>
      <c r="F228" s="33"/>
      <c r="G228" s="33" t="s">
        <v>64</v>
      </c>
      <c r="H228" s="66" t="s">
        <v>711</v>
      </c>
      <c r="I228" s="67">
        <v>1158.6206896551723</v>
      </c>
      <c r="J228" s="33">
        <v>2442</v>
      </c>
      <c r="K228" s="65">
        <v>45850</v>
      </c>
      <c r="L228" s="94" t="s">
        <v>14</v>
      </c>
      <c r="M228" s="94" t="s">
        <v>222</v>
      </c>
      <c r="N228" s="33">
        <v>2025</v>
      </c>
    </row>
    <row r="229" spans="1:14">
      <c r="A229" s="33">
        <v>228</v>
      </c>
      <c r="B229" s="33" t="s">
        <v>52</v>
      </c>
      <c r="C229" s="127" t="s">
        <v>62</v>
      </c>
      <c r="D229" s="33" t="s">
        <v>60</v>
      </c>
      <c r="E229" s="33" t="s">
        <v>71</v>
      </c>
      <c r="F229" s="33"/>
      <c r="G229" s="33" t="s">
        <v>64</v>
      </c>
      <c r="H229" s="66" t="s">
        <v>712</v>
      </c>
      <c r="I229" s="67">
        <v>362.06896551724139</v>
      </c>
      <c r="J229" s="33">
        <v>27</v>
      </c>
      <c r="K229" s="65" t="s">
        <v>686</v>
      </c>
      <c r="L229" s="94" t="s">
        <v>14</v>
      </c>
      <c r="M229" s="94" t="s">
        <v>222</v>
      </c>
      <c r="N229" s="33">
        <v>2025</v>
      </c>
    </row>
    <row r="230" spans="1:14">
      <c r="A230" s="33">
        <v>229</v>
      </c>
      <c r="B230" s="33" t="s">
        <v>52</v>
      </c>
      <c r="C230" s="127" t="s">
        <v>62</v>
      </c>
      <c r="D230" s="33" t="s">
        <v>60</v>
      </c>
      <c r="E230" s="33" t="s">
        <v>71</v>
      </c>
      <c r="F230" s="33"/>
      <c r="G230" s="33" t="s">
        <v>64</v>
      </c>
      <c r="H230" s="66" t="s">
        <v>713</v>
      </c>
      <c r="I230" s="67">
        <v>310.34482758620692</v>
      </c>
      <c r="J230" s="33">
        <v>32380</v>
      </c>
      <c r="K230" s="65" t="s">
        <v>684</v>
      </c>
      <c r="L230" s="94" t="s">
        <v>14</v>
      </c>
      <c r="M230" s="94" t="s">
        <v>222</v>
      </c>
      <c r="N230" s="33">
        <v>2025</v>
      </c>
    </row>
    <row r="231" spans="1:14">
      <c r="A231" s="33">
        <v>230</v>
      </c>
      <c r="B231" s="33" t="s">
        <v>52</v>
      </c>
      <c r="C231" s="127" t="s">
        <v>62</v>
      </c>
      <c r="D231" s="33" t="s">
        <v>60</v>
      </c>
      <c r="E231" s="33" t="s">
        <v>71</v>
      </c>
      <c r="F231" s="33"/>
      <c r="G231" s="33" t="s">
        <v>64</v>
      </c>
      <c r="H231" s="66" t="s">
        <v>714</v>
      </c>
      <c r="I231" s="67">
        <v>375.86206896551727</v>
      </c>
      <c r="J231" s="33" t="s">
        <v>68</v>
      </c>
      <c r="K231" s="65" t="s">
        <v>280</v>
      </c>
      <c r="L231" s="94" t="s">
        <v>14</v>
      </c>
      <c r="M231" s="94" t="s">
        <v>222</v>
      </c>
      <c r="N231" s="33">
        <v>2025</v>
      </c>
    </row>
    <row r="232" spans="1:14">
      <c r="A232" s="33">
        <v>231</v>
      </c>
      <c r="B232" s="33" t="s">
        <v>52</v>
      </c>
      <c r="C232" s="127" t="s">
        <v>62</v>
      </c>
      <c r="D232" s="33" t="s">
        <v>60</v>
      </c>
      <c r="E232" s="33" t="s">
        <v>71</v>
      </c>
      <c r="F232" s="33"/>
      <c r="G232" s="33" t="s">
        <v>64</v>
      </c>
      <c r="H232" s="66" t="s">
        <v>715</v>
      </c>
      <c r="I232" s="67">
        <v>1545.1724137931035</v>
      </c>
      <c r="J232" s="33" t="s">
        <v>68</v>
      </c>
      <c r="K232" s="65" t="s">
        <v>677</v>
      </c>
      <c r="L232" s="94" t="s">
        <v>14</v>
      </c>
      <c r="M232" s="94" t="s">
        <v>222</v>
      </c>
      <c r="N232" s="33">
        <v>2025</v>
      </c>
    </row>
    <row r="233" spans="1:14">
      <c r="A233" s="33">
        <v>232</v>
      </c>
      <c r="B233" s="33" t="s">
        <v>52</v>
      </c>
      <c r="C233" s="127" t="s">
        <v>62</v>
      </c>
      <c r="D233" s="33" t="s">
        <v>60</v>
      </c>
      <c r="E233" s="33" t="s">
        <v>71</v>
      </c>
      <c r="F233" s="33"/>
      <c r="G233" s="33" t="s">
        <v>64</v>
      </c>
      <c r="H233" s="66" t="s">
        <v>715</v>
      </c>
      <c r="I233" s="67">
        <v>1321.3793103448277</v>
      </c>
      <c r="J233" s="33" t="s">
        <v>68</v>
      </c>
      <c r="K233" s="65" t="s">
        <v>676</v>
      </c>
      <c r="L233" s="94" t="s">
        <v>14</v>
      </c>
      <c r="M233" s="94" t="s">
        <v>222</v>
      </c>
      <c r="N233" s="33">
        <v>2025</v>
      </c>
    </row>
    <row r="234" spans="1:14">
      <c r="A234" s="33">
        <v>233</v>
      </c>
      <c r="B234" s="33" t="s">
        <v>52</v>
      </c>
      <c r="C234" s="127" t="s">
        <v>62</v>
      </c>
      <c r="D234" s="33" t="s">
        <v>60</v>
      </c>
      <c r="E234" s="33" t="s">
        <v>71</v>
      </c>
      <c r="F234" s="33"/>
      <c r="G234" s="33" t="s">
        <v>64</v>
      </c>
      <c r="H234" s="66" t="s">
        <v>716</v>
      </c>
      <c r="I234" s="67">
        <v>867.24137931034488</v>
      </c>
      <c r="J234" s="33" t="s">
        <v>68</v>
      </c>
      <c r="K234" s="65" t="s">
        <v>684</v>
      </c>
      <c r="L234" s="94" t="s">
        <v>14</v>
      </c>
      <c r="M234" s="94" t="s">
        <v>222</v>
      </c>
      <c r="N234" s="33">
        <v>2025</v>
      </c>
    </row>
    <row r="235" spans="1:14">
      <c r="A235" s="33">
        <v>234</v>
      </c>
      <c r="B235" s="33" t="s">
        <v>52</v>
      </c>
      <c r="C235" s="127" t="s">
        <v>62</v>
      </c>
      <c r="D235" s="33" t="s">
        <v>60</v>
      </c>
      <c r="E235" s="33" t="s">
        <v>71</v>
      </c>
      <c r="F235" s="33"/>
      <c r="G235" s="33" t="s">
        <v>64</v>
      </c>
      <c r="H235" s="66" t="s">
        <v>715</v>
      </c>
      <c r="I235" s="67">
        <v>1479.3103448275863</v>
      </c>
      <c r="J235" s="33" t="s">
        <v>68</v>
      </c>
      <c r="K235" s="65" t="s">
        <v>687</v>
      </c>
      <c r="L235" s="94" t="s">
        <v>14</v>
      </c>
      <c r="M235" s="94" t="s">
        <v>222</v>
      </c>
      <c r="N235" s="33">
        <v>2025</v>
      </c>
    </row>
    <row r="236" spans="1:14">
      <c r="A236" s="33">
        <v>235</v>
      </c>
      <c r="B236" s="33" t="s">
        <v>58</v>
      </c>
      <c r="C236" s="65" t="s">
        <v>59</v>
      </c>
      <c r="D236" s="33" t="s">
        <v>60</v>
      </c>
      <c r="E236" s="33" t="s">
        <v>71</v>
      </c>
      <c r="F236" s="33"/>
      <c r="G236" s="33" t="s">
        <v>64</v>
      </c>
      <c r="H236" s="66" t="s">
        <v>717</v>
      </c>
      <c r="I236" s="67">
        <v>275.86206896551727</v>
      </c>
      <c r="J236" s="33" t="s">
        <v>68</v>
      </c>
      <c r="K236" s="65" t="s">
        <v>277</v>
      </c>
      <c r="L236" s="94" t="s">
        <v>14</v>
      </c>
      <c r="M236" s="94" t="s">
        <v>222</v>
      </c>
      <c r="N236" s="33">
        <v>2025</v>
      </c>
    </row>
    <row r="237" spans="1:14">
      <c r="A237" s="33">
        <v>236</v>
      </c>
      <c r="B237" s="33" t="s">
        <v>17</v>
      </c>
      <c r="C237" s="65" t="s">
        <v>22</v>
      </c>
      <c r="D237" s="33" t="s">
        <v>60</v>
      </c>
      <c r="E237" s="33" t="s">
        <v>71</v>
      </c>
      <c r="F237" s="33"/>
      <c r="G237" s="33" t="s">
        <v>64</v>
      </c>
      <c r="H237" s="66" t="s">
        <v>72</v>
      </c>
      <c r="I237" s="67">
        <v>649.65517241379314</v>
      </c>
      <c r="J237" s="33" t="s">
        <v>68</v>
      </c>
      <c r="K237" s="65">
        <v>45942</v>
      </c>
      <c r="L237" s="94" t="s">
        <v>14</v>
      </c>
      <c r="M237" s="94" t="s">
        <v>222</v>
      </c>
      <c r="N237" s="33">
        <v>2025</v>
      </c>
    </row>
    <row r="238" spans="1:14">
      <c r="A238" s="33">
        <v>237</v>
      </c>
      <c r="B238" s="33" t="s">
        <v>17</v>
      </c>
      <c r="C238" s="60" t="s">
        <v>22</v>
      </c>
      <c r="D238" s="33" t="s">
        <v>60</v>
      </c>
      <c r="E238" s="33" t="s">
        <v>71</v>
      </c>
      <c r="F238" s="33"/>
      <c r="G238" s="33" t="s">
        <v>64</v>
      </c>
      <c r="H238" s="33" t="s">
        <v>718</v>
      </c>
      <c r="I238" s="67">
        <v>551.72413793103453</v>
      </c>
      <c r="J238" s="33">
        <v>7019</v>
      </c>
      <c r="K238" s="65">
        <v>45668</v>
      </c>
      <c r="L238" s="94" t="s">
        <v>14</v>
      </c>
      <c r="M238" s="94" t="s">
        <v>222</v>
      </c>
      <c r="N238" s="33">
        <v>2025</v>
      </c>
    </row>
    <row r="239" spans="1:14">
      <c r="A239" s="33">
        <v>238</v>
      </c>
      <c r="B239" s="33" t="s">
        <v>17</v>
      </c>
      <c r="C239" s="65" t="s">
        <v>22</v>
      </c>
      <c r="D239" s="33" t="s">
        <v>60</v>
      </c>
      <c r="E239" s="33" t="s">
        <v>71</v>
      </c>
      <c r="F239" s="33"/>
      <c r="G239" s="33" t="s">
        <v>64</v>
      </c>
      <c r="H239" s="66" t="s">
        <v>719</v>
      </c>
      <c r="I239" s="67">
        <v>431.0344827586207</v>
      </c>
      <c r="J239" s="33" t="s">
        <v>68</v>
      </c>
      <c r="K239" s="65" t="s">
        <v>679</v>
      </c>
      <c r="L239" s="94" t="s">
        <v>14</v>
      </c>
      <c r="M239" s="94" t="s">
        <v>222</v>
      </c>
      <c r="N239" s="33">
        <v>2025</v>
      </c>
    </row>
    <row r="240" spans="1:14">
      <c r="A240" s="33">
        <v>239</v>
      </c>
      <c r="B240" s="33" t="s">
        <v>17</v>
      </c>
      <c r="C240" s="33" t="s">
        <v>22</v>
      </c>
      <c r="D240" s="33" t="s">
        <v>60</v>
      </c>
      <c r="E240" s="33" t="s">
        <v>71</v>
      </c>
      <c r="F240" s="33"/>
      <c r="G240" s="33" t="s">
        <v>64</v>
      </c>
      <c r="H240" s="33" t="s">
        <v>720</v>
      </c>
      <c r="I240" s="67">
        <v>1034.4827586206898</v>
      </c>
      <c r="J240" s="33" t="s">
        <v>68</v>
      </c>
      <c r="K240" s="65">
        <v>45759</v>
      </c>
      <c r="L240" s="94" t="s">
        <v>14</v>
      </c>
      <c r="M240" s="94" t="s">
        <v>222</v>
      </c>
      <c r="N240" s="33">
        <v>2025</v>
      </c>
    </row>
    <row r="241" spans="1:14">
      <c r="A241" s="33">
        <v>240</v>
      </c>
      <c r="B241" s="33" t="s">
        <v>42</v>
      </c>
      <c r="C241" s="33" t="s">
        <v>46</v>
      </c>
      <c r="D241" s="33" t="s">
        <v>60</v>
      </c>
      <c r="E241" s="33" t="s">
        <v>71</v>
      </c>
      <c r="F241" s="33"/>
      <c r="G241" s="33" t="s">
        <v>64</v>
      </c>
      <c r="H241" s="33" t="s">
        <v>721</v>
      </c>
      <c r="I241" s="67">
        <v>717.58620689655174</v>
      </c>
      <c r="J241" s="33" t="s">
        <v>68</v>
      </c>
      <c r="K241" s="65">
        <v>45881</v>
      </c>
      <c r="L241" s="94" t="s">
        <v>14</v>
      </c>
      <c r="M241" s="94" t="s">
        <v>222</v>
      </c>
      <c r="N241" s="33">
        <v>2025</v>
      </c>
    </row>
    <row r="242" spans="1:14">
      <c r="A242" s="33">
        <v>241</v>
      </c>
      <c r="B242" s="80" t="s">
        <v>29</v>
      </c>
      <c r="C242" s="33" t="s">
        <v>30</v>
      </c>
      <c r="D242" s="33" t="s">
        <v>60</v>
      </c>
      <c r="E242" s="33" t="s">
        <v>71</v>
      </c>
      <c r="F242" s="33"/>
      <c r="G242" s="33" t="s">
        <v>64</v>
      </c>
      <c r="H242" s="33" t="s">
        <v>722</v>
      </c>
      <c r="I242" s="67">
        <v>931.0344827586207</v>
      </c>
      <c r="J242" s="33" t="s">
        <v>68</v>
      </c>
      <c r="K242" s="65" t="s">
        <v>688</v>
      </c>
      <c r="L242" s="94" t="s">
        <v>14</v>
      </c>
      <c r="M242" s="94" t="s">
        <v>222</v>
      </c>
      <c r="N242" s="33">
        <v>2025</v>
      </c>
    </row>
    <row r="243" spans="1:14">
      <c r="A243" s="33">
        <v>242</v>
      </c>
      <c r="B243" s="33" t="s">
        <v>42</v>
      </c>
      <c r="C243" s="122" t="s">
        <v>285</v>
      </c>
      <c r="D243" s="33" t="s">
        <v>60</v>
      </c>
      <c r="E243" s="33" t="s">
        <v>71</v>
      </c>
      <c r="F243" s="33"/>
      <c r="G243" s="33" t="s">
        <v>64</v>
      </c>
      <c r="H243" s="33" t="s">
        <v>262</v>
      </c>
      <c r="I243" s="67">
        <v>371.37931034482756</v>
      </c>
      <c r="J243" s="33" t="s">
        <v>68</v>
      </c>
      <c r="K243" s="65">
        <v>45759</v>
      </c>
      <c r="L243" s="94" t="s">
        <v>14</v>
      </c>
      <c r="M243" s="94" t="s">
        <v>222</v>
      </c>
      <c r="N243" s="33">
        <v>2025</v>
      </c>
    </row>
    <row r="244" spans="1:14">
      <c r="A244" s="33">
        <v>243</v>
      </c>
      <c r="B244" s="33" t="s">
        <v>42</v>
      </c>
      <c r="C244" s="122" t="s">
        <v>285</v>
      </c>
      <c r="D244" s="33" t="s">
        <v>60</v>
      </c>
      <c r="E244" s="33" t="s">
        <v>71</v>
      </c>
      <c r="F244" s="33"/>
      <c r="G244" s="33" t="s">
        <v>64</v>
      </c>
      <c r="H244" s="33" t="s">
        <v>262</v>
      </c>
      <c r="I244" s="67">
        <v>549.65517241379314</v>
      </c>
      <c r="J244" s="33" t="s">
        <v>68</v>
      </c>
      <c r="K244" s="65" t="s">
        <v>684</v>
      </c>
      <c r="L244" s="94" t="s">
        <v>14</v>
      </c>
      <c r="M244" s="94" t="s">
        <v>222</v>
      </c>
      <c r="N244" s="33">
        <v>2025</v>
      </c>
    </row>
    <row r="245" spans="1:14">
      <c r="A245" s="33">
        <v>244</v>
      </c>
      <c r="B245" s="33" t="s">
        <v>42</v>
      </c>
      <c r="C245" s="33" t="s">
        <v>50</v>
      </c>
      <c r="D245" s="33" t="s">
        <v>60</v>
      </c>
      <c r="E245" s="33" t="s">
        <v>71</v>
      </c>
      <c r="F245" s="33"/>
      <c r="G245" s="33" t="s">
        <v>64</v>
      </c>
      <c r="H245" s="66" t="s">
        <v>263</v>
      </c>
      <c r="I245" s="67">
        <v>1035.1724137931035</v>
      </c>
      <c r="J245" s="33" t="s">
        <v>68</v>
      </c>
      <c r="K245" s="65">
        <v>45728</v>
      </c>
      <c r="L245" s="94" t="s">
        <v>14</v>
      </c>
      <c r="M245" s="94" t="s">
        <v>222</v>
      </c>
      <c r="N245" s="33">
        <v>2025</v>
      </c>
    </row>
    <row r="246" spans="1:14">
      <c r="A246" s="33">
        <v>245</v>
      </c>
      <c r="B246" s="33" t="s">
        <v>42</v>
      </c>
      <c r="C246" s="65" t="s">
        <v>50</v>
      </c>
      <c r="D246" s="33" t="s">
        <v>60</v>
      </c>
      <c r="E246" s="33" t="s">
        <v>71</v>
      </c>
      <c r="F246" s="33"/>
      <c r="G246" s="33" t="s">
        <v>64</v>
      </c>
      <c r="H246" s="66" t="s">
        <v>723</v>
      </c>
      <c r="I246" s="67">
        <v>1013.7931034482758</v>
      </c>
      <c r="J246" s="33" t="s">
        <v>68</v>
      </c>
      <c r="K246" s="65" t="s">
        <v>674</v>
      </c>
      <c r="L246" s="94" t="s">
        <v>14</v>
      </c>
      <c r="M246" s="94" t="s">
        <v>222</v>
      </c>
      <c r="N246" s="33">
        <v>2025</v>
      </c>
    </row>
    <row r="247" spans="1:14">
      <c r="A247" s="33">
        <v>246</v>
      </c>
      <c r="B247" s="33" t="s">
        <v>42</v>
      </c>
      <c r="C247" s="33" t="s">
        <v>51</v>
      </c>
      <c r="D247" s="33" t="s">
        <v>60</v>
      </c>
      <c r="E247" s="33" t="s">
        <v>71</v>
      </c>
      <c r="F247" s="33"/>
      <c r="G247" s="33" t="s">
        <v>64</v>
      </c>
      <c r="H247" s="33" t="s">
        <v>724</v>
      </c>
      <c r="I247" s="67">
        <v>820</v>
      </c>
      <c r="J247" s="33" t="s">
        <v>68</v>
      </c>
      <c r="K247" s="65">
        <v>45728</v>
      </c>
      <c r="L247" s="94" t="s">
        <v>14</v>
      </c>
      <c r="M247" s="94" t="s">
        <v>222</v>
      </c>
      <c r="N247" s="33">
        <v>2025</v>
      </c>
    </row>
    <row r="248" spans="1:14">
      <c r="A248" s="33">
        <v>247</v>
      </c>
      <c r="B248" s="33" t="s">
        <v>17</v>
      </c>
      <c r="C248" s="65" t="s">
        <v>24</v>
      </c>
      <c r="D248" s="33" t="s">
        <v>60</v>
      </c>
      <c r="E248" s="33" t="s">
        <v>71</v>
      </c>
      <c r="F248" s="33"/>
      <c r="G248" s="33" t="s">
        <v>64</v>
      </c>
      <c r="H248" s="66" t="s">
        <v>264</v>
      </c>
      <c r="I248" s="67">
        <v>935.17241379310349</v>
      </c>
      <c r="J248" s="65" t="s">
        <v>68</v>
      </c>
      <c r="K248" s="65" t="s">
        <v>688</v>
      </c>
      <c r="L248" s="94" t="s">
        <v>14</v>
      </c>
      <c r="M248" s="94" t="s">
        <v>222</v>
      </c>
      <c r="N248" s="33">
        <v>2025</v>
      </c>
    </row>
    <row r="249" spans="1:14">
      <c r="A249" s="33">
        <v>248</v>
      </c>
      <c r="B249" s="33" t="s">
        <v>17</v>
      </c>
      <c r="C249" s="65" t="s">
        <v>25</v>
      </c>
      <c r="D249" s="33" t="s">
        <v>60</v>
      </c>
      <c r="E249" s="33" t="s">
        <v>71</v>
      </c>
      <c r="F249" s="33"/>
      <c r="G249" s="33" t="s">
        <v>64</v>
      </c>
      <c r="H249" s="66" t="s">
        <v>265</v>
      </c>
      <c r="I249" s="67">
        <v>2750.344827586207</v>
      </c>
      <c r="J249" s="33" t="s">
        <v>68</v>
      </c>
      <c r="K249" s="65" t="s">
        <v>279</v>
      </c>
      <c r="L249" s="94" t="s">
        <v>14</v>
      </c>
      <c r="M249" s="94" t="s">
        <v>222</v>
      </c>
      <c r="N249" s="33">
        <v>2025</v>
      </c>
    </row>
    <row r="250" spans="1:14">
      <c r="A250" s="33">
        <v>249</v>
      </c>
      <c r="B250" s="33" t="s">
        <v>17</v>
      </c>
      <c r="C250" s="65" t="s">
        <v>25</v>
      </c>
      <c r="D250" s="33" t="s">
        <v>60</v>
      </c>
      <c r="E250" s="33" t="s">
        <v>71</v>
      </c>
      <c r="F250" s="33"/>
      <c r="G250" s="33" t="s">
        <v>64</v>
      </c>
      <c r="H250" s="66" t="s">
        <v>703</v>
      </c>
      <c r="I250" s="67">
        <v>1384.8275862068965</v>
      </c>
      <c r="J250" s="33" t="s">
        <v>68</v>
      </c>
      <c r="K250" s="65" t="s">
        <v>278</v>
      </c>
      <c r="L250" s="94" t="s">
        <v>14</v>
      </c>
      <c r="M250" s="94" t="s">
        <v>222</v>
      </c>
      <c r="N250" s="33">
        <v>2025</v>
      </c>
    </row>
    <row r="251" spans="1:14">
      <c r="A251" s="33">
        <v>250</v>
      </c>
      <c r="B251" s="33" t="s">
        <v>17</v>
      </c>
      <c r="C251" s="33" t="s">
        <v>25</v>
      </c>
      <c r="D251" s="33" t="s">
        <v>60</v>
      </c>
      <c r="E251" s="33" t="s">
        <v>71</v>
      </c>
      <c r="F251" s="33"/>
      <c r="G251" s="33" t="s">
        <v>64</v>
      </c>
      <c r="H251" s="33" t="s">
        <v>265</v>
      </c>
      <c r="I251" s="67">
        <v>1453.7931034482758</v>
      </c>
      <c r="J251" s="33" t="s">
        <v>68</v>
      </c>
      <c r="K251" s="65">
        <v>45728</v>
      </c>
      <c r="L251" s="94" t="s">
        <v>14</v>
      </c>
      <c r="M251" s="94" t="s">
        <v>222</v>
      </c>
      <c r="N251" s="33">
        <v>2025</v>
      </c>
    </row>
    <row r="252" spans="1:14">
      <c r="A252" s="33">
        <v>251</v>
      </c>
      <c r="B252" s="33" t="s">
        <v>17</v>
      </c>
      <c r="C252" s="33" t="s">
        <v>25</v>
      </c>
      <c r="D252" s="33" t="s">
        <v>60</v>
      </c>
      <c r="E252" s="33" t="s">
        <v>71</v>
      </c>
      <c r="F252" s="33"/>
      <c r="G252" s="33" t="s">
        <v>64</v>
      </c>
      <c r="H252" s="66" t="s">
        <v>726</v>
      </c>
      <c r="I252" s="67">
        <v>258.62068965517244</v>
      </c>
      <c r="J252" s="33">
        <v>2341</v>
      </c>
      <c r="K252" s="65">
        <v>45850</v>
      </c>
      <c r="L252" s="94" t="s">
        <v>14</v>
      </c>
      <c r="M252" s="94" t="s">
        <v>222</v>
      </c>
      <c r="N252" s="33">
        <v>2025</v>
      </c>
    </row>
    <row r="253" spans="1:14">
      <c r="A253" s="33">
        <v>252</v>
      </c>
      <c r="B253" s="33" t="s">
        <v>17</v>
      </c>
      <c r="C253" s="65" t="s">
        <v>25</v>
      </c>
      <c r="D253" s="33" t="s">
        <v>60</v>
      </c>
      <c r="E253" s="33" t="s">
        <v>71</v>
      </c>
      <c r="F253" s="33"/>
      <c r="G253" s="33" t="s">
        <v>64</v>
      </c>
      <c r="H253" s="66" t="s">
        <v>265</v>
      </c>
      <c r="I253" s="67">
        <v>2228.9655172413795</v>
      </c>
      <c r="J253" s="33" t="s">
        <v>68</v>
      </c>
      <c r="K253" s="65" t="s">
        <v>689</v>
      </c>
      <c r="L253" s="94" t="s">
        <v>14</v>
      </c>
      <c r="M253" s="94" t="s">
        <v>222</v>
      </c>
      <c r="N253" s="33">
        <v>2025</v>
      </c>
    </row>
    <row r="254" spans="1:14">
      <c r="A254" s="33">
        <v>253</v>
      </c>
      <c r="B254" s="33" t="s">
        <v>42</v>
      </c>
      <c r="C254" s="33" t="s">
        <v>73</v>
      </c>
      <c r="D254" s="33" t="s">
        <v>60</v>
      </c>
      <c r="E254" s="33" t="s">
        <v>71</v>
      </c>
      <c r="F254" s="33"/>
      <c r="G254" s="33" t="s">
        <v>64</v>
      </c>
      <c r="H254" s="33" t="s">
        <v>266</v>
      </c>
      <c r="I254" s="67">
        <v>2535.8620689655172</v>
      </c>
      <c r="J254" s="33" t="s">
        <v>68</v>
      </c>
      <c r="K254" s="65" t="s">
        <v>690</v>
      </c>
      <c r="L254" s="94" t="s">
        <v>14</v>
      </c>
      <c r="M254" s="94" t="s">
        <v>222</v>
      </c>
      <c r="N254" s="33">
        <v>2025</v>
      </c>
    </row>
    <row r="255" spans="1:14">
      <c r="A255" s="33">
        <v>254</v>
      </c>
      <c r="B255" s="33" t="s">
        <v>54</v>
      </c>
      <c r="C255" s="65" t="s">
        <v>55</v>
      </c>
      <c r="D255" s="33" t="s">
        <v>60</v>
      </c>
      <c r="E255" s="33" t="s">
        <v>71</v>
      </c>
      <c r="F255" s="33"/>
      <c r="G255" s="33" t="s">
        <v>64</v>
      </c>
      <c r="H255" s="66" t="s">
        <v>267</v>
      </c>
      <c r="I255" s="67">
        <v>189.65517241379311</v>
      </c>
      <c r="J255" s="33" t="s">
        <v>68</v>
      </c>
      <c r="K255" s="65">
        <v>45942</v>
      </c>
      <c r="L255" s="94" t="s">
        <v>14</v>
      </c>
      <c r="M255" s="94" t="s">
        <v>222</v>
      </c>
      <c r="N255" s="33">
        <v>2025</v>
      </c>
    </row>
    <row r="256" spans="1:14">
      <c r="A256" s="33">
        <v>255</v>
      </c>
      <c r="B256" s="33" t="s">
        <v>54</v>
      </c>
      <c r="C256" s="65" t="s">
        <v>55</v>
      </c>
      <c r="D256" s="33" t="s">
        <v>60</v>
      </c>
      <c r="E256" s="33" t="s">
        <v>71</v>
      </c>
      <c r="F256" s="33"/>
      <c r="G256" s="33" t="s">
        <v>64</v>
      </c>
      <c r="H256" s="66" t="s">
        <v>282</v>
      </c>
      <c r="I256" s="67">
        <v>546.20689655172418</v>
      </c>
      <c r="J256" s="33" t="s">
        <v>68</v>
      </c>
      <c r="K256" s="65" t="s">
        <v>673</v>
      </c>
      <c r="L256" s="94" t="s">
        <v>14</v>
      </c>
      <c r="M256" s="94" t="s">
        <v>222</v>
      </c>
      <c r="N256" s="33">
        <v>2025</v>
      </c>
    </row>
    <row r="257" spans="1:14">
      <c r="A257" s="33">
        <v>256</v>
      </c>
      <c r="B257" s="33" t="s">
        <v>52</v>
      </c>
      <c r="C257" s="122" t="s">
        <v>62</v>
      </c>
      <c r="D257" s="33" t="s">
        <v>60</v>
      </c>
      <c r="E257" s="33" t="s">
        <v>71</v>
      </c>
      <c r="F257" s="33"/>
      <c r="G257" s="33" t="s">
        <v>64</v>
      </c>
      <c r="H257" s="66" t="s">
        <v>731</v>
      </c>
      <c r="I257" s="67">
        <v>1005.8620689655172</v>
      </c>
      <c r="J257" s="33" t="s">
        <v>68</v>
      </c>
      <c r="K257" s="65" t="s">
        <v>279</v>
      </c>
      <c r="L257" s="94" t="s">
        <v>14</v>
      </c>
      <c r="M257" s="94" t="s">
        <v>222</v>
      </c>
      <c r="N257" s="33">
        <v>2025</v>
      </c>
    </row>
    <row r="258" spans="1:14">
      <c r="A258" s="33">
        <v>257</v>
      </c>
      <c r="B258" s="33" t="s">
        <v>52</v>
      </c>
      <c r="C258" s="127" t="s">
        <v>62</v>
      </c>
      <c r="D258" s="33" t="s">
        <v>60</v>
      </c>
      <c r="E258" s="33" t="s">
        <v>71</v>
      </c>
      <c r="F258" s="33"/>
      <c r="G258" s="33" t="s">
        <v>64</v>
      </c>
      <c r="H258" s="66" t="s">
        <v>731</v>
      </c>
      <c r="I258" s="67">
        <v>493.44827586206895</v>
      </c>
      <c r="J258" s="33" t="s">
        <v>68</v>
      </c>
      <c r="K258" s="65" t="s">
        <v>688</v>
      </c>
      <c r="L258" s="94" t="s">
        <v>14</v>
      </c>
      <c r="M258" s="94" t="s">
        <v>222</v>
      </c>
      <c r="N258" s="33">
        <v>2025</v>
      </c>
    </row>
    <row r="259" spans="1:14">
      <c r="A259" s="33">
        <v>258</v>
      </c>
      <c r="B259" s="33" t="s">
        <v>52</v>
      </c>
      <c r="C259" s="127" t="s">
        <v>62</v>
      </c>
      <c r="D259" s="33" t="s">
        <v>60</v>
      </c>
      <c r="E259" s="33" t="s">
        <v>71</v>
      </c>
      <c r="F259" s="33"/>
      <c r="G259" s="33" t="s">
        <v>64</v>
      </c>
      <c r="H259" s="66" t="s">
        <v>732</v>
      </c>
      <c r="I259" s="67">
        <v>3955.1724137931033</v>
      </c>
      <c r="J259" s="33" t="s">
        <v>68</v>
      </c>
      <c r="K259" s="65">
        <v>45912</v>
      </c>
      <c r="L259" s="94" t="s">
        <v>14</v>
      </c>
      <c r="M259" s="94" t="s">
        <v>222</v>
      </c>
      <c r="N259" s="33">
        <v>2025</v>
      </c>
    </row>
    <row r="260" spans="1:14">
      <c r="A260" s="33">
        <v>259</v>
      </c>
      <c r="B260" s="33" t="s">
        <v>52</v>
      </c>
      <c r="C260" s="127" t="s">
        <v>62</v>
      </c>
      <c r="D260" s="33" t="s">
        <v>60</v>
      </c>
      <c r="E260" s="33" t="s">
        <v>71</v>
      </c>
      <c r="F260" s="33"/>
      <c r="G260" s="33" t="s">
        <v>64</v>
      </c>
      <c r="H260" s="66" t="s">
        <v>731</v>
      </c>
      <c r="I260" s="67">
        <v>1096.8965517241379</v>
      </c>
      <c r="J260" s="33" t="s">
        <v>68</v>
      </c>
      <c r="K260" s="65">
        <v>45728</v>
      </c>
      <c r="L260" s="94" t="s">
        <v>14</v>
      </c>
      <c r="M260" s="94" t="s">
        <v>222</v>
      </c>
      <c r="N260" s="33">
        <v>2025</v>
      </c>
    </row>
    <row r="261" spans="1:14">
      <c r="A261" s="33">
        <v>260</v>
      </c>
      <c r="B261" s="33" t="s">
        <v>52</v>
      </c>
      <c r="C261" s="127" t="s">
        <v>62</v>
      </c>
      <c r="D261" s="33" t="s">
        <v>60</v>
      </c>
      <c r="E261" s="33" t="s">
        <v>71</v>
      </c>
      <c r="F261" s="33"/>
      <c r="G261" s="33" t="s">
        <v>64</v>
      </c>
      <c r="H261" s="66" t="s">
        <v>731</v>
      </c>
      <c r="I261" s="67">
        <v>355.17241379310343</v>
      </c>
      <c r="J261" s="33" t="s">
        <v>68</v>
      </c>
      <c r="K261" s="65">
        <v>45820</v>
      </c>
      <c r="L261" s="94" t="s">
        <v>14</v>
      </c>
      <c r="M261" s="94" t="s">
        <v>222</v>
      </c>
      <c r="N261" s="33">
        <v>2025</v>
      </c>
    </row>
    <row r="262" spans="1:14">
      <c r="A262" s="33">
        <v>261</v>
      </c>
      <c r="B262" s="33" t="s">
        <v>52</v>
      </c>
      <c r="C262" s="127" t="s">
        <v>62</v>
      </c>
      <c r="D262" s="33" t="s">
        <v>60</v>
      </c>
      <c r="E262" s="33" t="s">
        <v>71</v>
      </c>
      <c r="F262" s="33"/>
      <c r="G262" s="33" t="s">
        <v>64</v>
      </c>
      <c r="H262" s="66" t="s">
        <v>731</v>
      </c>
      <c r="I262" s="67">
        <v>1281.0344827586207</v>
      </c>
      <c r="J262" s="33" t="s">
        <v>68</v>
      </c>
      <c r="K262" s="65">
        <v>45973</v>
      </c>
      <c r="L262" s="94" t="s">
        <v>14</v>
      </c>
      <c r="M262" s="94" t="s">
        <v>222</v>
      </c>
      <c r="N262" s="33">
        <v>2025</v>
      </c>
    </row>
    <row r="263" spans="1:14">
      <c r="A263" s="33">
        <v>262</v>
      </c>
      <c r="B263" s="33" t="s">
        <v>52</v>
      </c>
      <c r="C263" s="127" t="s">
        <v>62</v>
      </c>
      <c r="D263" s="33" t="s">
        <v>60</v>
      </c>
      <c r="E263" s="33" t="s">
        <v>71</v>
      </c>
      <c r="F263" s="33"/>
      <c r="G263" s="33" t="s">
        <v>64</v>
      </c>
      <c r="H263" s="66" t="s">
        <v>261</v>
      </c>
      <c r="I263" s="67">
        <v>1541.3793103448277</v>
      </c>
      <c r="J263" s="33" t="s">
        <v>68</v>
      </c>
      <c r="K263" s="65" t="s">
        <v>280</v>
      </c>
      <c r="L263" s="94" t="s">
        <v>14</v>
      </c>
      <c r="M263" s="94" t="s">
        <v>222</v>
      </c>
      <c r="N263" s="33">
        <v>2025</v>
      </c>
    </row>
    <row r="264" spans="1:14">
      <c r="A264" s="33">
        <v>263</v>
      </c>
      <c r="B264" s="33" t="s">
        <v>52</v>
      </c>
      <c r="C264" s="127" t="s">
        <v>62</v>
      </c>
      <c r="D264" s="33" t="s">
        <v>60</v>
      </c>
      <c r="E264" s="33" t="s">
        <v>71</v>
      </c>
      <c r="F264" s="33"/>
      <c r="G264" s="33" t="s">
        <v>64</v>
      </c>
      <c r="H264" s="66" t="s">
        <v>714</v>
      </c>
      <c r="I264" s="67">
        <v>484.13793103448273</v>
      </c>
      <c r="J264" s="33" t="s">
        <v>68</v>
      </c>
      <c r="K264" s="65">
        <v>45973</v>
      </c>
      <c r="L264" s="94" t="s">
        <v>14</v>
      </c>
      <c r="M264" s="94" t="s">
        <v>222</v>
      </c>
      <c r="N264" s="33">
        <v>2025</v>
      </c>
    </row>
    <row r="265" spans="1:14">
      <c r="A265" s="33">
        <v>264</v>
      </c>
      <c r="B265" s="33" t="s">
        <v>52</v>
      </c>
      <c r="C265" s="127" t="s">
        <v>62</v>
      </c>
      <c r="D265" s="33" t="s">
        <v>60</v>
      </c>
      <c r="E265" s="33" t="s">
        <v>71</v>
      </c>
      <c r="F265" s="33"/>
      <c r="G265" s="33" t="s">
        <v>64</v>
      </c>
      <c r="H265" s="66" t="s">
        <v>261</v>
      </c>
      <c r="I265" s="67">
        <v>1712.7586206896551</v>
      </c>
      <c r="J265" s="33" t="s">
        <v>68</v>
      </c>
      <c r="K265" s="65">
        <v>45820</v>
      </c>
      <c r="L265" s="94" t="s">
        <v>14</v>
      </c>
      <c r="M265" s="94" t="s">
        <v>222</v>
      </c>
      <c r="N265" s="33">
        <v>2025</v>
      </c>
    </row>
    <row r="266" spans="1:14">
      <c r="A266" s="33">
        <v>265</v>
      </c>
      <c r="B266" s="33" t="s">
        <v>52</v>
      </c>
      <c r="C266" s="127" t="s">
        <v>62</v>
      </c>
      <c r="D266" s="33" t="s">
        <v>60</v>
      </c>
      <c r="E266" s="33" t="s">
        <v>71</v>
      </c>
      <c r="F266" s="33"/>
      <c r="G266" s="33" t="s">
        <v>64</v>
      </c>
      <c r="H266" s="66" t="s">
        <v>733</v>
      </c>
      <c r="I266" s="67">
        <v>1204.8275862068965</v>
      </c>
      <c r="J266" s="33" t="s">
        <v>68</v>
      </c>
      <c r="K266" s="65" t="s">
        <v>691</v>
      </c>
      <c r="L266" s="94" t="s">
        <v>14</v>
      </c>
      <c r="M266" s="94" t="s">
        <v>222</v>
      </c>
      <c r="N266" s="33">
        <v>2025</v>
      </c>
    </row>
    <row r="267" spans="1:14">
      <c r="A267" s="33">
        <v>266</v>
      </c>
      <c r="B267" s="33" t="s">
        <v>52</v>
      </c>
      <c r="C267" s="127" t="s">
        <v>62</v>
      </c>
      <c r="D267" s="33" t="s">
        <v>60</v>
      </c>
      <c r="E267" s="33" t="s">
        <v>71</v>
      </c>
      <c r="F267" s="33"/>
      <c r="G267" s="33" t="s">
        <v>64</v>
      </c>
      <c r="H267" s="66" t="s">
        <v>733</v>
      </c>
      <c r="I267" s="67">
        <v>1347.5862068965516</v>
      </c>
      <c r="J267" s="33" t="s">
        <v>68</v>
      </c>
      <c r="K267" s="65" t="s">
        <v>692</v>
      </c>
      <c r="L267" s="94" t="s">
        <v>14</v>
      </c>
      <c r="M267" s="94" t="s">
        <v>222</v>
      </c>
      <c r="N267" s="33">
        <v>2025</v>
      </c>
    </row>
    <row r="268" spans="1:14">
      <c r="A268" s="33">
        <v>267</v>
      </c>
      <c r="B268" s="33" t="s">
        <v>52</v>
      </c>
      <c r="C268" s="127" t="s">
        <v>62</v>
      </c>
      <c r="D268" s="33" t="s">
        <v>60</v>
      </c>
      <c r="E268" s="33" t="s">
        <v>71</v>
      </c>
      <c r="F268" s="33"/>
      <c r="G268" s="33" t="s">
        <v>64</v>
      </c>
      <c r="H268" s="66" t="s">
        <v>734</v>
      </c>
      <c r="I268" s="67">
        <v>1270</v>
      </c>
      <c r="J268" s="33" t="s">
        <v>68</v>
      </c>
      <c r="K268" s="65" t="s">
        <v>674</v>
      </c>
      <c r="L268" s="94" t="s">
        <v>14</v>
      </c>
      <c r="M268" s="94" t="s">
        <v>222</v>
      </c>
      <c r="N268" s="33">
        <v>2025</v>
      </c>
    </row>
    <row r="269" spans="1:14">
      <c r="A269" s="33">
        <v>268</v>
      </c>
      <c r="B269" s="33" t="s">
        <v>42</v>
      </c>
      <c r="C269" s="33" t="s">
        <v>50</v>
      </c>
      <c r="D269" s="33" t="s">
        <v>60</v>
      </c>
      <c r="E269" s="33" t="s">
        <v>71</v>
      </c>
      <c r="F269" s="33"/>
      <c r="G269" s="33" t="s">
        <v>116</v>
      </c>
      <c r="H269" s="33" t="s">
        <v>117</v>
      </c>
      <c r="I269" s="70">
        <v>5531.0344827586205</v>
      </c>
      <c r="J269" s="33" t="s">
        <v>354</v>
      </c>
      <c r="K269" s="65">
        <v>45992</v>
      </c>
      <c r="L269" s="33">
        <v>2025404495</v>
      </c>
      <c r="M269" s="33" t="s">
        <v>222</v>
      </c>
      <c r="N269" s="33">
        <v>2025</v>
      </c>
    </row>
    <row r="270" spans="1:14">
      <c r="A270" s="33">
        <v>269</v>
      </c>
      <c r="B270" s="33" t="s">
        <v>42</v>
      </c>
      <c r="C270" s="122" t="s">
        <v>285</v>
      </c>
      <c r="D270" s="33" t="s">
        <v>60</v>
      </c>
      <c r="E270" s="33" t="s">
        <v>71</v>
      </c>
      <c r="F270" s="33"/>
      <c r="G270" s="33" t="s">
        <v>116</v>
      </c>
      <c r="H270" s="33" t="s">
        <v>117</v>
      </c>
      <c r="I270" s="70">
        <v>2758.6206896551726</v>
      </c>
      <c r="J270" s="33" t="s">
        <v>358</v>
      </c>
      <c r="K270" s="65">
        <v>46007</v>
      </c>
      <c r="L270" s="33">
        <v>2025404568</v>
      </c>
      <c r="M270" s="33" t="s">
        <v>222</v>
      </c>
      <c r="N270" s="33">
        <v>2025</v>
      </c>
    </row>
    <row r="271" spans="1:14">
      <c r="A271" s="33">
        <v>270</v>
      </c>
      <c r="B271" s="33" t="s">
        <v>54</v>
      </c>
      <c r="C271" s="33" t="s">
        <v>95</v>
      </c>
      <c r="D271" s="33" t="s">
        <v>60</v>
      </c>
      <c r="E271" s="33" t="s">
        <v>71</v>
      </c>
      <c r="F271" s="33"/>
      <c r="G271" s="33" t="s">
        <v>238</v>
      </c>
      <c r="H271" s="33" t="s">
        <v>253</v>
      </c>
      <c r="I271" s="70">
        <v>5862.0689655172409</v>
      </c>
      <c r="J271" s="33" t="s">
        <v>350</v>
      </c>
      <c r="K271" s="65">
        <v>45993</v>
      </c>
      <c r="L271" s="33">
        <v>2025404606</v>
      </c>
      <c r="M271" s="33" t="s">
        <v>222</v>
      </c>
      <c r="N271" s="33">
        <v>2025</v>
      </c>
    </row>
    <row r="272" spans="1:14">
      <c r="A272" s="33">
        <v>271</v>
      </c>
      <c r="B272" s="33" t="s">
        <v>54</v>
      </c>
      <c r="C272" s="33" t="s">
        <v>95</v>
      </c>
      <c r="D272" s="33" t="s">
        <v>60</v>
      </c>
      <c r="E272" s="33" t="s">
        <v>71</v>
      </c>
      <c r="F272" s="33"/>
      <c r="G272" s="33" t="s">
        <v>238</v>
      </c>
      <c r="H272" s="33" t="s">
        <v>253</v>
      </c>
      <c r="I272" s="70">
        <v>413.79310344827587</v>
      </c>
      <c r="J272" s="33" t="s">
        <v>385</v>
      </c>
      <c r="K272" s="65">
        <v>46005</v>
      </c>
      <c r="L272" s="33">
        <v>2025404753</v>
      </c>
      <c r="M272" s="33" t="s">
        <v>222</v>
      </c>
      <c r="N272" s="33">
        <v>2025</v>
      </c>
    </row>
    <row r="273" spans="1:14">
      <c r="A273" s="33">
        <v>272</v>
      </c>
      <c r="B273" s="33" t="s">
        <v>54</v>
      </c>
      <c r="C273" s="33" t="s">
        <v>95</v>
      </c>
      <c r="D273" s="33" t="s">
        <v>60</v>
      </c>
      <c r="E273" s="33" t="s">
        <v>71</v>
      </c>
      <c r="F273" s="33"/>
      <c r="G273" s="33" t="s">
        <v>339</v>
      </c>
      <c r="H273" s="33" t="s">
        <v>118</v>
      </c>
      <c r="I273" s="70">
        <v>5070</v>
      </c>
      <c r="J273" s="33" t="s">
        <v>240</v>
      </c>
      <c r="K273" s="65">
        <v>46004</v>
      </c>
      <c r="L273" s="33">
        <v>2025404692</v>
      </c>
      <c r="M273" s="33" t="s">
        <v>222</v>
      </c>
      <c r="N273" s="33">
        <v>2025</v>
      </c>
    </row>
    <row r="274" spans="1:14">
      <c r="A274" s="33">
        <v>273</v>
      </c>
      <c r="B274" s="64" t="s">
        <v>42</v>
      </c>
      <c r="C274" s="122" t="s">
        <v>285</v>
      </c>
      <c r="D274" s="33" t="s">
        <v>60</v>
      </c>
      <c r="E274" s="33" t="s">
        <v>71</v>
      </c>
      <c r="F274" s="33"/>
      <c r="G274" s="33" t="s">
        <v>269</v>
      </c>
      <c r="H274" s="33" t="s">
        <v>118</v>
      </c>
      <c r="I274" s="70">
        <v>786.20689655172418</v>
      </c>
      <c r="J274" s="33" t="s">
        <v>379</v>
      </c>
      <c r="K274" s="65">
        <v>46006</v>
      </c>
      <c r="L274" s="33">
        <v>2026400001</v>
      </c>
      <c r="M274" s="64" t="s">
        <v>222</v>
      </c>
      <c r="N274" s="33">
        <v>2025</v>
      </c>
    </row>
    <row r="275" spans="1:14">
      <c r="A275" s="33">
        <v>274</v>
      </c>
      <c r="B275" s="33" t="s">
        <v>17</v>
      </c>
      <c r="C275" s="33" t="s">
        <v>25</v>
      </c>
      <c r="D275" s="33" t="s">
        <v>60</v>
      </c>
      <c r="E275" s="33" t="s">
        <v>71</v>
      </c>
      <c r="F275" s="33"/>
      <c r="G275" s="33" t="s">
        <v>119</v>
      </c>
      <c r="H275" s="33" t="s">
        <v>608</v>
      </c>
      <c r="I275" s="70">
        <v>2452.8000000000002</v>
      </c>
      <c r="J275" s="33" t="s">
        <v>409</v>
      </c>
      <c r="K275" s="65">
        <v>45999</v>
      </c>
      <c r="L275" s="33">
        <v>2025404428</v>
      </c>
      <c r="M275" s="33" t="s">
        <v>222</v>
      </c>
      <c r="N275" s="33">
        <v>2025</v>
      </c>
    </row>
    <row r="276" spans="1:14">
      <c r="A276" s="33">
        <v>275</v>
      </c>
      <c r="B276" s="33" t="s">
        <v>17</v>
      </c>
      <c r="C276" s="33" t="s">
        <v>25</v>
      </c>
      <c r="D276" s="33" t="s">
        <v>60</v>
      </c>
      <c r="E276" s="33" t="s">
        <v>71</v>
      </c>
      <c r="F276" s="33"/>
      <c r="G276" s="33" t="s">
        <v>119</v>
      </c>
      <c r="H276" s="33" t="s">
        <v>608</v>
      </c>
      <c r="I276" s="70">
        <v>378</v>
      </c>
      <c r="J276" s="33" t="s">
        <v>410</v>
      </c>
      <c r="K276" s="65">
        <v>45994</v>
      </c>
      <c r="L276" s="33">
        <v>2025404465</v>
      </c>
      <c r="M276" s="33" t="s">
        <v>222</v>
      </c>
      <c r="N276" s="33">
        <v>2025</v>
      </c>
    </row>
    <row r="277" spans="1:14">
      <c r="A277" s="33">
        <v>276</v>
      </c>
      <c r="B277" s="33" t="s">
        <v>17</v>
      </c>
      <c r="C277" s="33" t="s">
        <v>25</v>
      </c>
      <c r="D277" s="33" t="s">
        <v>60</v>
      </c>
      <c r="E277" s="33" t="s">
        <v>71</v>
      </c>
      <c r="F277" s="33"/>
      <c r="G277" s="33" t="s">
        <v>119</v>
      </c>
      <c r="H277" s="33" t="s">
        <v>608</v>
      </c>
      <c r="I277" s="70">
        <v>1550</v>
      </c>
      <c r="J277" s="33" t="s">
        <v>445</v>
      </c>
      <c r="K277" s="65">
        <v>46004</v>
      </c>
      <c r="L277" s="33">
        <v>2025404421</v>
      </c>
      <c r="M277" s="33" t="s">
        <v>222</v>
      </c>
      <c r="N277" s="33">
        <v>2025</v>
      </c>
    </row>
    <row r="278" spans="1:14">
      <c r="A278" s="33">
        <v>277</v>
      </c>
      <c r="B278" s="33" t="s">
        <v>42</v>
      </c>
      <c r="C278" s="33" t="s">
        <v>50</v>
      </c>
      <c r="D278" s="33" t="s">
        <v>60</v>
      </c>
      <c r="E278" s="33" t="s">
        <v>71</v>
      </c>
      <c r="F278" s="33"/>
      <c r="G278" s="33" t="s">
        <v>119</v>
      </c>
      <c r="H278" s="33" t="s">
        <v>608</v>
      </c>
      <c r="I278" s="70">
        <v>26350</v>
      </c>
      <c r="J278" s="33" t="s">
        <v>449</v>
      </c>
      <c r="K278" s="65">
        <v>46005</v>
      </c>
      <c r="L278" s="33">
        <v>2025404296</v>
      </c>
      <c r="M278" s="33" t="s">
        <v>222</v>
      </c>
      <c r="N278" s="33">
        <v>2025</v>
      </c>
    </row>
    <row r="279" spans="1:14">
      <c r="A279" s="33">
        <v>278</v>
      </c>
      <c r="B279" s="33" t="s">
        <v>42</v>
      </c>
      <c r="C279" s="33" t="s">
        <v>50</v>
      </c>
      <c r="D279" s="33" t="s">
        <v>60</v>
      </c>
      <c r="E279" s="33" t="s">
        <v>71</v>
      </c>
      <c r="F279" s="33"/>
      <c r="G279" s="33" t="s">
        <v>119</v>
      </c>
      <c r="H279" s="33" t="s">
        <v>608</v>
      </c>
      <c r="I279" s="70">
        <v>556.6</v>
      </c>
      <c r="J279" s="33" t="s">
        <v>458</v>
      </c>
      <c r="K279" s="65">
        <v>46004</v>
      </c>
      <c r="L279" s="33">
        <v>2025404436</v>
      </c>
      <c r="M279" s="33" t="s">
        <v>222</v>
      </c>
      <c r="N279" s="33">
        <v>2025</v>
      </c>
    </row>
    <row r="280" spans="1:14">
      <c r="A280" s="33">
        <v>279</v>
      </c>
      <c r="B280" s="64" t="s">
        <v>42</v>
      </c>
      <c r="C280" s="64" t="s">
        <v>50</v>
      </c>
      <c r="D280" s="33" t="s">
        <v>60</v>
      </c>
      <c r="E280" s="33" t="s">
        <v>71</v>
      </c>
      <c r="F280" s="33"/>
      <c r="G280" s="33" t="s">
        <v>119</v>
      </c>
      <c r="H280" s="33" t="s">
        <v>608</v>
      </c>
      <c r="I280" s="70">
        <v>1215</v>
      </c>
      <c r="J280" s="33" t="s">
        <v>459</v>
      </c>
      <c r="K280" s="65">
        <v>46004</v>
      </c>
      <c r="L280" s="33">
        <v>2025404504</v>
      </c>
      <c r="M280" s="64" t="s">
        <v>222</v>
      </c>
      <c r="N280" s="33">
        <v>2025</v>
      </c>
    </row>
    <row r="281" spans="1:14">
      <c r="A281" s="33">
        <v>280</v>
      </c>
      <c r="B281" s="33" t="s">
        <v>52</v>
      </c>
      <c r="C281" s="122" t="s">
        <v>62</v>
      </c>
      <c r="D281" s="33" t="s">
        <v>60</v>
      </c>
      <c r="E281" s="33" t="s">
        <v>71</v>
      </c>
      <c r="F281" s="33"/>
      <c r="G281" s="33" t="s">
        <v>119</v>
      </c>
      <c r="H281" s="33" t="s">
        <v>608</v>
      </c>
      <c r="I281" s="63">
        <v>6494.7</v>
      </c>
      <c r="J281" s="33" t="s">
        <v>468</v>
      </c>
      <c r="K281" s="65">
        <v>46004</v>
      </c>
      <c r="L281" s="33">
        <v>2025404544</v>
      </c>
      <c r="M281" s="33" t="s">
        <v>222</v>
      </c>
      <c r="N281" s="33">
        <v>2025</v>
      </c>
    </row>
    <row r="282" spans="1:14">
      <c r="A282" s="33">
        <v>281</v>
      </c>
      <c r="B282" s="33" t="s">
        <v>52</v>
      </c>
      <c r="C282" s="122" t="s">
        <v>62</v>
      </c>
      <c r="D282" s="33" t="s">
        <v>60</v>
      </c>
      <c r="E282" s="33" t="s">
        <v>71</v>
      </c>
      <c r="F282" s="33"/>
      <c r="G282" s="33" t="s">
        <v>119</v>
      </c>
      <c r="H282" s="33" t="s">
        <v>608</v>
      </c>
      <c r="I282" s="63">
        <v>5699.4</v>
      </c>
      <c r="J282" s="33" t="s">
        <v>469</v>
      </c>
      <c r="K282" s="65">
        <v>46004</v>
      </c>
      <c r="L282" s="33">
        <v>2025404543</v>
      </c>
      <c r="M282" s="33" t="s">
        <v>222</v>
      </c>
      <c r="N282" s="33">
        <v>2025</v>
      </c>
    </row>
    <row r="283" spans="1:14">
      <c r="A283" s="33">
        <v>282</v>
      </c>
      <c r="B283" s="33" t="s">
        <v>54</v>
      </c>
      <c r="C283" s="33" t="s">
        <v>95</v>
      </c>
      <c r="D283" s="33" t="s">
        <v>60</v>
      </c>
      <c r="E283" s="33" t="s">
        <v>71</v>
      </c>
      <c r="F283" s="33"/>
      <c r="G283" s="33" t="s">
        <v>119</v>
      </c>
      <c r="H283" s="33" t="s">
        <v>608</v>
      </c>
      <c r="I283" s="63">
        <v>742.3</v>
      </c>
      <c r="J283" s="33" t="s">
        <v>507</v>
      </c>
      <c r="K283" s="65">
        <v>46015</v>
      </c>
      <c r="L283" s="33">
        <v>2025404752</v>
      </c>
      <c r="M283" s="33" t="s">
        <v>222</v>
      </c>
      <c r="N283" s="33">
        <v>2025</v>
      </c>
    </row>
    <row r="284" spans="1:14">
      <c r="A284" s="33">
        <v>283</v>
      </c>
      <c r="B284" s="33" t="s">
        <v>52</v>
      </c>
      <c r="C284" s="122" t="s">
        <v>62</v>
      </c>
      <c r="D284" s="33" t="s">
        <v>60</v>
      </c>
      <c r="E284" s="33" t="s">
        <v>71</v>
      </c>
      <c r="F284" s="33"/>
      <c r="G284" s="33" t="s">
        <v>119</v>
      </c>
      <c r="H284" s="33" t="s">
        <v>608</v>
      </c>
      <c r="I284" s="63">
        <v>33820</v>
      </c>
      <c r="J284" s="33" t="s">
        <v>545</v>
      </c>
      <c r="K284" s="65">
        <v>46019</v>
      </c>
      <c r="L284" s="33">
        <v>2025404788</v>
      </c>
      <c r="M284" s="33" t="s">
        <v>222</v>
      </c>
      <c r="N284" s="33">
        <v>2025</v>
      </c>
    </row>
    <row r="285" spans="1:14">
      <c r="A285" s="33">
        <v>284</v>
      </c>
      <c r="B285" s="33" t="s">
        <v>42</v>
      </c>
      <c r="C285" s="33" t="s">
        <v>50</v>
      </c>
      <c r="D285" s="33" t="s">
        <v>60</v>
      </c>
      <c r="E285" s="33" t="s">
        <v>71</v>
      </c>
      <c r="F285" s="33"/>
      <c r="G285" s="33" t="s">
        <v>119</v>
      </c>
      <c r="H285" s="33" t="s">
        <v>608</v>
      </c>
      <c r="I285" s="63">
        <v>763.7</v>
      </c>
      <c r="J285" s="33" t="s">
        <v>546</v>
      </c>
      <c r="K285" s="65">
        <v>46022</v>
      </c>
      <c r="L285" s="33">
        <v>2025404780</v>
      </c>
      <c r="M285" s="33" t="s">
        <v>222</v>
      </c>
      <c r="N285" s="33">
        <v>2025</v>
      </c>
    </row>
    <row r="286" spans="1:14">
      <c r="A286" s="33">
        <v>285</v>
      </c>
      <c r="B286" s="33" t="s">
        <v>35</v>
      </c>
      <c r="C286" s="33" t="s">
        <v>36</v>
      </c>
      <c r="D286" s="33" t="s">
        <v>60</v>
      </c>
      <c r="E286" s="33" t="s">
        <v>71</v>
      </c>
      <c r="F286" s="33"/>
      <c r="G286" s="33" t="s">
        <v>119</v>
      </c>
      <c r="H286" s="33" t="s">
        <v>608</v>
      </c>
      <c r="I286" s="63">
        <v>1591.4</v>
      </c>
      <c r="J286" s="33" t="s">
        <v>547</v>
      </c>
      <c r="K286" s="65">
        <v>46022</v>
      </c>
      <c r="L286" s="33">
        <v>2025404828</v>
      </c>
      <c r="M286" s="33" t="s">
        <v>222</v>
      </c>
      <c r="N286" s="33">
        <v>2025</v>
      </c>
    </row>
    <row r="287" spans="1:14">
      <c r="A287" s="33">
        <v>286</v>
      </c>
      <c r="B287" s="33" t="s">
        <v>52</v>
      </c>
      <c r="C287" s="122" t="s">
        <v>62</v>
      </c>
      <c r="D287" s="33" t="s">
        <v>60</v>
      </c>
      <c r="E287" s="33" t="s">
        <v>71</v>
      </c>
      <c r="F287" s="33"/>
      <c r="G287" s="33" t="s">
        <v>119</v>
      </c>
      <c r="H287" s="33" t="s">
        <v>608</v>
      </c>
      <c r="I287" s="63">
        <v>12855.9</v>
      </c>
      <c r="J287" s="33" t="s">
        <v>551</v>
      </c>
      <c r="K287" s="65">
        <v>46008</v>
      </c>
      <c r="L287" s="33">
        <v>2025404554</v>
      </c>
      <c r="M287" s="33" t="s">
        <v>222</v>
      </c>
      <c r="N287" s="33">
        <v>2025</v>
      </c>
    </row>
    <row r="288" spans="1:14">
      <c r="A288" s="33">
        <v>287</v>
      </c>
      <c r="B288" s="33" t="s">
        <v>17</v>
      </c>
      <c r="C288" s="33" t="s">
        <v>22</v>
      </c>
      <c r="D288" s="33" t="s">
        <v>60</v>
      </c>
      <c r="E288" s="33" t="s">
        <v>71</v>
      </c>
      <c r="F288" s="33"/>
      <c r="G288" s="33" t="s">
        <v>119</v>
      </c>
      <c r="H288" s="33" t="s">
        <v>608</v>
      </c>
      <c r="I288" s="63">
        <v>7750</v>
      </c>
      <c r="J288" s="33" t="s">
        <v>573</v>
      </c>
      <c r="K288" s="65">
        <v>46025</v>
      </c>
      <c r="L288" s="33">
        <v>2025404776</v>
      </c>
      <c r="M288" s="33" t="s">
        <v>222</v>
      </c>
      <c r="N288" s="33">
        <v>2025</v>
      </c>
    </row>
    <row r="289" spans="1:14">
      <c r="A289" s="33">
        <v>288</v>
      </c>
      <c r="B289" s="33" t="s">
        <v>17</v>
      </c>
      <c r="C289" s="33" t="s">
        <v>18</v>
      </c>
      <c r="D289" s="33" t="s">
        <v>60</v>
      </c>
      <c r="E289" s="33" t="s">
        <v>71</v>
      </c>
      <c r="F289" s="33"/>
      <c r="G289" s="33" t="s">
        <v>119</v>
      </c>
      <c r="H289" s="33" t="s">
        <v>608</v>
      </c>
      <c r="I289" s="63">
        <v>385.8</v>
      </c>
      <c r="J289" s="33" t="s">
        <v>576</v>
      </c>
      <c r="K289" s="65">
        <v>46019</v>
      </c>
      <c r="L289" s="33">
        <v>2025404719</v>
      </c>
      <c r="M289" s="33" t="s">
        <v>222</v>
      </c>
      <c r="N289" s="33">
        <v>2025</v>
      </c>
    </row>
    <row r="290" spans="1:14">
      <c r="A290" s="33">
        <v>289</v>
      </c>
      <c r="B290" s="62" t="s">
        <v>52</v>
      </c>
      <c r="C290" s="122" t="s">
        <v>62</v>
      </c>
      <c r="D290" s="33" t="s">
        <v>60</v>
      </c>
      <c r="E290" s="33" t="s">
        <v>71</v>
      </c>
      <c r="F290" s="33"/>
      <c r="G290" s="62" t="s">
        <v>119</v>
      </c>
      <c r="H290" s="33" t="s">
        <v>608</v>
      </c>
      <c r="I290" s="63">
        <v>3520.2</v>
      </c>
      <c r="J290" s="33" t="s">
        <v>582</v>
      </c>
      <c r="K290" s="65">
        <v>46030</v>
      </c>
      <c r="L290" s="33">
        <v>2025404690</v>
      </c>
      <c r="M290" s="62" t="s">
        <v>222</v>
      </c>
      <c r="N290" s="33">
        <v>2025</v>
      </c>
    </row>
    <row r="291" spans="1:14">
      <c r="A291" s="33">
        <v>290</v>
      </c>
      <c r="B291" s="62" t="s">
        <v>42</v>
      </c>
      <c r="C291" s="122" t="s">
        <v>285</v>
      </c>
      <c r="D291" s="33" t="s">
        <v>60</v>
      </c>
      <c r="E291" s="33" t="s">
        <v>71</v>
      </c>
      <c r="F291" s="33"/>
      <c r="G291" s="62" t="s">
        <v>119</v>
      </c>
      <c r="H291" s="33" t="s">
        <v>608</v>
      </c>
      <c r="I291" s="63">
        <v>24637.5</v>
      </c>
      <c r="J291" s="33" t="s">
        <v>605</v>
      </c>
      <c r="K291" s="65">
        <v>46030</v>
      </c>
      <c r="L291" s="33">
        <v>2025404787</v>
      </c>
      <c r="M291" s="62" t="s">
        <v>222</v>
      </c>
      <c r="N291" s="33">
        <v>2025</v>
      </c>
    </row>
    <row r="292" spans="1:14">
      <c r="A292" s="33">
        <v>291</v>
      </c>
      <c r="B292" s="33" t="s">
        <v>42</v>
      </c>
      <c r="C292" s="65" t="s">
        <v>43</v>
      </c>
      <c r="D292" s="33" t="s">
        <v>60</v>
      </c>
      <c r="E292" s="33" t="s">
        <v>71</v>
      </c>
      <c r="F292" s="33"/>
      <c r="G292" s="33" t="s">
        <v>333</v>
      </c>
      <c r="H292" s="66" t="s">
        <v>609</v>
      </c>
      <c r="I292" s="67">
        <v>1965.5172413793102</v>
      </c>
      <c r="J292" s="33" t="s">
        <v>362</v>
      </c>
      <c r="K292" s="65">
        <v>46004</v>
      </c>
      <c r="L292" s="68">
        <v>2025404511</v>
      </c>
      <c r="M292" s="62" t="s">
        <v>222</v>
      </c>
      <c r="N292" s="33">
        <v>2025</v>
      </c>
    </row>
    <row r="293" spans="1:14">
      <c r="A293" s="33">
        <v>292</v>
      </c>
      <c r="B293" s="33" t="s">
        <v>35</v>
      </c>
      <c r="C293" s="65" t="s">
        <v>36</v>
      </c>
      <c r="D293" s="33" t="s">
        <v>60</v>
      </c>
      <c r="E293" s="33" t="s">
        <v>71</v>
      </c>
      <c r="F293" s="33"/>
      <c r="G293" s="33" t="s">
        <v>335</v>
      </c>
      <c r="H293" s="66" t="s">
        <v>118</v>
      </c>
      <c r="I293" s="67">
        <v>1793.1034482758621</v>
      </c>
      <c r="J293" s="33" t="s">
        <v>365</v>
      </c>
      <c r="K293" s="65">
        <v>45999</v>
      </c>
      <c r="L293" s="68">
        <v>2025404509</v>
      </c>
      <c r="M293" s="62" t="s">
        <v>222</v>
      </c>
      <c r="N293" s="33">
        <v>2025</v>
      </c>
    </row>
    <row r="294" spans="1:14">
      <c r="A294" s="33">
        <v>293</v>
      </c>
      <c r="B294" s="33" t="s">
        <v>17</v>
      </c>
      <c r="C294" s="65" t="s">
        <v>25</v>
      </c>
      <c r="D294" s="33" t="s">
        <v>60</v>
      </c>
      <c r="E294" s="33" t="s">
        <v>71</v>
      </c>
      <c r="F294" s="33"/>
      <c r="G294" s="33" t="s">
        <v>232</v>
      </c>
      <c r="H294" s="66" t="s">
        <v>118</v>
      </c>
      <c r="I294" s="67">
        <v>13670</v>
      </c>
      <c r="J294" s="33" t="s">
        <v>408</v>
      </c>
      <c r="K294" s="65">
        <v>45995</v>
      </c>
      <c r="L294" s="68">
        <v>2025404426</v>
      </c>
      <c r="M294" s="62" t="s">
        <v>222</v>
      </c>
      <c r="N294" s="33">
        <v>2025</v>
      </c>
    </row>
    <row r="295" spans="1:14">
      <c r="A295" s="33">
        <v>294</v>
      </c>
      <c r="B295" s="33" t="s">
        <v>52</v>
      </c>
      <c r="C295" s="127" t="s">
        <v>62</v>
      </c>
      <c r="D295" s="33" t="s">
        <v>60</v>
      </c>
      <c r="E295" s="33" t="s">
        <v>71</v>
      </c>
      <c r="F295" s="33"/>
      <c r="G295" s="33" t="s">
        <v>120</v>
      </c>
      <c r="H295" s="66" t="s">
        <v>118</v>
      </c>
      <c r="I295" s="67">
        <v>517.24137931034488</v>
      </c>
      <c r="J295" s="33" t="s">
        <v>383</v>
      </c>
      <c r="K295" s="65">
        <v>45991</v>
      </c>
      <c r="L295" s="68">
        <v>2025404541</v>
      </c>
      <c r="M295" s="62" t="s">
        <v>222</v>
      </c>
      <c r="N295" s="33">
        <v>2025</v>
      </c>
    </row>
    <row r="296" spans="1:14">
      <c r="A296" s="33">
        <v>295</v>
      </c>
      <c r="B296" s="33" t="s">
        <v>54</v>
      </c>
      <c r="C296" s="65" t="s">
        <v>95</v>
      </c>
      <c r="D296" s="33" t="s">
        <v>60</v>
      </c>
      <c r="E296" s="33" t="s">
        <v>71</v>
      </c>
      <c r="F296" s="33"/>
      <c r="G296" s="33" t="s">
        <v>120</v>
      </c>
      <c r="H296" s="66" t="s">
        <v>118</v>
      </c>
      <c r="I296" s="67">
        <v>110.34482758620689</v>
      </c>
      <c r="J296" s="33" t="s">
        <v>386</v>
      </c>
      <c r="K296" s="65">
        <v>46020</v>
      </c>
      <c r="L296" s="68">
        <v>2025404838</v>
      </c>
      <c r="M296" s="62" t="s">
        <v>222</v>
      </c>
      <c r="N296" s="33">
        <v>2025</v>
      </c>
    </row>
    <row r="297" spans="1:14">
      <c r="A297" s="33">
        <v>296</v>
      </c>
      <c r="B297" s="33" t="s">
        <v>17</v>
      </c>
      <c r="C297" s="33" t="s">
        <v>22</v>
      </c>
      <c r="D297" s="33" t="s">
        <v>60</v>
      </c>
      <c r="E297" s="33" t="s">
        <v>71</v>
      </c>
      <c r="F297" s="33"/>
      <c r="G297" s="33" t="s">
        <v>120</v>
      </c>
      <c r="H297" s="66" t="s">
        <v>118</v>
      </c>
      <c r="I297" s="67">
        <v>44.137931034482762</v>
      </c>
      <c r="J297" s="33" t="s">
        <v>387</v>
      </c>
      <c r="K297" s="65">
        <v>46002</v>
      </c>
      <c r="L297" s="68">
        <v>2026400013</v>
      </c>
      <c r="M297" s="62" t="s">
        <v>222</v>
      </c>
      <c r="N297" s="33">
        <v>2025</v>
      </c>
    </row>
    <row r="298" spans="1:14">
      <c r="A298" s="33">
        <v>297</v>
      </c>
      <c r="B298" s="33" t="s">
        <v>54</v>
      </c>
      <c r="C298" s="65" t="s">
        <v>55</v>
      </c>
      <c r="D298" s="33" t="s">
        <v>60</v>
      </c>
      <c r="E298" s="33" t="s">
        <v>71</v>
      </c>
      <c r="F298" s="33"/>
      <c r="G298" s="33" t="s">
        <v>295</v>
      </c>
      <c r="H298" s="66" t="s">
        <v>118</v>
      </c>
      <c r="I298" s="67">
        <v>6551.7241379310344</v>
      </c>
      <c r="J298" s="33" t="s">
        <v>349</v>
      </c>
      <c r="K298" s="65">
        <v>45992</v>
      </c>
      <c r="L298" s="68">
        <v>2025404499</v>
      </c>
      <c r="M298" s="62" t="s">
        <v>222</v>
      </c>
      <c r="N298" s="33">
        <v>2025</v>
      </c>
    </row>
    <row r="299" spans="1:14">
      <c r="A299" s="33">
        <v>298</v>
      </c>
      <c r="B299" s="33" t="s">
        <v>54</v>
      </c>
      <c r="C299" s="65" t="s">
        <v>55</v>
      </c>
      <c r="D299" s="33" t="s">
        <v>60</v>
      </c>
      <c r="E299" s="33" t="s">
        <v>71</v>
      </c>
      <c r="F299" s="33"/>
      <c r="G299" s="33" t="s">
        <v>239</v>
      </c>
      <c r="H299" s="66" t="s">
        <v>242</v>
      </c>
      <c r="I299" s="67">
        <v>6670.3448275862065</v>
      </c>
      <c r="J299" s="33" t="s">
        <v>348</v>
      </c>
      <c r="K299" s="65">
        <v>45999</v>
      </c>
      <c r="L299" s="68">
        <v>2025404791</v>
      </c>
      <c r="M299" s="62" t="s">
        <v>222</v>
      </c>
      <c r="N299" s="33">
        <v>2025</v>
      </c>
    </row>
    <row r="300" spans="1:14">
      <c r="A300" s="33">
        <v>299</v>
      </c>
      <c r="B300" s="33" t="s">
        <v>52</v>
      </c>
      <c r="C300" s="127" t="s">
        <v>62</v>
      </c>
      <c r="D300" s="33" t="s">
        <v>60</v>
      </c>
      <c r="E300" s="33" t="s">
        <v>71</v>
      </c>
      <c r="F300" s="33"/>
      <c r="G300" s="33" t="s">
        <v>239</v>
      </c>
      <c r="H300" s="66" t="s">
        <v>242</v>
      </c>
      <c r="I300" s="67">
        <v>5594.4827586206893</v>
      </c>
      <c r="J300" s="33" t="s">
        <v>351</v>
      </c>
      <c r="K300" s="65">
        <v>45997</v>
      </c>
      <c r="L300" s="68">
        <v>2025404357</v>
      </c>
      <c r="M300" s="62" t="s">
        <v>222</v>
      </c>
      <c r="N300" s="33">
        <v>2025</v>
      </c>
    </row>
    <row r="301" spans="1:14">
      <c r="A301" s="33">
        <v>300</v>
      </c>
      <c r="B301" s="33" t="s">
        <v>54</v>
      </c>
      <c r="C301" s="65" t="s">
        <v>55</v>
      </c>
      <c r="D301" s="33" t="s">
        <v>60</v>
      </c>
      <c r="E301" s="33" t="s">
        <v>71</v>
      </c>
      <c r="F301" s="33"/>
      <c r="G301" s="33" t="s">
        <v>239</v>
      </c>
      <c r="H301" s="66" t="s">
        <v>242</v>
      </c>
      <c r="I301" s="67">
        <v>5594.4827586206893</v>
      </c>
      <c r="J301" s="33" t="s">
        <v>352</v>
      </c>
      <c r="K301" s="65">
        <v>45991</v>
      </c>
      <c r="L301" s="68">
        <v>2025404497</v>
      </c>
      <c r="M301" s="62" t="s">
        <v>222</v>
      </c>
      <c r="N301" s="33">
        <v>2025</v>
      </c>
    </row>
    <row r="302" spans="1:14">
      <c r="A302" s="33">
        <v>301</v>
      </c>
      <c r="B302" s="33" t="s">
        <v>54</v>
      </c>
      <c r="C302" s="33" t="s">
        <v>55</v>
      </c>
      <c r="D302" s="33" t="s">
        <v>60</v>
      </c>
      <c r="E302" s="33" t="s">
        <v>71</v>
      </c>
      <c r="F302" s="33"/>
      <c r="G302" s="33" t="s">
        <v>239</v>
      </c>
      <c r="H302" s="33" t="s">
        <v>242</v>
      </c>
      <c r="I302" s="67">
        <v>5594.4827586206893</v>
      </c>
      <c r="J302" s="33" t="s">
        <v>353</v>
      </c>
      <c r="K302" s="65">
        <v>46007</v>
      </c>
      <c r="L302" s="68">
        <v>2025404791</v>
      </c>
      <c r="M302" s="62" t="s">
        <v>222</v>
      </c>
      <c r="N302" s="33">
        <v>2025</v>
      </c>
    </row>
    <row r="303" spans="1:14">
      <c r="A303" s="33">
        <v>302</v>
      </c>
      <c r="B303" s="33" t="s">
        <v>42</v>
      </c>
      <c r="C303" s="65" t="s">
        <v>50</v>
      </c>
      <c r="D303" s="33" t="s">
        <v>60</v>
      </c>
      <c r="E303" s="33" t="s">
        <v>71</v>
      </c>
      <c r="F303" s="33"/>
      <c r="G303" s="33" t="s">
        <v>239</v>
      </c>
      <c r="H303" s="66" t="s">
        <v>242</v>
      </c>
      <c r="I303" s="67">
        <v>4034.4827586206898</v>
      </c>
      <c r="J303" s="33" t="s">
        <v>356</v>
      </c>
      <c r="K303" s="65">
        <v>46004</v>
      </c>
      <c r="L303" s="68">
        <v>2025404656</v>
      </c>
      <c r="M303" s="62" t="s">
        <v>222</v>
      </c>
      <c r="N303" s="33">
        <v>2025</v>
      </c>
    </row>
    <row r="304" spans="1:14">
      <c r="A304" s="33">
        <v>303</v>
      </c>
      <c r="B304" s="33" t="s">
        <v>42</v>
      </c>
      <c r="C304" s="65" t="s">
        <v>47</v>
      </c>
      <c r="D304" s="33" t="s">
        <v>60</v>
      </c>
      <c r="E304" s="33" t="s">
        <v>71</v>
      </c>
      <c r="F304" s="33"/>
      <c r="G304" s="33" t="s">
        <v>239</v>
      </c>
      <c r="H304" s="66" t="s">
        <v>242</v>
      </c>
      <c r="I304" s="67">
        <v>489.65517241379308</v>
      </c>
      <c r="J304" s="33" t="s">
        <v>384</v>
      </c>
      <c r="K304" s="65">
        <v>46006</v>
      </c>
      <c r="L304" s="68">
        <v>2025404899</v>
      </c>
      <c r="M304" s="62" t="s">
        <v>222</v>
      </c>
      <c r="N304" s="33">
        <v>2025</v>
      </c>
    </row>
    <row r="305" spans="1:14">
      <c r="A305" s="33">
        <v>304</v>
      </c>
      <c r="B305" s="33" t="s">
        <v>54</v>
      </c>
      <c r="C305" s="65" t="s">
        <v>95</v>
      </c>
      <c r="D305" s="33" t="s">
        <v>60</v>
      </c>
      <c r="E305" s="33" t="s">
        <v>71</v>
      </c>
      <c r="F305" s="33"/>
      <c r="G305" s="33" t="s">
        <v>344</v>
      </c>
      <c r="H305" s="66" t="s">
        <v>118</v>
      </c>
      <c r="I305" s="67">
        <v>12125</v>
      </c>
      <c r="J305" s="33" t="s">
        <v>554</v>
      </c>
      <c r="K305" s="65">
        <v>46366</v>
      </c>
      <c r="L305" s="68">
        <v>2025404803</v>
      </c>
      <c r="M305" s="62" t="s">
        <v>222</v>
      </c>
      <c r="N305" s="33">
        <v>2025</v>
      </c>
    </row>
    <row r="306" spans="1:14">
      <c r="A306" s="33">
        <v>305</v>
      </c>
      <c r="B306" s="33" t="s">
        <v>52</v>
      </c>
      <c r="C306" s="127" t="s">
        <v>62</v>
      </c>
      <c r="D306" s="33" t="s">
        <v>60</v>
      </c>
      <c r="E306" s="33" t="s">
        <v>71</v>
      </c>
      <c r="F306" s="33"/>
      <c r="G306" s="33" t="s">
        <v>237</v>
      </c>
      <c r="H306" s="66" t="s">
        <v>243</v>
      </c>
      <c r="I306" s="67">
        <v>5227.5862068965516</v>
      </c>
      <c r="J306" s="33" t="s">
        <v>355</v>
      </c>
      <c r="K306" s="65">
        <v>46001</v>
      </c>
      <c r="L306" s="68">
        <v>2026400055</v>
      </c>
      <c r="M306" s="62" t="s">
        <v>222</v>
      </c>
      <c r="N306" s="33">
        <v>2025</v>
      </c>
    </row>
    <row r="307" spans="1:14">
      <c r="A307" s="33">
        <v>306</v>
      </c>
      <c r="B307" s="33" t="s">
        <v>17</v>
      </c>
      <c r="C307" s="64" t="s">
        <v>22</v>
      </c>
      <c r="D307" s="33" t="s">
        <v>60</v>
      </c>
      <c r="E307" s="33" t="s">
        <v>71</v>
      </c>
      <c r="F307" s="33"/>
      <c r="G307" s="33" t="s">
        <v>237</v>
      </c>
      <c r="H307" s="66" t="s">
        <v>243</v>
      </c>
      <c r="I307" s="70">
        <v>1896.5517241379309</v>
      </c>
      <c r="J307" s="33" t="s">
        <v>364</v>
      </c>
      <c r="K307" s="65">
        <v>46013</v>
      </c>
      <c r="L307" s="68">
        <v>2026400009</v>
      </c>
      <c r="M307" s="33" t="s">
        <v>222</v>
      </c>
      <c r="N307" s="33">
        <v>2025</v>
      </c>
    </row>
    <row r="308" spans="1:14">
      <c r="A308" s="33">
        <v>307</v>
      </c>
      <c r="B308" s="33" t="s">
        <v>54</v>
      </c>
      <c r="C308" s="33" t="s">
        <v>95</v>
      </c>
      <c r="D308" s="33" t="s">
        <v>60</v>
      </c>
      <c r="E308" s="33" t="s">
        <v>71</v>
      </c>
      <c r="F308" s="33"/>
      <c r="G308" s="33" t="s">
        <v>237</v>
      </c>
      <c r="H308" s="66" t="s">
        <v>243</v>
      </c>
      <c r="I308" s="70">
        <v>827.58620689655174</v>
      </c>
      <c r="J308" s="33" t="s">
        <v>378</v>
      </c>
      <c r="K308" s="65">
        <v>46013</v>
      </c>
      <c r="L308" s="68">
        <v>2025404830</v>
      </c>
      <c r="M308" s="33" t="s">
        <v>222</v>
      </c>
      <c r="N308" s="33">
        <v>2025</v>
      </c>
    </row>
    <row r="309" spans="1:14">
      <c r="A309" s="33">
        <v>308</v>
      </c>
      <c r="B309" s="62" t="s">
        <v>42</v>
      </c>
      <c r="C309" s="122" t="s">
        <v>285</v>
      </c>
      <c r="D309" s="33" t="s">
        <v>60</v>
      </c>
      <c r="E309" s="33" t="s">
        <v>71</v>
      </c>
      <c r="F309" s="33"/>
      <c r="G309" s="33" t="s">
        <v>336</v>
      </c>
      <c r="H309" s="33" t="s">
        <v>118</v>
      </c>
      <c r="I309" s="70">
        <v>2689.655172413793</v>
      </c>
      <c r="J309" s="65" t="s">
        <v>359</v>
      </c>
      <c r="K309" s="65">
        <v>45997</v>
      </c>
      <c r="L309" s="68">
        <v>2025404598</v>
      </c>
      <c r="M309" s="62" t="s">
        <v>222</v>
      </c>
      <c r="N309" s="33">
        <v>2025</v>
      </c>
    </row>
    <row r="310" spans="1:14">
      <c r="A310" s="33">
        <v>309</v>
      </c>
      <c r="B310" s="33" t="s">
        <v>52</v>
      </c>
      <c r="C310" s="122" t="s">
        <v>62</v>
      </c>
      <c r="D310" s="33" t="s">
        <v>60</v>
      </c>
      <c r="E310" s="33" t="s">
        <v>71</v>
      </c>
      <c r="F310" s="33"/>
      <c r="G310" s="33" t="s">
        <v>336</v>
      </c>
      <c r="H310" s="33" t="s">
        <v>118</v>
      </c>
      <c r="I310" s="70">
        <v>1196.5517241379309</v>
      </c>
      <c r="J310" s="33" t="s">
        <v>375</v>
      </c>
      <c r="K310" s="65">
        <v>46006</v>
      </c>
      <c r="L310" s="33">
        <v>2025404784</v>
      </c>
      <c r="M310" s="62" t="s">
        <v>222</v>
      </c>
      <c r="N310" s="33">
        <v>2025</v>
      </c>
    </row>
    <row r="311" spans="1:14">
      <c r="A311" s="33">
        <v>310</v>
      </c>
      <c r="B311" s="62" t="s">
        <v>54</v>
      </c>
      <c r="C311" s="62" t="s">
        <v>95</v>
      </c>
      <c r="D311" s="33" t="s">
        <v>60</v>
      </c>
      <c r="E311" s="33" t="s">
        <v>71</v>
      </c>
      <c r="F311" s="33"/>
      <c r="G311" s="62" t="s">
        <v>336</v>
      </c>
      <c r="H311" s="62" t="s">
        <v>118</v>
      </c>
      <c r="I311" s="70">
        <v>689.65517241379314</v>
      </c>
      <c r="J311" s="33" t="s">
        <v>380</v>
      </c>
      <c r="K311" s="65">
        <v>46011</v>
      </c>
      <c r="L311" s="33">
        <v>2025404764</v>
      </c>
      <c r="M311" s="62" t="s">
        <v>222</v>
      </c>
      <c r="N311" s="33">
        <v>2025</v>
      </c>
    </row>
    <row r="312" spans="1:14">
      <c r="A312" s="33">
        <v>311</v>
      </c>
      <c r="B312" s="62" t="s">
        <v>42</v>
      </c>
      <c r="C312" s="33" t="s">
        <v>50</v>
      </c>
      <c r="D312" s="33" t="s">
        <v>60</v>
      </c>
      <c r="E312" s="33" t="s">
        <v>71</v>
      </c>
      <c r="F312" s="33"/>
      <c r="G312" s="62" t="s">
        <v>121</v>
      </c>
      <c r="H312" s="62" t="s">
        <v>118</v>
      </c>
      <c r="I312" s="70">
        <v>2220.54</v>
      </c>
      <c r="J312" s="33" t="s">
        <v>443</v>
      </c>
      <c r="K312" s="65">
        <v>46005</v>
      </c>
      <c r="L312" s="33">
        <v>2025404490</v>
      </c>
      <c r="M312" s="62" t="s">
        <v>222</v>
      </c>
      <c r="N312" s="33">
        <v>2025</v>
      </c>
    </row>
    <row r="313" spans="1:14">
      <c r="A313" s="33">
        <v>312</v>
      </c>
      <c r="B313" s="62" t="s">
        <v>17</v>
      </c>
      <c r="C313" s="33" t="s">
        <v>22</v>
      </c>
      <c r="D313" s="33" t="s">
        <v>60</v>
      </c>
      <c r="E313" s="33" t="s">
        <v>71</v>
      </c>
      <c r="F313" s="33"/>
      <c r="G313" s="62" t="s">
        <v>121</v>
      </c>
      <c r="H313" s="62" t="s">
        <v>118</v>
      </c>
      <c r="I313" s="70">
        <v>1581.9</v>
      </c>
      <c r="J313" s="33" t="s">
        <v>450</v>
      </c>
      <c r="K313" s="65">
        <v>46005</v>
      </c>
      <c r="L313" s="33">
        <v>2025404516</v>
      </c>
      <c r="M313" s="62" t="s">
        <v>222</v>
      </c>
      <c r="N313" s="33">
        <v>2025</v>
      </c>
    </row>
    <row r="314" spans="1:14">
      <c r="A314" s="33">
        <v>313</v>
      </c>
      <c r="B314" s="62" t="s">
        <v>35</v>
      </c>
      <c r="C314" s="33" t="s">
        <v>36</v>
      </c>
      <c r="D314" s="33" t="s">
        <v>60</v>
      </c>
      <c r="E314" s="33" t="s">
        <v>71</v>
      </c>
      <c r="F314" s="33"/>
      <c r="G314" s="62" t="s">
        <v>121</v>
      </c>
      <c r="H314" s="62" t="s">
        <v>118</v>
      </c>
      <c r="I314" s="70">
        <v>248.83</v>
      </c>
      <c r="J314" s="33" t="s">
        <v>451</v>
      </c>
      <c r="K314" s="65">
        <v>46005</v>
      </c>
      <c r="L314" s="33">
        <v>2025404461</v>
      </c>
      <c r="M314" s="62" t="s">
        <v>222</v>
      </c>
      <c r="N314" s="33">
        <v>2025</v>
      </c>
    </row>
    <row r="315" spans="1:14">
      <c r="A315" s="33">
        <v>314</v>
      </c>
      <c r="B315" s="62" t="s">
        <v>17</v>
      </c>
      <c r="C315" s="33" t="s">
        <v>26</v>
      </c>
      <c r="D315" s="33" t="s">
        <v>60</v>
      </c>
      <c r="E315" s="33" t="s">
        <v>71</v>
      </c>
      <c r="F315" s="33"/>
      <c r="G315" s="62" t="s">
        <v>121</v>
      </c>
      <c r="H315" s="62" t="s">
        <v>118</v>
      </c>
      <c r="I315" s="70">
        <v>290.39999999999998</v>
      </c>
      <c r="J315" s="33" t="s">
        <v>452</v>
      </c>
      <c r="K315" s="65">
        <v>46000</v>
      </c>
      <c r="L315" s="33">
        <v>2025404475</v>
      </c>
      <c r="M315" s="62" t="s">
        <v>222</v>
      </c>
      <c r="N315" s="33">
        <v>2025</v>
      </c>
    </row>
    <row r="316" spans="1:14">
      <c r="A316" s="33">
        <v>315</v>
      </c>
      <c r="B316" s="62" t="s">
        <v>35</v>
      </c>
      <c r="C316" s="62" t="s">
        <v>36</v>
      </c>
      <c r="D316" s="33" t="s">
        <v>60</v>
      </c>
      <c r="E316" s="33" t="s">
        <v>71</v>
      </c>
      <c r="F316" s="33"/>
      <c r="G316" s="62" t="s">
        <v>121</v>
      </c>
      <c r="H316" s="62" t="s">
        <v>118</v>
      </c>
      <c r="I316" s="70">
        <v>1211.04</v>
      </c>
      <c r="J316" s="33" t="s">
        <v>454</v>
      </c>
      <c r="K316" s="65">
        <v>46002</v>
      </c>
      <c r="L316" s="33">
        <v>2025404459</v>
      </c>
      <c r="M316" s="62" t="s">
        <v>222</v>
      </c>
      <c r="N316" s="33">
        <v>2025</v>
      </c>
    </row>
    <row r="317" spans="1:14">
      <c r="A317" s="33">
        <v>316</v>
      </c>
      <c r="B317" s="62" t="s">
        <v>42</v>
      </c>
      <c r="C317" s="33" t="s">
        <v>47</v>
      </c>
      <c r="D317" s="33" t="s">
        <v>60</v>
      </c>
      <c r="E317" s="33" t="s">
        <v>71</v>
      </c>
      <c r="F317" s="33"/>
      <c r="G317" s="62" t="s">
        <v>121</v>
      </c>
      <c r="H317" s="62" t="s">
        <v>118</v>
      </c>
      <c r="I317" s="70">
        <v>285</v>
      </c>
      <c r="J317" s="33" t="s">
        <v>455</v>
      </c>
      <c r="K317" s="65">
        <v>46002</v>
      </c>
      <c r="L317" s="33">
        <v>2025404456</v>
      </c>
      <c r="M317" s="62" t="s">
        <v>222</v>
      </c>
      <c r="N317" s="33">
        <v>2025</v>
      </c>
    </row>
    <row r="318" spans="1:14">
      <c r="A318" s="33">
        <v>317</v>
      </c>
      <c r="B318" s="62" t="s">
        <v>42</v>
      </c>
      <c r="C318" s="33" t="s">
        <v>50</v>
      </c>
      <c r="D318" s="33" t="s">
        <v>60</v>
      </c>
      <c r="E318" s="33" t="s">
        <v>71</v>
      </c>
      <c r="F318" s="33"/>
      <c r="G318" s="62" t="s">
        <v>121</v>
      </c>
      <c r="H318" s="62" t="s">
        <v>118</v>
      </c>
      <c r="I318" s="70">
        <v>1955.6</v>
      </c>
      <c r="J318" s="33" t="s">
        <v>456</v>
      </c>
      <c r="K318" s="65">
        <v>46000</v>
      </c>
      <c r="L318" s="33">
        <v>2025404449</v>
      </c>
      <c r="M318" s="62" t="s">
        <v>222</v>
      </c>
      <c r="N318" s="33">
        <v>2025</v>
      </c>
    </row>
    <row r="319" spans="1:14">
      <c r="A319" s="33">
        <v>318</v>
      </c>
      <c r="B319" s="62" t="s">
        <v>35</v>
      </c>
      <c r="C319" s="33" t="s">
        <v>36</v>
      </c>
      <c r="D319" s="33" t="s">
        <v>60</v>
      </c>
      <c r="E319" s="33" t="s">
        <v>71</v>
      </c>
      <c r="F319" s="33"/>
      <c r="G319" s="62" t="s">
        <v>121</v>
      </c>
      <c r="H319" s="62" t="s">
        <v>118</v>
      </c>
      <c r="I319" s="70">
        <v>1066.49</v>
      </c>
      <c r="J319" s="33" t="s">
        <v>467</v>
      </c>
      <c r="K319" s="65">
        <v>46006</v>
      </c>
      <c r="L319" s="33">
        <v>2025404445</v>
      </c>
      <c r="M319" s="62" t="s">
        <v>222</v>
      </c>
      <c r="N319" s="33">
        <v>2025</v>
      </c>
    </row>
    <row r="320" spans="1:14">
      <c r="A320" s="33">
        <v>319</v>
      </c>
      <c r="B320" s="62" t="s">
        <v>52</v>
      </c>
      <c r="C320" s="122" t="s">
        <v>62</v>
      </c>
      <c r="D320" s="33" t="s">
        <v>60</v>
      </c>
      <c r="E320" s="33" t="s">
        <v>71</v>
      </c>
      <c r="F320" s="33"/>
      <c r="G320" s="62" t="s">
        <v>121</v>
      </c>
      <c r="H320" s="62" t="s">
        <v>118</v>
      </c>
      <c r="I320" s="70">
        <v>500.92</v>
      </c>
      <c r="J320" s="33" t="s">
        <v>470</v>
      </c>
      <c r="K320" s="65">
        <v>45987</v>
      </c>
      <c r="L320" s="33">
        <v>2025404518</v>
      </c>
      <c r="M320" s="62" t="s">
        <v>222</v>
      </c>
      <c r="N320" s="33">
        <v>2025</v>
      </c>
    </row>
    <row r="321" spans="1:14">
      <c r="A321" s="33">
        <v>320</v>
      </c>
      <c r="B321" s="62" t="s">
        <v>42</v>
      </c>
      <c r="C321" s="122" t="s">
        <v>285</v>
      </c>
      <c r="D321" s="33" t="s">
        <v>60</v>
      </c>
      <c r="E321" s="33" t="s">
        <v>71</v>
      </c>
      <c r="F321" s="33"/>
      <c r="G321" s="62" t="s">
        <v>121</v>
      </c>
      <c r="H321" s="62" t="s">
        <v>118</v>
      </c>
      <c r="I321" s="70">
        <v>800</v>
      </c>
      <c r="J321" s="33" t="s">
        <v>479</v>
      </c>
      <c r="K321" s="65">
        <v>46007</v>
      </c>
      <c r="L321" s="33">
        <v>2025404482</v>
      </c>
      <c r="M321" s="62" t="s">
        <v>222</v>
      </c>
      <c r="N321" s="33">
        <v>2025</v>
      </c>
    </row>
    <row r="322" spans="1:14">
      <c r="A322" s="33">
        <v>321</v>
      </c>
      <c r="B322" s="62" t="s">
        <v>35</v>
      </c>
      <c r="C322" s="62" t="s">
        <v>36</v>
      </c>
      <c r="D322" s="33" t="s">
        <v>60</v>
      </c>
      <c r="E322" s="33" t="s">
        <v>71</v>
      </c>
      <c r="F322" s="33"/>
      <c r="G322" s="62" t="s">
        <v>121</v>
      </c>
      <c r="H322" s="62" t="s">
        <v>118</v>
      </c>
      <c r="I322" s="70">
        <v>2721</v>
      </c>
      <c r="J322" s="33" t="s">
        <v>480</v>
      </c>
      <c r="K322" s="65">
        <v>46007</v>
      </c>
      <c r="L322" s="33">
        <v>2025404472</v>
      </c>
      <c r="M322" s="62" t="s">
        <v>222</v>
      </c>
      <c r="N322" s="33">
        <v>2025</v>
      </c>
    </row>
    <row r="323" spans="1:14">
      <c r="A323" s="33">
        <v>322</v>
      </c>
      <c r="B323" s="62" t="s">
        <v>35</v>
      </c>
      <c r="C323" s="33" t="s">
        <v>36</v>
      </c>
      <c r="D323" s="33" t="s">
        <v>60</v>
      </c>
      <c r="E323" s="33" t="s">
        <v>71</v>
      </c>
      <c r="F323" s="33"/>
      <c r="G323" s="62" t="s">
        <v>121</v>
      </c>
      <c r="H323" s="62" t="s">
        <v>118</v>
      </c>
      <c r="I323" s="70">
        <v>2721</v>
      </c>
      <c r="J323" s="33" t="s">
        <v>481</v>
      </c>
      <c r="K323" s="65">
        <v>46007</v>
      </c>
      <c r="L323" s="33">
        <v>2025404454</v>
      </c>
      <c r="M323" s="62" t="s">
        <v>222</v>
      </c>
      <c r="N323" s="33">
        <v>2025</v>
      </c>
    </row>
    <row r="324" spans="1:14">
      <c r="A324" s="33">
        <v>323</v>
      </c>
      <c r="B324" s="62" t="s">
        <v>27</v>
      </c>
      <c r="C324" s="33" t="s">
        <v>28</v>
      </c>
      <c r="D324" s="33" t="s">
        <v>60</v>
      </c>
      <c r="E324" s="33" t="s">
        <v>71</v>
      </c>
      <c r="F324" s="33"/>
      <c r="G324" s="62" t="s">
        <v>121</v>
      </c>
      <c r="H324" s="62" t="s">
        <v>118</v>
      </c>
      <c r="I324" s="70">
        <v>383.67</v>
      </c>
      <c r="J324" s="33" t="s">
        <v>482</v>
      </c>
      <c r="K324" s="65">
        <v>45973</v>
      </c>
      <c r="L324" s="33">
        <v>2025404442</v>
      </c>
      <c r="M324" s="62" t="s">
        <v>222</v>
      </c>
      <c r="N324" s="33">
        <v>2025</v>
      </c>
    </row>
    <row r="325" spans="1:14">
      <c r="A325" s="33">
        <v>324</v>
      </c>
      <c r="B325" s="62" t="s">
        <v>35</v>
      </c>
      <c r="C325" s="33" t="s">
        <v>36</v>
      </c>
      <c r="D325" s="33" t="s">
        <v>60</v>
      </c>
      <c r="E325" s="33" t="s">
        <v>71</v>
      </c>
      <c r="F325" s="33"/>
      <c r="G325" s="62" t="s">
        <v>121</v>
      </c>
      <c r="H325" s="62" t="s">
        <v>118</v>
      </c>
      <c r="I325" s="70">
        <v>519.58000000000004</v>
      </c>
      <c r="J325" s="33" t="s">
        <v>505</v>
      </c>
      <c r="K325" s="65">
        <v>46005</v>
      </c>
      <c r="L325" s="33">
        <v>2025404513</v>
      </c>
      <c r="M325" s="62" t="s">
        <v>222</v>
      </c>
      <c r="N325" s="33">
        <v>2025</v>
      </c>
    </row>
    <row r="326" spans="1:14">
      <c r="A326" s="33">
        <v>325</v>
      </c>
      <c r="B326" s="62" t="s">
        <v>35</v>
      </c>
      <c r="C326" s="33" t="s">
        <v>36</v>
      </c>
      <c r="D326" s="33" t="s">
        <v>60</v>
      </c>
      <c r="E326" s="33" t="s">
        <v>71</v>
      </c>
      <c r="F326" s="33"/>
      <c r="G326" s="62" t="s">
        <v>121</v>
      </c>
      <c r="H326" s="62" t="s">
        <v>118</v>
      </c>
      <c r="I326" s="70">
        <v>123.66</v>
      </c>
      <c r="J326" s="33" t="s">
        <v>508</v>
      </c>
      <c r="K326" s="65">
        <v>46018</v>
      </c>
      <c r="L326" s="33">
        <v>2025404714</v>
      </c>
      <c r="M326" s="62" t="s">
        <v>222</v>
      </c>
      <c r="N326" s="33">
        <v>2025</v>
      </c>
    </row>
    <row r="327" spans="1:14">
      <c r="A327" s="33">
        <v>326</v>
      </c>
      <c r="B327" s="62" t="s">
        <v>54</v>
      </c>
      <c r="C327" s="33" t="s">
        <v>95</v>
      </c>
      <c r="D327" s="33" t="s">
        <v>60</v>
      </c>
      <c r="E327" s="33" t="s">
        <v>71</v>
      </c>
      <c r="F327" s="33"/>
      <c r="G327" s="62" t="s">
        <v>121</v>
      </c>
      <c r="H327" s="62" t="s">
        <v>118</v>
      </c>
      <c r="I327" s="70">
        <v>2215.4</v>
      </c>
      <c r="J327" s="33" t="s">
        <v>509</v>
      </c>
      <c r="K327" s="65">
        <v>46016</v>
      </c>
      <c r="L327" s="33">
        <v>2025404717</v>
      </c>
      <c r="M327" s="62" t="s">
        <v>222</v>
      </c>
      <c r="N327" s="33">
        <v>2025</v>
      </c>
    </row>
    <row r="328" spans="1:14">
      <c r="A328" s="33">
        <v>327</v>
      </c>
      <c r="B328" s="62" t="s">
        <v>54</v>
      </c>
      <c r="C328" s="33" t="s">
        <v>55</v>
      </c>
      <c r="D328" s="33" t="s">
        <v>60</v>
      </c>
      <c r="E328" s="33" t="s">
        <v>71</v>
      </c>
      <c r="F328" s="33"/>
      <c r="G328" s="62" t="s">
        <v>121</v>
      </c>
      <c r="H328" s="62" t="s">
        <v>118</v>
      </c>
      <c r="I328" s="70">
        <v>2110.0500000000002</v>
      </c>
      <c r="J328" s="33" t="s">
        <v>510</v>
      </c>
      <c r="K328" s="65">
        <v>46018</v>
      </c>
      <c r="L328" s="33">
        <v>2025404707</v>
      </c>
      <c r="M328" s="62" t="s">
        <v>222</v>
      </c>
      <c r="N328" s="33">
        <v>2025</v>
      </c>
    </row>
    <row r="329" spans="1:14">
      <c r="A329" s="33">
        <v>328</v>
      </c>
      <c r="B329" s="62" t="s">
        <v>17</v>
      </c>
      <c r="C329" s="33" t="s">
        <v>25</v>
      </c>
      <c r="D329" s="33" t="s">
        <v>60</v>
      </c>
      <c r="E329" s="33" t="s">
        <v>71</v>
      </c>
      <c r="F329" s="33"/>
      <c r="G329" s="62" t="s">
        <v>342</v>
      </c>
      <c r="H329" s="62" t="s">
        <v>610</v>
      </c>
      <c r="I329" s="70">
        <v>12689.655172413793</v>
      </c>
      <c r="J329" s="33" t="s">
        <v>345</v>
      </c>
      <c r="K329" s="65">
        <v>46005</v>
      </c>
      <c r="L329" s="33">
        <v>2025404792</v>
      </c>
      <c r="M329" s="62" t="s">
        <v>222</v>
      </c>
      <c r="N329" s="33">
        <v>2025</v>
      </c>
    </row>
    <row r="330" spans="1:14">
      <c r="A330" s="33">
        <v>329</v>
      </c>
      <c r="B330" s="62" t="s">
        <v>42</v>
      </c>
      <c r="C330" s="33" t="s">
        <v>50</v>
      </c>
      <c r="D330" s="33" t="s">
        <v>60</v>
      </c>
      <c r="E330" s="33" t="s">
        <v>71</v>
      </c>
      <c r="F330" s="33"/>
      <c r="G330" s="62" t="s">
        <v>293</v>
      </c>
      <c r="H330" s="62" t="s">
        <v>118</v>
      </c>
      <c r="I330" s="70">
        <v>3586.2068965517242</v>
      </c>
      <c r="J330" s="33" t="s">
        <v>357</v>
      </c>
      <c r="K330" s="65">
        <v>46009</v>
      </c>
      <c r="L330" s="33">
        <v>2025404659</v>
      </c>
      <c r="M330" s="62" t="s">
        <v>222</v>
      </c>
      <c r="N330" s="33">
        <v>2025</v>
      </c>
    </row>
    <row r="331" spans="1:14">
      <c r="A331" s="33">
        <v>330</v>
      </c>
      <c r="B331" s="62" t="s">
        <v>42</v>
      </c>
      <c r="C331" s="33" t="s">
        <v>50</v>
      </c>
      <c r="D331" s="33" t="s">
        <v>60</v>
      </c>
      <c r="E331" s="33" t="s">
        <v>71</v>
      </c>
      <c r="F331" s="33"/>
      <c r="G331" s="62" t="s">
        <v>294</v>
      </c>
      <c r="H331" s="62" t="s">
        <v>118</v>
      </c>
      <c r="I331" s="70">
        <v>2922.7586206896553</v>
      </c>
      <c r="J331" s="33" t="s">
        <v>240</v>
      </c>
      <c r="K331" s="65">
        <v>46007</v>
      </c>
      <c r="L331" s="33">
        <v>2025404770</v>
      </c>
      <c r="M331" s="62" t="s">
        <v>222</v>
      </c>
      <c r="N331" s="33">
        <v>2025</v>
      </c>
    </row>
    <row r="332" spans="1:14">
      <c r="A332" s="33">
        <v>331</v>
      </c>
      <c r="B332" s="62" t="s">
        <v>17</v>
      </c>
      <c r="C332" s="33" t="s">
        <v>22</v>
      </c>
      <c r="D332" s="33" t="s">
        <v>60</v>
      </c>
      <c r="E332" s="33" t="s">
        <v>71</v>
      </c>
      <c r="F332" s="33"/>
      <c r="G332" s="62" t="s">
        <v>122</v>
      </c>
      <c r="H332" s="62" t="s">
        <v>118</v>
      </c>
      <c r="I332" s="70">
        <v>71.14</v>
      </c>
      <c r="J332" s="33" t="s">
        <v>413</v>
      </c>
      <c r="K332" s="65">
        <v>45987</v>
      </c>
      <c r="L332" s="33">
        <v>2025404443</v>
      </c>
      <c r="M332" s="62" t="s">
        <v>222</v>
      </c>
      <c r="N332" s="33">
        <v>2025</v>
      </c>
    </row>
    <row r="333" spans="1:14">
      <c r="A333" s="33">
        <v>332</v>
      </c>
      <c r="B333" s="62" t="s">
        <v>42</v>
      </c>
      <c r="C333" s="33" t="s">
        <v>44</v>
      </c>
      <c r="D333" s="33" t="s">
        <v>60</v>
      </c>
      <c r="E333" s="33" t="s">
        <v>71</v>
      </c>
      <c r="F333" s="33"/>
      <c r="G333" s="62" t="s">
        <v>122</v>
      </c>
      <c r="H333" s="62" t="s">
        <v>118</v>
      </c>
      <c r="I333" s="70">
        <v>784.32</v>
      </c>
      <c r="J333" s="33" t="s">
        <v>414</v>
      </c>
      <c r="K333" s="65">
        <v>45987</v>
      </c>
      <c r="L333" s="33">
        <v>2025404448</v>
      </c>
      <c r="M333" s="62" t="s">
        <v>222</v>
      </c>
      <c r="N333" s="33">
        <v>2025</v>
      </c>
    </row>
    <row r="334" spans="1:14">
      <c r="A334" s="33">
        <v>333</v>
      </c>
      <c r="B334" s="62" t="s">
        <v>35</v>
      </c>
      <c r="C334" s="33" t="s">
        <v>36</v>
      </c>
      <c r="D334" s="33" t="s">
        <v>60</v>
      </c>
      <c r="E334" s="33" t="s">
        <v>71</v>
      </c>
      <c r="F334" s="33"/>
      <c r="G334" s="62" t="s">
        <v>122</v>
      </c>
      <c r="H334" s="62" t="s">
        <v>118</v>
      </c>
      <c r="I334" s="70">
        <v>292.49</v>
      </c>
      <c r="J334" s="33" t="s">
        <v>415</v>
      </c>
      <c r="K334" s="65">
        <v>45987</v>
      </c>
      <c r="L334" s="33">
        <v>2025404451</v>
      </c>
      <c r="M334" s="62" t="s">
        <v>222</v>
      </c>
      <c r="N334" s="33">
        <v>2025</v>
      </c>
    </row>
    <row r="335" spans="1:14">
      <c r="A335" s="33">
        <v>334</v>
      </c>
      <c r="B335" s="62" t="s">
        <v>17</v>
      </c>
      <c r="C335" s="33" t="s">
        <v>22</v>
      </c>
      <c r="D335" s="33" t="s">
        <v>60</v>
      </c>
      <c r="E335" s="33" t="s">
        <v>71</v>
      </c>
      <c r="F335" s="33"/>
      <c r="G335" s="62" t="s">
        <v>122</v>
      </c>
      <c r="H335" s="62" t="s">
        <v>118</v>
      </c>
      <c r="I335" s="70">
        <v>106.28</v>
      </c>
      <c r="J335" s="33" t="s">
        <v>416</v>
      </c>
      <c r="K335" s="65">
        <v>45992</v>
      </c>
      <c r="L335" s="33">
        <v>2025404473</v>
      </c>
      <c r="M335" s="62" t="s">
        <v>222</v>
      </c>
      <c r="N335" s="33">
        <v>2025</v>
      </c>
    </row>
    <row r="336" spans="1:14">
      <c r="A336" s="33">
        <v>335</v>
      </c>
      <c r="B336" s="62" t="s">
        <v>35</v>
      </c>
      <c r="C336" s="33" t="s">
        <v>36</v>
      </c>
      <c r="D336" s="33" t="s">
        <v>60</v>
      </c>
      <c r="E336" s="33" t="s">
        <v>71</v>
      </c>
      <c r="F336" s="33"/>
      <c r="G336" s="62" t="s">
        <v>122</v>
      </c>
      <c r="H336" s="62" t="s">
        <v>118</v>
      </c>
      <c r="I336" s="70">
        <v>342.04</v>
      </c>
      <c r="J336" s="33" t="s">
        <v>417</v>
      </c>
      <c r="K336" s="65">
        <v>45989</v>
      </c>
      <c r="L336" s="33">
        <v>2025404480</v>
      </c>
      <c r="M336" s="62" t="s">
        <v>222</v>
      </c>
      <c r="N336" s="33">
        <v>2025</v>
      </c>
    </row>
    <row r="337" spans="1:14">
      <c r="A337" s="33">
        <v>336</v>
      </c>
      <c r="B337" s="62" t="s">
        <v>35</v>
      </c>
      <c r="C337" s="33" t="s">
        <v>36</v>
      </c>
      <c r="D337" s="33" t="s">
        <v>60</v>
      </c>
      <c r="E337" s="33" t="s">
        <v>71</v>
      </c>
      <c r="F337" s="33"/>
      <c r="G337" s="62" t="s">
        <v>122</v>
      </c>
      <c r="H337" s="62" t="s">
        <v>118</v>
      </c>
      <c r="I337" s="70">
        <v>258.48</v>
      </c>
      <c r="J337" s="33" t="s">
        <v>418</v>
      </c>
      <c r="K337" s="65">
        <v>45992</v>
      </c>
      <c r="L337" s="33">
        <v>2025404481</v>
      </c>
      <c r="M337" s="62" t="s">
        <v>222</v>
      </c>
      <c r="N337" s="33">
        <v>2025</v>
      </c>
    </row>
    <row r="338" spans="1:14">
      <c r="A338" s="33">
        <v>337</v>
      </c>
      <c r="B338" s="62" t="s">
        <v>35</v>
      </c>
      <c r="C338" s="33" t="s">
        <v>36</v>
      </c>
      <c r="D338" s="33" t="s">
        <v>60</v>
      </c>
      <c r="E338" s="33" t="s">
        <v>71</v>
      </c>
      <c r="F338" s="33"/>
      <c r="G338" s="62" t="s">
        <v>122</v>
      </c>
      <c r="H338" s="62" t="s">
        <v>118</v>
      </c>
      <c r="I338" s="70">
        <v>480</v>
      </c>
      <c r="J338" s="33" t="s">
        <v>419</v>
      </c>
      <c r="K338" s="65">
        <v>45992</v>
      </c>
      <c r="L338" s="33">
        <v>2025404488</v>
      </c>
      <c r="M338" s="62" t="s">
        <v>222</v>
      </c>
      <c r="N338" s="33">
        <v>2025</v>
      </c>
    </row>
    <row r="339" spans="1:14">
      <c r="A339" s="33">
        <v>338</v>
      </c>
      <c r="B339" s="62" t="s">
        <v>42</v>
      </c>
      <c r="C339" s="33" t="s">
        <v>50</v>
      </c>
      <c r="D339" s="33" t="s">
        <v>60</v>
      </c>
      <c r="E339" s="33" t="s">
        <v>71</v>
      </c>
      <c r="F339" s="33"/>
      <c r="G339" s="62" t="s">
        <v>122</v>
      </c>
      <c r="H339" s="62" t="s">
        <v>118</v>
      </c>
      <c r="I339" s="70">
        <v>1383.6</v>
      </c>
      <c r="J339" s="33" t="s">
        <v>420</v>
      </c>
      <c r="K339" s="65">
        <v>45988</v>
      </c>
      <c r="L339" s="33">
        <v>2025404450</v>
      </c>
      <c r="M339" s="62" t="s">
        <v>222</v>
      </c>
      <c r="N339" s="33">
        <v>2025</v>
      </c>
    </row>
    <row r="340" spans="1:14">
      <c r="A340" s="33">
        <v>339</v>
      </c>
      <c r="B340" s="62" t="s">
        <v>17</v>
      </c>
      <c r="C340" s="33" t="s">
        <v>22</v>
      </c>
      <c r="D340" s="33" t="s">
        <v>60</v>
      </c>
      <c r="E340" s="33" t="s">
        <v>71</v>
      </c>
      <c r="F340" s="33"/>
      <c r="G340" s="62" t="s">
        <v>122</v>
      </c>
      <c r="H340" s="62" t="s">
        <v>118</v>
      </c>
      <c r="I340" s="70">
        <v>76.2</v>
      </c>
      <c r="J340" s="33" t="s">
        <v>421</v>
      </c>
      <c r="K340" s="65">
        <v>45992</v>
      </c>
      <c r="L340" s="33">
        <v>2025404468</v>
      </c>
      <c r="M340" s="62" t="s">
        <v>222</v>
      </c>
      <c r="N340" s="33">
        <v>2025</v>
      </c>
    </row>
    <row r="341" spans="1:14">
      <c r="A341" s="33">
        <v>340</v>
      </c>
      <c r="B341" s="62" t="s">
        <v>35</v>
      </c>
      <c r="C341" s="33" t="s">
        <v>36</v>
      </c>
      <c r="D341" s="33" t="s">
        <v>60</v>
      </c>
      <c r="E341" s="33" t="s">
        <v>71</v>
      </c>
      <c r="F341" s="33"/>
      <c r="G341" s="62" t="s">
        <v>122</v>
      </c>
      <c r="H341" s="62" t="s">
        <v>118</v>
      </c>
      <c r="I341" s="70">
        <v>122.36</v>
      </c>
      <c r="J341" s="33" t="s">
        <v>422</v>
      </c>
      <c r="K341" s="65">
        <v>45992</v>
      </c>
      <c r="L341" s="33">
        <v>2025404483</v>
      </c>
      <c r="M341" s="62" t="s">
        <v>222</v>
      </c>
      <c r="N341" s="33">
        <v>2025</v>
      </c>
    </row>
    <row r="342" spans="1:14">
      <c r="A342" s="33">
        <v>341</v>
      </c>
      <c r="B342" s="62" t="s">
        <v>42</v>
      </c>
      <c r="C342" s="33" t="s">
        <v>47</v>
      </c>
      <c r="D342" s="33" t="s">
        <v>60</v>
      </c>
      <c r="E342" s="33" t="s">
        <v>71</v>
      </c>
      <c r="F342" s="33"/>
      <c r="G342" s="62" t="s">
        <v>122</v>
      </c>
      <c r="H342" s="62" t="s">
        <v>118</v>
      </c>
      <c r="I342" s="70">
        <v>147.69999999999999</v>
      </c>
      <c r="J342" s="33" t="s">
        <v>423</v>
      </c>
      <c r="K342" s="65">
        <v>45992</v>
      </c>
      <c r="L342" s="33">
        <v>2025404484</v>
      </c>
      <c r="M342" s="62" t="s">
        <v>222</v>
      </c>
      <c r="N342" s="33">
        <v>2025</v>
      </c>
    </row>
    <row r="343" spans="1:14">
      <c r="A343" s="33">
        <v>342</v>
      </c>
      <c r="B343" s="62" t="s">
        <v>35</v>
      </c>
      <c r="C343" s="33" t="s">
        <v>36</v>
      </c>
      <c r="D343" s="33" t="s">
        <v>60</v>
      </c>
      <c r="E343" s="33" t="s">
        <v>71</v>
      </c>
      <c r="F343" s="33"/>
      <c r="G343" s="62" t="s">
        <v>122</v>
      </c>
      <c r="H343" s="62" t="s">
        <v>118</v>
      </c>
      <c r="I343" s="70">
        <v>480</v>
      </c>
      <c r="J343" s="33" t="s">
        <v>424</v>
      </c>
      <c r="K343" s="65">
        <v>45992</v>
      </c>
      <c r="L343" s="33">
        <v>2025404486</v>
      </c>
      <c r="M343" s="62" t="s">
        <v>222</v>
      </c>
      <c r="N343" s="33">
        <v>2025</v>
      </c>
    </row>
    <row r="344" spans="1:14">
      <c r="A344" s="33">
        <v>343</v>
      </c>
      <c r="B344" s="62" t="s">
        <v>35</v>
      </c>
      <c r="C344" s="33" t="s">
        <v>36</v>
      </c>
      <c r="D344" s="33" t="s">
        <v>60</v>
      </c>
      <c r="E344" s="33" t="s">
        <v>71</v>
      </c>
      <c r="F344" s="33"/>
      <c r="G344" s="62" t="s">
        <v>122</v>
      </c>
      <c r="H344" s="62" t="s">
        <v>118</v>
      </c>
      <c r="I344" s="70">
        <v>129.15</v>
      </c>
      <c r="J344" s="33" t="s">
        <v>425</v>
      </c>
      <c r="K344" s="65">
        <v>45992</v>
      </c>
      <c r="L344" s="33">
        <v>2025404485</v>
      </c>
      <c r="M344" s="62" t="s">
        <v>222</v>
      </c>
      <c r="N344" s="33">
        <v>2025</v>
      </c>
    </row>
    <row r="345" spans="1:14">
      <c r="A345" s="33">
        <v>344</v>
      </c>
      <c r="B345" s="62" t="s">
        <v>52</v>
      </c>
      <c r="C345" s="122" t="s">
        <v>62</v>
      </c>
      <c r="D345" s="33" t="s">
        <v>60</v>
      </c>
      <c r="E345" s="33" t="s">
        <v>71</v>
      </c>
      <c r="F345" s="33"/>
      <c r="G345" s="62" t="s">
        <v>122</v>
      </c>
      <c r="H345" s="62" t="s">
        <v>118</v>
      </c>
      <c r="I345" s="70">
        <v>1877</v>
      </c>
      <c r="J345" s="33" t="s">
        <v>426</v>
      </c>
      <c r="K345" s="65">
        <v>45992</v>
      </c>
      <c r="L345" s="33">
        <v>2025404487</v>
      </c>
      <c r="M345" s="62" t="s">
        <v>222</v>
      </c>
      <c r="N345" s="33">
        <v>2025</v>
      </c>
    </row>
    <row r="346" spans="1:14">
      <c r="A346" s="33">
        <v>345</v>
      </c>
      <c r="B346" s="62" t="s">
        <v>35</v>
      </c>
      <c r="C346" s="33" t="s">
        <v>36</v>
      </c>
      <c r="D346" s="33" t="s">
        <v>60</v>
      </c>
      <c r="E346" s="33" t="s">
        <v>71</v>
      </c>
      <c r="F346" s="33"/>
      <c r="G346" s="62" t="s">
        <v>122</v>
      </c>
      <c r="H346" s="62" t="s">
        <v>118</v>
      </c>
      <c r="I346" s="70">
        <v>76.84</v>
      </c>
      <c r="J346" s="33" t="s">
        <v>471</v>
      </c>
      <c r="K346" s="65">
        <v>45992</v>
      </c>
      <c r="L346" s="33">
        <v>2025404586</v>
      </c>
      <c r="M346" s="62" t="s">
        <v>222</v>
      </c>
      <c r="N346" s="33">
        <v>2025</v>
      </c>
    </row>
    <row r="347" spans="1:14">
      <c r="A347" s="33">
        <v>346</v>
      </c>
      <c r="B347" s="62" t="s">
        <v>35</v>
      </c>
      <c r="C347" s="33" t="s">
        <v>36</v>
      </c>
      <c r="D347" s="33" t="s">
        <v>60</v>
      </c>
      <c r="E347" s="33" t="s">
        <v>71</v>
      </c>
      <c r="F347" s="33"/>
      <c r="G347" s="62" t="s">
        <v>122</v>
      </c>
      <c r="H347" s="62" t="s">
        <v>118</v>
      </c>
      <c r="I347" s="70">
        <v>747.6</v>
      </c>
      <c r="J347" s="33" t="s">
        <v>472</v>
      </c>
      <c r="K347" s="65">
        <v>45986</v>
      </c>
      <c r="L347" s="33">
        <v>2025404587</v>
      </c>
      <c r="M347" s="62" t="s">
        <v>222</v>
      </c>
      <c r="N347" s="33">
        <v>2025</v>
      </c>
    </row>
    <row r="348" spans="1:14">
      <c r="A348" s="33">
        <v>347</v>
      </c>
      <c r="B348" s="33" t="s">
        <v>35</v>
      </c>
      <c r="C348" s="33" t="s">
        <v>36</v>
      </c>
      <c r="D348" s="33" t="s">
        <v>60</v>
      </c>
      <c r="E348" s="33" t="s">
        <v>71</v>
      </c>
      <c r="F348" s="33"/>
      <c r="G348" s="33" t="s">
        <v>122</v>
      </c>
      <c r="H348" s="33" t="s">
        <v>118</v>
      </c>
      <c r="I348" s="70">
        <v>253.75</v>
      </c>
      <c r="J348" s="33" t="s">
        <v>425</v>
      </c>
      <c r="K348" s="65">
        <v>45992</v>
      </c>
      <c r="L348" s="33">
        <v>2025404588</v>
      </c>
      <c r="M348" s="33" t="s">
        <v>222</v>
      </c>
      <c r="N348" s="33">
        <v>2025</v>
      </c>
    </row>
    <row r="349" spans="1:14">
      <c r="A349" s="33">
        <v>348</v>
      </c>
      <c r="B349" s="33" t="s">
        <v>42</v>
      </c>
      <c r="C349" s="33" t="s">
        <v>50</v>
      </c>
      <c r="D349" s="33" t="s">
        <v>60</v>
      </c>
      <c r="E349" s="33" t="s">
        <v>71</v>
      </c>
      <c r="F349" s="33"/>
      <c r="G349" s="33" t="s">
        <v>122</v>
      </c>
      <c r="H349" s="33" t="s">
        <v>118</v>
      </c>
      <c r="I349" s="70">
        <v>1313.36</v>
      </c>
      <c r="J349" s="33" t="s">
        <v>473</v>
      </c>
      <c r="K349" s="65">
        <v>45993</v>
      </c>
      <c r="L349" s="33">
        <v>2025404596</v>
      </c>
      <c r="M349" s="33" t="s">
        <v>222</v>
      </c>
      <c r="N349" s="33">
        <v>2025</v>
      </c>
    </row>
    <row r="350" spans="1:14">
      <c r="A350" s="33">
        <v>349</v>
      </c>
      <c r="B350" s="71" t="s">
        <v>17</v>
      </c>
      <c r="C350" s="71" t="s">
        <v>25</v>
      </c>
      <c r="D350" s="33" t="s">
        <v>60</v>
      </c>
      <c r="E350" s="33" t="s">
        <v>71</v>
      </c>
      <c r="F350" s="33"/>
      <c r="G350" s="33" t="s">
        <v>122</v>
      </c>
      <c r="H350" s="33" t="s">
        <v>118</v>
      </c>
      <c r="I350" s="70">
        <v>715.5</v>
      </c>
      <c r="J350" s="33" t="s">
        <v>521</v>
      </c>
      <c r="K350" s="65">
        <v>46001</v>
      </c>
      <c r="L350" s="33">
        <v>2025404724</v>
      </c>
      <c r="M350" s="33" t="s">
        <v>222</v>
      </c>
      <c r="N350" s="33">
        <v>2025</v>
      </c>
    </row>
    <row r="351" spans="1:14">
      <c r="A351" s="33">
        <v>350</v>
      </c>
      <c r="B351" s="33" t="s">
        <v>42</v>
      </c>
      <c r="C351" s="33" t="s">
        <v>50</v>
      </c>
      <c r="D351" s="33" t="s">
        <v>60</v>
      </c>
      <c r="E351" s="74" t="s">
        <v>71</v>
      </c>
      <c r="F351" s="33"/>
      <c r="G351" s="73" t="s">
        <v>122</v>
      </c>
      <c r="H351" s="73" t="s">
        <v>118</v>
      </c>
      <c r="I351" s="70">
        <v>974.12</v>
      </c>
      <c r="J351" s="73" t="s">
        <v>522</v>
      </c>
      <c r="K351" s="65">
        <v>46001</v>
      </c>
      <c r="L351" s="73">
        <v>2025404725</v>
      </c>
      <c r="M351" s="64" t="s">
        <v>222</v>
      </c>
      <c r="N351" s="33">
        <v>2025</v>
      </c>
    </row>
    <row r="352" spans="1:14">
      <c r="A352" s="33">
        <v>351</v>
      </c>
      <c r="B352" s="33" t="s">
        <v>35</v>
      </c>
      <c r="C352" s="33" t="s">
        <v>37</v>
      </c>
      <c r="D352" s="33" t="s">
        <v>60</v>
      </c>
      <c r="E352" s="74" t="s">
        <v>71</v>
      </c>
      <c r="F352" s="33"/>
      <c r="G352" s="33" t="s">
        <v>122</v>
      </c>
      <c r="H352" s="73" t="s">
        <v>118</v>
      </c>
      <c r="I352" s="70">
        <v>492.46</v>
      </c>
      <c r="J352" s="33" t="s">
        <v>523</v>
      </c>
      <c r="K352" s="65">
        <v>45992</v>
      </c>
      <c r="L352" s="33">
        <v>2025404730</v>
      </c>
      <c r="M352" s="64" t="s">
        <v>222</v>
      </c>
      <c r="N352" s="33">
        <v>2025</v>
      </c>
    </row>
    <row r="353" spans="1:14">
      <c r="A353" s="33">
        <v>352</v>
      </c>
      <c r="B353" s="33" t="s">
        <v>42</v>
      </c>
      <c r="C353" s="33" t="s">
        <v>51</v>
      </c>
      <c r="D353" s="33" t="s">
        <v>60</v>
      </c>
      <c r="E353" s="74" t="s">
        <v>71</v>
      </c>
      <c r="F353" s="33"/>
      <c r="G353" s="73" t="s">
        <v>122</v>
      </c>
      <c r="H353" s="33" t="s">
        <v>118</v>
      </c>
      <c r="I353" s="70">
        <v>377.55</v>
      </c>
      <c r="J353" s="73" t="s">
        <v>524</v>
      </c>
      <c r="K353" s="65">
        <v>46001</v>
      </c>
      <c r="L353" s="73">
        <v>2025404732</v>
      </c>
      <c r="M353" s="64" t="s">
        <v>222</v>
      </c>
      <c r="N353" s="33">
        <v>2025</v>
      </c>
    </row>
    <row r="354" spans="1:14">
      <c r="A354" s="33">
        <v>353</v>
      </c>
      <c r="B354" s="33" t="s">
        <v>52</v>
      </c>
      <c r="C354" s="122" t="s">
        <v>62</v>
      </c>
      <c r="D354" s="33" t="s">
        <v>60</v>
      </c>
      <c r="E354" s="74" t="s">
        <v>71</v>
      </c>
      <c r="F354" s="33"/>
      <c r="G354" s="33" t="s">
        <v>122</v>
      </c>
      <c r="H354" s="33" t="s">
        <v>118</v>
      </c>
      <c r="I354" s="70">
        <v>990</v>
      </c>
      <c r="J354" s="33" t="s">
        <v>525</v>
      </c>
      <c r="K354" s="65">
        <v>46001</v>
      </c>
      <c r="L354" s="33">
        <v>2025404738</v>
      </c>
      <c r="M354" s="64" t="s">
        <v>222</v>
      </c>
      <c r="N354" s="33">
        <v>2025</v>
      </c>
    </row>
    <row r="355" spans="1:14">
      <c r="A355" s="33">
        <v>354</v>
      </c>
      <c r="B355" s="33" t="s">
        <v>54</v>
      </c>
      <c r="C355" s="33" t="s">
        <v>95</v>
      </c>
      <c r="D355" s="33" t="s">
        <v>60</v>
      </c>
      <c r="E355" s="74" t="s">
        <v>71</v>
      </c>
      <c r="F355" s="33"/>
      <c r="G355" s="33" t="s">
        <v>122</v>
      </c>
      <c r="H355" s="33" t="s">
        <v>118</v>
      </c>
      <c r="I355" s="70">
        <v>69.23</v>
      </c>
      <c r="J355" s="33" t="s">
        <v>526</v>
      </c>
      <c r="K355" s="65">
        <v>45987</v>
      </c>
      <c r="L355" s="33">
        <v>2025404743</v>
      </c>
      <c r="M355" s="64" t="s">
        <v>222</v>
      </c>
      <c r="N355" s="33">
        <v>2025</v>
      </c>
    </row>
    <row r="356" spans="1:14">
      <c r="A356" s="33">
        <v>355</v>
      </c>
      <c r="B356" s="74" t="s">
        <v>42</v>
      </c>
      <c r="C356" s="122" t="s">
        <v>285</v>
      </c>
      <c r="D356" s="33" t="s">
        <v>60</v>
      </c>
      <c r="E356" s="33" t="s">
        <v>71</v>
      </c>
      <c r="F356" s="33"/>
      <c r="G356" s="33" t="s">
        <v>122</v>
      </c>
      <c r="H356" s="33" t="s">
        <v>118</v>
      </c>
      <c r="I356" s="70">
        <v>203</v>
      </c>
      <c r="J356" s="33" t="s">
        <v>527</v>
      </c>
      <c r="K356" s="65">
        <v>46005</v>
      </c>
      <c r="L356" s="33">
        <v>2025404746</v>
      </c>
      <c r="M356" s="64" t="s">
        <v>222</v>
      </c>
      <c r="N356" s="33">
        <v>2025</v>
      </c>
    </row>
    <row r="357" spans="1:14">
      <c r="A357" s="33">
        <v>356</v>
      </c>
      <c r="B357" s="33" t="s">
        <v>42</v>
      </c>
      <c r="C357" s="33" t="s">
        <v>50</v>
      </c>
      <c r="D357" s="33" t="s">
        <v>60</v>
      </c>
      <c r="E357" s="33" t="s">
        <v>71</v>
      </c>
      <c r="F357" s="33"/>
      <c r="G357" s="33" t="s">
        <v>122</v>
      </c>
      <c r="H357" s="33" t="s">
        <v>118</v>
      </c>
      <c r="I357" s="70">
        <v>692.28</v>
      </c>
      <c r="J357" s="33" t="s">
        <v>528</v>
      </c>
      <c r="K357" s="65">
        <v>45992</v>
      </c>
      <c r="L357" s="33">
        <v>2025404748</v>
      </c>
      <c r="M357" s="64" t="s">
        <v>222</v>
      </c>
      <c r="N357" s="33">
        <v>2025</v>
      </c>
    </row>
    <row r="358" spans="1:14">
      <c r="A358" s="33">
        <v>357</v>
      </c>
      <c r="B358" s="33" t="s">
        <v>52</v>
      </c>
      <c r="C358" s="122" t="s">
        <v>62</v>
      </c>
      <c r="D358" s="33" t="s">
        <v>60</v>
      </c>
      <c r="E358" s="74" t="s">
        <v>71</v>
      </c>
      <c r="F358" s="33"/>
      <c r="G358" s="33" t="s">
        <v>122</v>
      </c>
      <c r="H358" s="33" t="s">
        <v>118</v>
      </c>
      <c r="I358" s="70">
        <v>1983.51</v>
      </c>
      <c r="J358" s="33" t="s">
        <v>529</v>
      </c>
      <c r="K358" s="65">
        <v>45987</v>
      </c>
      <c r="L358" s="33">
        <v>2025404759</v>
      </c>
      <c r="M358" s="64" t="s">
        <v>222</v>
      </c>
      <c r="N358" s="33">
        <v>2025</v>
      </c>
    </row>
    <row r="359" spans="1:14">
      <c r="A359" s="33">
        <v>358</v>
      </c>
      <c r="B359" s="33" t="s">
        <v>52</v>
      </c>
      <c r="C359" s="122" t="s">
        <v>62</v>
      </c>
      <c r="D359" s="33" t="s">
        <v>60</v>
      </c>
      <c r="E359" s="74" t="s">
        <v>71</v>
      </c>
      <c r="F359" s="33"/>
      <c r="G359" s="33" t="s">
        <v>122</v>
      </c>
      <c r="H359" s="33" t="s">
        <v>118</v>
      </c>
      <c r="I359" s="70">
        <v>1906.2</v>
      </c>
      <c r="J359" s="33" t="s">
        <v>530</v>
      </c>
      <c r="K359" s="65">
        <v>46001</v>
      </c>
      <c r="L359" s="33">
        <v>2025404760</v>
      </c>
      <c r="M359" s="64" t="s">
        <v>222</v>
      </c>
      <c r="N359" s="33">
        <v>2025</v>
      </c>
    </row>
    <row r="360" spans="1:14">
      <c r="A360" s="33">
        <v>359</v>
      </c>
      <c r="B360" s="33" t="s">
        <v>52</v>
      </c>
      <c r="C360" s="122" t="s">
        <v>62</v>
      </c>
      <c r="D360" s="33" t="s">
        <v>60</v>
      </c>
      <c r="E360" s="74" t="s">
        <v>71</v>
      </c>
      <c r="F360" s="33"/>
      <c r="G360" s="33" t="s">
        <v>122</v>
      </c>
      <c r="H360" s="33" t="s">
        <v>118</v>
      </c>
      <c r="I360" s="70">
        <v>761.56</v>
      </c>
      <c r="J360" s="33" t="s">
        <v>531</v>
      </c>
      <c r="K360" s="65">
        <v>46005</v>
      </c>
      <c r="L360" s="33">
        <v>2025404761</v>
      </c>
      <c r="M360" s="64" t="s">
        <v>222</v>
      </c>
      <c r="N360" s="33">
        <v>2025</v>
      </c>
    </row>
    <row r="361" spans="1:14">
      <c r="A361" s="33">
        <v>360</v>
      </c>
      <c r="B361" s="33" t="s">
        <v>52</v>
      </c>
      <c r="C361" s="122" t="s">
        <v>62</v>
      </c>
      <c r="D361" s="33" t="s">
        <v>60</v>
      </c>
      <c r="E361" s="74" t="s">
        <v>71</v>
      </c>
      <c r="F361" s="33"/>
      <c r="G361" s="33" t="s">
        <v>122</v>
      </c>
      <c r="H361" s="64" t="s">
        <v>118</v>
      </c>
      <c r="I361" s="70">
        <v>1194.48</v>
      </c>
      <c r="J361" s="33" t="s">
        <v>532</v>
      </c>
      <c r="K361" s="65">
        <v>46005</v>
      </c>
      <c r="L361" s="33">
        <v>2025404763</v>
      </c>
      <c r="M361" s="64" t="s">
        <v>222</v>
      </c>
      <c r="N361" s="33">
        <v>2025</v>
      </c>
    </row>
    <row r="362" spans="1:14">
      <c r="A362" s="33">
        <v>361</v>
      </c>
      <c r="B362" s="33" t="s">
        <v>54</v>
      </c>
      <c r="C362" s="33" t="s">
        <v>95</v>
      </c>
      <c r="D362" s="33" t="s">
        <v>60</v>
      </c>
      <c r="E362" s="33" t="s">
        <v>71</v>
      </c>
      <c r="F362" s="33"/>
      <c r="G362" s="33" t="s">
        <v>122</v>
      </c>
      <c r="H362" s="33" t="s">
        <v>118</v>
      </c>
      <c r="I362" s="70">
        <v>470.76</v>
      </c>
      <c r="J362" s="33" t="s">
        <v>533</v>
      </c>
      <c r="K362" s="65">
        <v>46005</v>
      </c>
      <c r="L362" s="33">
        <v>2025404765</v>
      </c>
      <c r="M362" s="64" t="s">
        <v>222</v>
      </c>
      <c r="N362" s="33">
        <v>2025</v>
      </c>
    </row>
    <row r="363" spans="1:14">
      <c r="A363" s="33">
        <v>362</v>
      </c>
      <c r="B363" s="33" t="s">
        <v>42</v>
      </c>
      <c r="C363" s="33" t="s">
        <v>49</v>
      </c>
      <c r="D363" s="33" t="s">
        <v>60</v>
      </c>
      <c r="E363" s="74" t="s">
        <v>71</v>
      </c>
      <c r="F363" s="33"/>
      <c r="G363" s="33" t="s">
        <v>122</v>
      </c>
      <c r="H363" s="33" t="s">
        <v>118</v>
      </c>
      <c r="I363" s="70">
        <v>332.32</v>
      </c>
      <c r="J363" s="33" t="s">
        <v>534</v>
      </c>
      <c r="K363" s="65">
        <v>45992</v>
      </c>
      <c r="L363" s="33">
        <v>2025404731</v>
      </c>
      <c r="M363" s="64" t="s">
        <v>222</v>
      </c>
      <c r="N363" s="33">
        <v>2025</v>
      </c>
    </row>
    <row r="364" spans="1:14">
      <c r="A364" s="33">
        <v>363</v>
      </c>
      <c r="B364" s="33" t="s">
        <v>17</v>
      </c>
      <c r="C364" s="33" t="s">
        <v>22</v>
      </c>
      <c r="D364" s="33" t="s">
        <v>60</v>
      </c>
      <c r="E364" s="33" t="s">
        <v>71</v>
      </c>
      <c r="F364" s="33"/>
      <c r="G364" s="33" t="s">
        <v>122</v>
      </c>
      <c r="H364" s="33" t="s">
        <v>118</v>
      </c>
      <c r="I364" s="70">
        <v>238.62</v>
      </c>
      <c r="J364" s="33" t="s">
        <v>536</v>
      </c>
      <c r="K364" s="65">
        <v>46001</v>
      </c>
      <c r="L364" s="33">
        <v>2025404740</v>
      </c>
      <c r="M364" s="64" t="s">
        <v>222</v>
      </c>
      <c r="N364" s="33">
        <v>2025</v>
      </c>
    </row>
    <row r="365" spans="1:14">
      <c r="A365" s="33">
        <v>364</v>
      </c>
      <c r="B365" s="33" t="s">
        <v>17</v>
      </c>
      <c r="C365" s="33" t="s">
        <v>24</v>
      </c>
      <c r="D365" s="33" t="s">
        <v>60</v>
      </c>
      <c r="E365" s="74" t="s">
        <v>71</v>
      </c>
      <c r="F365" s="33"/>
      <c r="G365" s="33" t="s">
        <v>122</v>
      </c>
      <c r="H365" s="33" t="s">
        <v>118</v>
      </c>
      <c r="I365" s="70">
        <v>133.41999999999999</v>
      </c>
      <c r="J365" s="33" t="s">
        <v>537</v>
      </c>
      <c r="K365" s="65">
        <v>46001</v>
      </c>
      <c r="L365" s="33">
        <v>2025404742</v>
      </c>
      <c r="M365" s="64" t="s">
        <v>222</v>
      </c>
      <c r="N365" s="33">
        <v>2025</v>
      </c>
    </row>
    <row r="366" spans="1:14">
      <c r="A366" s="33">
        <v>365</v>
      </c>
      <c r="B366" s="33" t="s">
        <v>17</v>
      </c>
      <c r="C366" s="33" t="s">
        <v>24</v>
      </c>
      <c r="D366" s="33" t="s">
        <v>60</v>
      </c>
      <c r="E366" s="33" t="s">
        <v>71</v>
      </c>
      <c r="F366" s="33"/>
      <c r="G366" s="33" t="s">
        <v>122</v>
      </c>
      <c r="H366" s="33" t="s">
        <v>118</v>
      </c>
      <c r="I366" s="70">
        <v>305.99</v>
      </c>
      <c r="J366" s="33" t="s">
        <v>537</v>
      </c>
      <c r="K366" s="65">
        <v>46001</v>
      </c>
      <c r="L366" s="33">
        <v>2025404723</v>
      </c>
      <c r="M366" s="64" t="s">
        <v>222</v>
      </c>
      <c r="N366" s="33">
        <v>2025</v>
      </c>
    </row>
    <row r="367" spans="1:14">
      <c r="A367" s="33">
        <v>366</v>
      </c>
      <c r="B367" s="33" t="s">
        <v>42</v>
      </c>
      <c r="C367" s="122" t="s">
        <v>285</v>
      </c>
      <c r="D367" s="33" t="s">
        <v>60</v>
      </c>
      <c r="E367" s="74" t="s">
        <v>71</v>
      </c>
      <c r="F367" s="33"/>
      <c r="G367" s="33" t="s">
        <v>122</v>
      </c>
      <c r="H367" s="33" t="s">
        <v>118</v>
      </c>
      <c r="I367" s="70">
        <v>81.209999999999994</v>
      </c>
      <c r="J367" s="33" t="s">
        <v>553</v>
      </c>
      <c r="K367" s="65">
        <v>46022</v>
      </c>
      <c r="L367" s="33">
        <v>2025404747</v>
      </c>
      <c r="M367" s="64" t="s">
        <v>222</v>
      </c>
      <c r="N367" s="33">
        <v>2025</v>
      </c>
    </row>
    <row r="368" spans="1:14">
      <c r="A368" s="33">
        <v>367</v>
      </c>
      <c r="B368" s="33" t="s">
        <v>58</v>
      </c>
      <c r="C368" s="33" t="s">
        <v>59</v>
      </c>
      <c r="D368" s="33" t="s">
        <v>60</v>
      </c>
      <c r="E368" s="74" t="s">
        <v>71</v>
      </c>
      <c r="F368" s="33"/>
      <c r="G368" s="33" t="s">
        <v>122</v>
      </c>
      <c r="H368" s="33" t="s">
        <v>118</v>
      </c>
      <c r="I368" s="70">
        <v>764.94</v>
      </c>
      <c r="J368" s="33" t="s">
        <v>580</v>
      </c>
      <c r="K368" s="65">
        <v>46005</v>
      </c>
      <c r="L368" s="33">
        <v>2026400021</v>
      </c>
      <c r="M368" s="64" t="s">
        <v>222</v>
      </c>
      <c r="N368" s="33">
        <v>2025</v>
      </c>
    </row>
    <row r="369" spans="1:14">
      <c r="A369" s="33">
        <v>368</v>
      </c>
      <c r="B369" s="33" t="s">
        <v>17</v>
      </c>
      <c r="C369" s="33" t="s">
        <v>22</v>
      </c>
      <c r="D369" s="33" t="s">
        <v>60</v>
      </c>
      <c r="E369" s="74" t="s">
        <v>71</v>
      </c>
      <c r="F369" s="33"/>
      <c r="G369" s="33" t="s">
        <v>122</v>
      </c>
      <c r="H369" s="33" t="s">
        <v>118</v>
      </c>
      <c r="I369" s="70">
        <v>55.38</v>
      </c>
      <c r="J369" s="33" t="s">
        <v>581</v>
      </c>
      <c r="K369" s="65">
        <v>45992</v>
      </c>
      <c r="L369" s="33">
        <v>2025404804</v>
      </c>
      <c r="M369" s="64" t="s">
        <v>222</v>
      </c>
      <c r="N369" s="33">
        <v>2025</v>
      </c>
    </row>
    <row r="370" spans="1:14">
      <c r="A370" s="33">
        <v>369</v>
      </c>
      <c r="B370" s="74" t="s">
        <v>17</v>
      </c>
      <c r="C370" s="33" t="s">
        <v>22</v>
      </c>
      <c r="D370" s="33" t="s">
        <v>60</v>
      </c>
      <c r="E370" s="74" t="s">
        <v>71</v>
      </c>
      <c r="F370" s="33"/>
      <c r="G370" s="74" t="s">
        <v>122</v>
      </c>
      <c r="H370" s="33" t="s">
        <v>118</v>
      </c>
      <c r="I370" s="70">
        <v>245.04</v>
      </c>
      <c r="J370" s="33" t="s">
        <v>524</v>
      </c>
      <c r="K370" s="65">
        <v>45992</v>
      </c>
      <c r="L370" s="33">
        <v>2025404805</v>
      </c>
      <c r="M370" s="64" t="s">
        <v>222</v>
      </c>
      <c r="N370" s="33">
        <v>2025</v>
      </c>
    </row>
    <row r="371" spans="1:14">
      <c r="A371" s="33">
        <v>370</v>
      </c>
      <c r="B371" s="33" t="s">
        <v>35</v>
      </c>
      <c r="C371" s="33" t="s">
        <v>36</v>
      </c>
      <c r="D371" s="33" t="s">
        <v>60</v>
      </c>
      <c r="E371" s="74" t="s">
        <v>71</v>
      </c>
      <c r="F371" s="33"/>
      <c r="G371" s="33" t="s">
        <v>122</v>
      </c>
      <c r="H371" s="33" t="s">
        <v>118</v>
      </c>
      <c r="I371" s="70">
        <v>304.60000000000002</v>
      </c>
      <c r="J371" s="33" t="s">
        <v>589</v>
      </c>
      <c r="K371" s="65">
        <v>46001</v>
      </c>
      <c r="L371" s="33">
        <v>2026400023</v>
      </c>
      <c r="M371" s="64" t="s">
        <v>222</v>
      </c>
      <c r="N371" s="33">
        <v>2025</v>
      </c>
    </row>
    <row r="372" spans="1:14">
      <c r="A372" s="33">
        <v>371</v>
      </c>
      <c r="B372" s="74" t="s">
        <v>35</v>
      </c>
      <c r="C372" s="74" t="s">
        <v>36</v>
      </c>
      <c r="D372" s="33" t="s">
        <v>60</v>
      </c>
      <c r="E372" s="74" t="s">
        <v>71</v>
      </c>
      <c r="F372" s="33"/>
      <c r="G372" s="74" t="s">
        <v>122</v>
      </c>
      <c r="H372" s="33" t="s">
        <v>118</v>
      </c>
      <c r="I372" s="70">
        <v>559.58000000000004</v>
      </c>
      <c r="J372" s="33" t="s">
        <v>590</v>
      </c>
      <c r="K372" s="65">
        <v>46011</v>
      </c>
      <c r="L372" s="33">
        <v>2026400040</v>
      </c>
      <c r="M372" s="64" t="s">
        <v>222</v>
      </c>
      <c r="N372" s="33">
        <v>2025</v>
      </c>
    </row>
    <row r="373" spans="1:14">
      <c r="A373" s="33">
        <v>372</v>
      </c>
      <c r="B373" s="33" t="s">
        <v>35</v>
      </c>
      <c r="C373" s="33" t="s">
        <v>36</v>
      </c>
      <c r="D373" s="33" t="s">
        <v>60</v>
      </c>
      <c r="E373" s="74" t="s">
        <v>71</v>
      </c>
      <c r="F373" s="33"/>
      <c r="G373" s="33" t="s">
        <v>122</v>
      </c>
      <c r="H373" s="33" t="s">
        <v>118</v>
      </c>
      <c r="I373" s="70">
        <v>1476.92</v>
      </c>
      <c r="J373" s="33" t="s">
        <v>591</v>
      </c>
      <c r="K373" s="65">
        <v>46011</v>
      </c>
      <c r="L373" s="33">
        <v>2026400041</v>
      </c>
      <c r="M373" s="64" t="s">
        <v>222</v>
      </c>
      <c r="N373" s="33">
        <v>2025</v>
      </c>
    </row>
    <row r="374" spans="1:14">
      <c r="A374" s="33">
        <v>373</v>
      </c>
      <c r="B374" s="33" t="s">
        <v>17</v>
      </c>
      <c r="C374" s="33" t="s">
        <v>18</v>
      </c>
      <c r="D374" s="33" t="s">
        <v>60</v>
      </c>
      <c r="E374" s="33" t="s">
        <v>71</v>
      </c>
      <c r="F374" s="33"/>
      <c r="G374" s="33" t="s">
        <v>122</v>
      </c>
      <c r="H374" s="33" t="s">
        <v>118</v>
      </c>
      <c r="I374" s="70">
        <v>402.31</v>
      </c>
      <c r="J374" s="33" t="s">
        <v>592</v>
      </c>
      <c r="K374" s="65">
        <v>46001</v>
      </c>
      <c r="L374" s="33">
        <v>2026400042</v>
      </c>
      <c r="M374" s="64" t="s">
        <v>222</v>
      </c>
      <c r="N374" s="33">
        <v>2025</v>
      </c>
    </row>
    <row r="375" spans="1:14">
      <c r="A375" s="33">
        <v>374</v>
      </c>
      <c r="B375" s="33" t="s">
        <v>17</v>
      </c>
      <c r="C375" s="33" t="s">
        <v>18</v>
      </c>
      <c r="D375" s="33" t="s">
        <v>60</v>
      </c>
      <c r="E375" s="33" t="s">
        <v>71</v>
      </c>
      <c r="F375" s="33"/>
      <c r="G375" s="33" t="s">
        <v>122</v>
      </c>
      <c r="H375" s="33" t="s">
        <v>118</v>
      </c>
      <c r="I375" s="70">
        <v>119.82</v>
      </c>
      <c r="J375" s="33" t="s">
        <v>593</v>
      </c>
      <c r="K375" s="65">
        <v>46001</v>
      </c>
      <c r="L375" s="33">
        <v>2026400044</v>
      </c>
      <c r="M375" s="64" t="s">
        <v>222</v>
      </c>
      <c r="N375" s="33">
        <v>2025</v>
      </c>
    </row>
    <row r="376" spans="1:14">
      <c r="A376" s="33">
        <v>375</v>
      </c>
      <c r="B376" s="33" t="s">
        <v>17</v>
      </c>
      <c r="C376" s="33" t="s">
        <v>25</v>
      </c>
      <c r="D376" s="33" t="s">
        <v>60</v>
      </c>
      <c r="E376" s="74" t="s">
        <v>71</v>
      </c>
      <c r="F376" s="33"/>
      <c r="G376" s="33" t="s">
        <v>341</v>
      </c>
      <c r="H376" s="33" t="s">
        <v>118</v>
      </c>
      <c r="I376" s="67">
        <v>1356</v>
      </c>
      <c r="J376" s="33" t="s">
        <v>544</v>
      </c>
      <c r="K376" s="65">
        <v>46020</v>
      </c>
      <c r="L376" s="33">
        <v>2025404799</v>
      </c>
      <c r="M376" s="64" t="s">
        <v>222</v>
      </c>
      <c r="N376" s="33">
        <v>2025</v>
      </c>
    </row>
    <row r="377" spans="1:14">
      <c r="A377" s="33">
        <v>376</v>
      </c>
      <c r="B377" s="33" t="s">
        <v>52</v>
      </c>
      <c r="C377" s="122" t="s">
        <v>62</v>
      </c>
      <c r="D377" s="33" t="s">
        <v>60</v>
      </c>
      <c r="E377" s="33" t="s">
        <v>71</v>
      </c>
      <c r="F377" s="33"/>
      <c r="G377" s="33" t="s">
        <v>334</v>
      </c>
      <c r="H377" s="33" t="s">
        <v>118</v>
      </c>
      <c r="I377" s="70">
        <v>1517.2413793103449</v>
      </c>
      <c r="J377" s="33" t="s">
        <v>369</v>
      </c>
      <c r="K377" s="65">
        <v>46020</v>
      </c>
      <c r="L377" s="33">
        <v>2025404860</v>
      </c>
      <c r="M377" s="64" t="s">
        <v>222</v>
      </c>
      <c r="N377" s="33">
        <v>2025</v>
      </c>
    </row>
    <row r="378" spans="1:14">
      <c r="A378" s="33">
        <v>377</v>
      </c>
      <c r="B378" s="33" t="s">
        <v>42</v>
      </c>
      <c r="C378" s="33" t="s">
        <v>50</v>
      </c>
      <c r="D378" s="33" t="s">
        <v>60</v>
      </c>
      <c r="E378" s="74" t="s">
        <v>71</v>
      </c>
      <c r="F378" s="33"/>
      <c r="G378" s="33" t="s">
        <v>334</v>
      </c>
      <c r="H378" s="33" t="s">
        <v>118</v>
      </c>
      <c r="I378" s="70">
        <v>1448.2758620689656</v>
      </c>
      <c r="J378" s="33" t="s">
        <v>371</v>
      </c>
      <c r="K378" s="65">
        <v>45993</v>
      </c>
      <c r="L378" s="33">
        <v>2025404531</v>
      </c>
      <c r="M378" s="64" t="s">
        <v>222</v>
      </c>
      <c r="N378" s="33">
        <v>2025</v>
      </c>
    </row>
    <row r="379" spans="1:14">
      <c r="A379" s="33">
        <v>378</v>
      </c>
      <c r="B379" s="33" t="s">
        <v>17</v>
      </c>
      <c r="C379" s="33" t="s">
        <v>22</v>
      </c>
      <c r="D379" s="33" t="s">
        <v>60</v>
      </c>
      <c r="E379" s="74" t="s">
        <v>71</v>
      </c>
      <c r="F379" s="33"/>
      <c r="G379" s="33" t="s">
        <v>340</v>
      </c>
      <c r="H379" s="33" t="s">
        <v>118</v>
      </c>
      <c r="I379" s="70">
        <v>15626.449591280654</v>
      </c>
      <c r="J379" s="33" t="s">
        <v>543</v>
      </c>
      <c r="K379" s="65">
        <v>46021</v>
      </c>
      <c r="L379" s="33">
        <v>2025403864</v>
      </c>
      <c r="M379" s="64" t="s">
        <v>222</v>
      </c>
      <c r="N379" s="33">
        <v>2025</v>
      </c>
    </row>
    <row r="380" spans="1:14">
      <c r="A380" s="33">
        <v>379</v>
      </c>
      <c r="B380" s="33" t="s">
        <v>54</v>
      </c>
      <c r="C380" s="33" t="s">
        <v>55</v>
      </c>
      <c r="D380" s="33" t="s">
        <v>60</v>
      </c>
      <c r="E380" s="74" t="s">
        <v>71</v>
      </c>
      <c r="F380" s="33"/>
      <c r="G380" s="33" t="s">
        <v>233</v>
      </c>
      <c r="H380" s="33" t="s">
        <v>118</v>
      </c>
      <c r="I380" s="70">
        <v>7800</v>
      </c>
      <c r="J380" s="33" t="s">
        <v>411</v>
      </c>
      <c r="K380" s="65">
        <v>45999</v>
      </c>
      <c r="L380" s="33">
        <v>2025404354</v>
      </c>
      <c r="M380" s="64" t="s">
        <v>222</v>
      </c>
      <c r="N380" s="33">
        <v>2025</v>
      </c>
    </row>
    <row r="381" spans="1:14">
      <c r="A381" s="33">
        <v>380</v>
      </c>
      <c r="B381" s="33" t="s">
        <v>54</v>
      </c>
      <c r="C381" s="33" t="s">
        <v>55</v>
      </c>
      <c r="D381" s="33" t="s">
        <v>60</v>
      </c>
      <c r="E381" s="74" t="s">
        <v>71</v>
      </c>
      <c r="F381" s="33"/>
      <c r="G381" s="33" t="s">
        <v>330</v>
      </c>
      <c r="H381" s="33" t="s">
        <v>118</v>
      </c>
      <c r="I381" s="70">
        <v>1655.1724137931035</v>
      </c>
      <c r="J381" s="33" t="s">
        <v>367</v>
      </c>
      <c r="K381" s="65">
        <v>45994</v>
      </c>
      <c r="L381" s="33">
        <v>2025404387</v>
      </c>
      <c r="M381" s="64" t="s">
        <v>222</v>
      </c>
      <c r="N381" s="33">
        <v>2025</v>
      </c>
    </row>
    <row r="382" spans="1:14">
      <c r="A382" s="33">
        <v>381</v>
      </c>
      <c r="B382" s="33" t="s">
        <v>54</v>
      </c>
      <c r="C382" s="33" t="s">
        <v>95</v>
      </c>
      <c r="D382" s="33" t="s">
        <v>60</v>
      </c>
      <c r="E382" s="74" t="s">
        <v>71</v>
      </c>
      <c r="F382" s="33"/>
      <c r="G382" s="33" t="s">
        <v>234</v>
      </c>
      <c r="H382" s="33" t="s">
        <v>608</v>
      </c>
      <c r="I382" s="70">
        <v>4450</v>
      </c>
      <c r="J382" s="33" t="s">
        <v>453</v>
      </c>
      <c r="K382" s="65">
        <v>45997</v>
      </c>
      <c r="L382" s="33">
        <v>2025404607</v>
      </c>
      <c r="M382" s="64" t="s">
        <v>222</v>
      </c>
      <c r="N382" s="33">
        <v>2025</v>
      </c>
    </row>
    <row r="383" spans="1:14">
      <c r="A383" s="33">
        <v>382</v>
      </c>
      <c r="B383" s="33" t="s">
        <v>54</v>
      </c>
      <c r="C383" s="33" t="s">
        <v>95</v>
      </c>
      <c r="D383" s="33" t="s">
        <v>60</v>
      </c>
      <c r="E383" s="74" t="s">
        <v>71</v>
      </c>
      <c r="F383" s="33"/>
      <c r="G383" s="33" t="s">
        <v>234</v>
      </c>
      <c r="H383" s="33" t="s">
        <v>608</v>
      </c>
      <c r="I383" s="70">
        <v>4125</v>
      </c>
      <c r="J383" s="33" t="s">
        <v>457</v>
      </c>
      <c r="K383" s="65">
        <v>45995</v>
      </c>
      <c r="L383" s="33">
        <v>2025404629</v>
      </c>
      <c r="M383" s="64" t="s">
        <v>222</v>
      </c>
      <c r="N383" s="33">
        <v>2025</v>
      </c>
    </row>
    <row r="384" spans="1:14">
      <c r="A384" s="33">
        <v>383</v>
      </c>
      <c r="B384" s="33" t="s">
        <v>35</v>
      </c>
      <c r="C384" s="33" t="s">
        <v>41</v>
      </c>
      <c r="D384" s="33" t="s">
        <v>60</v>
      </c>
      <c r="E384" s="74" t="s">
        <v>71</v>
      </c>
      <c r="F384" s="33"/>
      <c r="G384" s="33" t="s">
        <v>234</v>
      </c>
      <c r="H384" s="33" t="s">
        <v>608</v>
      </c>
      <c r="I384" s="67">
        <v>760</v>
      </c>
      <c r="J384" s="33" t="s">
        <v>506</v>
      </c>
      <c r="K384" s="65">
        <v>45991</v>
      </c>
      <c r="L384" s="33">
        <v>2025404627</v>
      </c>
      <c r="M384" s="64" t="s">
        <v>222</v>
      </c>
      <c r="N384" s="33">
        <v>2025</v>
      </c>
    </row>
    <row r="385" spans="1:14">
      <c r="A385" s="33">
        <v>384</v>
      </c>
      <c r="B385" s="33" t="s">
        <v>35</v>
      </c>
      <c r="C385" s="33" t="s">
        <v>36</v>
      </c>
      <c r="D385" s="33" t="s">
        <v>60</v>
      </c>
      <c r="E385" s="74" t="s">
        <v>71</v>
      </c>
      <c r="F385" s="33"/>
      <c r="G385" s="33" t="s">
        <v>234</v>
      </c>
      <c r="H385" s="33" t="s">
        <v>608</v>
      </c>
      <c r="I385" s="70">
        <v>350</v>
      </c>
      <c r="J385" s="33" t="s">
        <v>518</v>
      </c>
      <c r="K385" s="65">
        <v>46007</v>
      </c>
      <c r="L385" s="33">
        <v>2025404783</v>
      </c>
      <c r="M385" s="64" t="s">
        <v>222</v>
      </c>
      <c r="N385" s="33">
        <v>2025</v>
      </c>
    </row>
    <row r="386" spans="1:14">
      <c r="A386" s="33">
        <v>385</v>
      </c>
      <c r="B386" s="33" t="s">
        <v>54</v>
      </c>
      <c r="C386" s="33" t="s">
        <v>95</v>
      </c>
      <c r="D386" s="33" t="s">
        <v>60</v>
      </c>
      <c r="E386" s="74" t="s">
        <v>71</v>
      </c>
      <c r="F386" s="33"/>
      <c r="G386" s="33" t="s">
        <v>234</v>
      </c>
      <c r="H386" s="33" t="s">
        <v>608</v>
      </c>
      <c r="I386" s="70">
        <v>2600</v>
      </c>
      <c r="J386" s="33" t="s">
        <v>574</v>
      </c>
      <c r="K386" s="65">
        <v>46012</v>
      </c>
      <c r="L386" s="33">
        <v>2025404751</v>
      </c>
      <c r="M386" s="64" t="s">
        <v>222</v>
      </c>
      <c r="N386" s="33">
        <v>2025</v>
      </c>
    </row>
    <row r="387" spans="1:14">
      <c r="A387" s="33">
        <v>386</v>
      </c>
      <c r="B387" s="33" t="s">
        <v>42</v>
      </c>
      <c r="C387" s="33" t="s">
        <v>49</v>
      </c>
      <c r="D387" s="33" t="s">
        <v>60</v>
      </c>
      <c r="E387" s="74" t="s">
        <v>71</v>
      </c>
      <c r="F387" s="33"/>
      <c r="G387" s="33" t="s">
        <v>234</v>
      </c>
      <c r="H387" s="33" t="s">
        <v>608</v>
      </c>
      <c r="I387" s="70">
        <v>3360</v>
      </c>
      <c r="J387" s="33" t="s">
        <v>577</v>
      </c>
      <c r="K387" s="65">
        <v>46004</v>
      </c>
      <c r="L387" s="33">
        <v>2025404835</v>
      </c>
      <c r="M387" s="64" t="s">
        <v>222</v>
      </c>
      <c r="N387" s="33">
        <v>2025</v>
      </c>
    </row>
    <row r="388" spans="1:14">
      <c r="A388" s="33">
        <v>387</v>
      </c>
      <c r="B388" s="33" t="s">
        <v>42</v>
      </c>
      <c r="C388" s="33" t="s">
        <v>50</v>
      </c>
      <c r="D388" s="33" t="s">
        <v>60</v>
      </c>
      <c r="E388" s="74" t="s">
        <v>71</v>
      </c>
      <c r="F388" s="33"/>
      <c r="G388" s="33" t="s">
        <v>234</v>
      </c>
      <c r="H388" s="33" t="s">
        <v>608</v>
      </c>
      <c r="I388" s="70">
        <v>960</v>
      </c>
      <c r="J388" s="33" t="s">
        <v>578</v>
      </c>
      <c r="K388" s="65">
        <v>46007</v>
      </c>
      <c r="L388" s="33">
        <v>2025404782</v>
      </c>
      <c r="M388" s="64" t="s">
        <v>222</v>
      </c>
      <c r="N388" s="33">
        <v>2025</v>
      </c>
    </row>
    <row r="389" spans="1:14">
      <c r="A389" s="33">
        <v>388</v>
      </c>
      <c r="B389" s="33" t="s">
        <v>42</v>
      </c>
      <c r="C389" s="122" t="s">
        <v>285</v>
      </c>
      <c r="D389" s="33" t="s">
        <v>60</v>
      </c>
      <c r="E389" s="74" t="s">
        <v>71</v>
      </c>
      <c r="F389" s="33"/>
      <c r="G389" s="33" t="s">
        <v>234</v>
      </c>
      <c r="H389" s="33" t="s">
        <v>608</v>
      </c>
      <c r="I389" s="70">
        <v>66880</v>
      </c>
      <c r="J389" s="33" t="s">
        <v>579</v>
      </c>
      <c r="K389" s="65">
        <v>45998</v>
      </c>
      <c r="L389" s="33">
        <v>2025404802</v>
      </c>
      <c r="M389" s="64" t="s">
        <v>222</v>
      </c>
      <c r="N389" s="33">
        <v>2025</v>
      </c>
    </row>
    <row r="390" spans="1:14">
      <c r="A390" s="33">
        <v>389</v>
      </c>
      <c r="B390" s="33" t="s">
        <v>52</v>
      </c>
      <c r="C390" s="122" t="s">
        <v>62</v>
      </c>
      <c r="D390" s="33" t="s">
        <v>60</v>
      </c>
      <c r="E390" s="74" t="s">
        <v>71</v>
      </c>
      <c r="F390" s="33"/>
      <c r="G390" s="33" t="s">
        <v>234</v>
      </c>
      <c r="H390" s="33" t="s">
        <v>608</v>
      </c>
      <c r="I390" s="70">
        <v>600</v>
      </c>
      <c r="J390" s="33" t="s">
        <v>587</v>
      </c>
      <c r="K390" s="65">
        <v>45992</v>
      </c>
      <c r="L390" s="33">
        <v>2025404542</v>
      </c>
      <c r="M390" s="64" t="s">
        <v>222</v>
      </c>
      <c r="N390" s="33">
        <v>2025</v>
      </c>
    </row>
    <row r="391" spans="1:14">
      <c r="A391" s="33">
        <v>390</v>
      </c>
      <c r="B391" s="33" t="s">
        <v>17</v>
      </c>
      <c r="C391" s="33" t="s">
        <v>25</v>
      </c>
      <c r="D391" s="33" t="s">
        <v>60</v>
      </c>
      <c r="E391" s="74" t="s">
        <v>71</v>
      </c>
      <c r="F391" s="33"/>
      <c r="G391" s="33" t="s">
        <v>123</v>
      </c>
      <c r="H391" s="33" t="s">
        <v>118</v>
      </c>
      <c r="I391" s="70">
        <v>6896.5517241379312</v>
      </c>
      <c r="J391" s="33" t="s">
        <v>347</v>
      </c>
      <c r="K391" s="65">
        <v>46019</v>
      </c>
      <c r="L391" s="33">
        <v>2025404565</v>
      </c>
      <c r="M391" s="64" t="s">
        <v>222</v>
      </c>
      <c r="N391" s="33">
        <v>2025</v>
      </c>
    </row>
    <row r="392" spans="1:14">
      <c r="A392" s="33">
        <v>391</v>
      </c>
      <c r="B392" s="74" t="s">
        <v>54</v>
      </c>
      <c r="C392" s="74" t="s">
        <v>95</v>
      </c>
      <c r="D392" s="33" t="s">
        <v>60</v>
      </c>
      <c r="E392" s="74" t="s">
        <v>71</v>
      </c>
      <c r="F392" s="33"/>
      <c r="G392" s="74" t="s">
        <v>123</v>
      </c>
      <c r="H392" s="33" t="s">
        <v>118</v>
      </c>
      <c r="I392" s="70">
        <v>3600</v>
      </c>
      <c r="J392" s="33" t="s">
        <v>474</v>
      </c>
      <c r="K392" s="65">
        <v>45998</v>
      </c>
      <c r="L392" s="33">
        <v>2025404581</v>
      </c>
      <c r="M392" s="64" t="s">
        <v>222</v>
      </c>
      <c r="N392" s="33">
        <v>2025</v>
      </c>
    </row>
    <row r="393" spans="1:14">
      <c r="A393" s="33">
        <v>392</v>
      </c>
      <c r="B393" s="33" t="s">
        <v>52</v>
      </c>
      <c r="C393" s="122" t="s">
        <v>62</v>
      </c>
      <c r="D393" s="33" t="s">
        <v>60</v>
      </c>
      <c r="E393" s="74" t="s">
        <v>71</v>
      </c>
      <c r="F393" s="33"/>
      <c r="G393" s="33" t="s">
        <v>337</v>
      </c>
      <c r="H393" s="33" t="s">
        <v>118</v>
      </c>
      <c r="I393" s="70">
        <v>1379.3103448275863</v>
      </c>
      <c r="J393" s="33" t="s">
        <v>374</v>
      </c>
      <c r="K393" s="65">
        <v>46012</v>
      </c>
      <c r="L393" s="33">
        <v>2025404756</v>
      </c>
      <c r="M393" s="64" t="s">
        <v>222</v>
      </c>
      <c r="N393" s="33">
        <v>2025</v>
      </c>
    </row>
    <row r="394" spans="1:14">
      <c r="A394" s="33">
        <v>393</v>
      </c>
      <c r="B394" s="33" t="s">
        <v>52</v>
      </c>
      <c r="C394" s="122" t="s">
        <v>62</v>
      </c>
      <c r="D394" s="33" t="s">
        <v>60</v>
      </c>
      <c r="E394" s="33" t="s">
        <v>71</v>
      </c>
      <c r="F394" s="33"/>
      <c r="G394" s="33" t="s">
        <v>337</v>
      </c>
      <c r="H394" s="33" t="s">
        <v>118</v>
      </c>
      <c r="I394" s="70">
        <v>862.06896551724139</v>
      </c>
      <c r="J394" s="33" t="s">
        <v>376</v>
      </c>
      <c r="K394" s="65">
        <v>46002</v>
      </c>
      <c r="L394" s="33">
        <v>2025404755</v>
      </c>
      <c r="M394" s="64" t="s">
        <v>222</v>
      </c>
      <c r="N394" s="33">
        <v>2025</v>
      </c>
    </row>
    <row r="395" spans="1:14">
      <c r="A395" s="33">
        <v>394</v>
      </c>
      <c r="B395" s="33" t="s">
        <v>42</v>
      </c>
      <c r="C395" s="122" t="s">
        <v>285</v>
      </c>
      <c r="D395" s="33" t="s">
        <v>60</v>
      </c>
      <c r="E395" s="74" t="s">
        <v>71</v>
      </c>
      <c r="F395" s="33"/>
      <c r="G395" s="33" t="s">
        <v>236</v>
      </c>
      <c r="H395" s="33" t="s">
        <v>241</v>
      </c>
      <c r="I395" s="70">
        <v>3521.7241379310344</v>
      </c>
      <c r="J395" s="33" t="s">
        <v>240</v>
      </c>
      <c r="K395" s="65">
        <v>45998</v>
      </c>
      <c r="L395" s="33">
        <v>2025404566</v>
      </c>
      <c r="M395" s="64" t="s">
        <v>222</v>
      </c>
      <c r="N395" s="33">
        <v>2025</v>
      </c>
    </row>
    <row r="396" spans="1:14">
      <c r="A396" s="33">
        <v>395</v>
      </c>
      <c r="B396" s="33" t="s">
        <v>54</v>
      </c>
      <c r="C396" s="33" t="s">
        <v>55</v>
      </c>
      <c r="D396" s="33" t="s">
        <v>60</v>
      </c>
      <c r="E396" s="74" t="s">
        <v>71</v>
      </c>
      <c r="F396" s="33"/>
      <c r="G396" s="33" t="s">
        <v>236</v>
      </c>
      <c r="H396" s="33" t="s">
        <v>241</v>
      </c>
      <c r="I396" s="70">
        <v>1972.4137931034484</v>
      </c>
      <c r="J396" s="33" t="s">
        <v>361</v>
      </c>
      <c r="K396" s="65">
        <v>45993</v>
      </c>
      <c r="L396" s="33">
        <v>2025404353</v>
      </c>
      <c r="M396" s="64" t="s">
        <v>222</v>
      </c>
      <c r="N396" s="33">
        <v>2025</v>
      </c>
    </row>
    <row r="397" spans="1:14">
      <c r="A397" s="33">
        <v>396</v>
      </c>
      <c r="B397" s="33" t="s">
        <v>52</v>
      </c>
      <c r="C397" s="122" t="s">
        <v>62</v>
      </c>
      <c r="D397" s="33" t="s">
        <v>60</v>
      </c>
      <c r="E397" s="74" t="s">
        <v>71</v>
      </c>
      <c r="F397" s="33"/>
      <c r="G397" s="33" t="s">
        <v>236</v>
      </c>
      <c r="H397" s="33" t="s">
        <v>241</v>
      </c>
      <c r="I397" s="70">
        <v>1710.344827586207</v>
      </c>
      <c r="J397" s="33" t="s">
        <v>366</v>
      </c>
      <c r="K397" s="65">
        <v>45993</v>
      </c>
      <c r="L397" s="33">
        <v>2025404356</v>
      </c>
      <c r="M397" s="64" t="s">
        <v>222</v>
      </c>
      <c r="N397" s="33">
        <v>2025</v>
      </c>
    </row>
    <row r="398" spans="1:14">
      <c r="A398" s="33">
        <v>397</v>
      </c>
      <c r="B398" s="33" t="s">
        <v>42</v>
      </c>
      <c r="C398" s="33" t="s">
        <v>50</v>
      </c>
      <c r="D398" s="33" t="s">
        <v>60</v>
      </c>
      <c r="E398" s="74" t="s">
        <v>71</v>
      </c>
      <c r="F398" s="33"/>
      <c r="G398" s="33" t="s">
        <v>236</v>
      </c>
      <c r="H398" s="33" t="s">
        <v>241</v>
      </c>
      <c r="I398" s="70">
        <v>1577.9310344827586</v>
      </c>
      <c r="J398" s="33" t="s">
        <v>368</v>
      </c>
      <c r="K398" s="65">
        <v>45999</v>
      </c>
      <c r="L398" s="33">
        <v>2025404500</v>
      </c>
      <c r="M398" s="64" t="s">
        <v>222</v>
      </c>
      <c r="N398" s="33">
        <v>2025</v>
      </c>
    </row>
    <row r="399" spans="1:14">
      <c r="A399" s="33">
        <v>398</v>
      </c>
      <c r="B399" s="33" t="s">
        <v>52</v>
      </c>
      <c r="C399" s="122" t="s">
        <v>62</v>
      </c>
      <c r="D399" s="33" t="s">
        <v>60</v>
      </c>
      <c r="E399" s="74" t="s">
        <v>71</v>
      </c>
      <c r="F399" s="33"/>
      <c r="G399" s="33" t="s">
        <v>236</v>
      </c>
      <c r="H399" s="33" t="s">
        <v>241</v>
      </c>
      <c r="I399" s="70">
        <v>1421.3793103448277</v>
      </c>
      <c r="J399" s="33" t="s">
        <v>372</v>
      </c>
      <c r="K399" s="65">
        <v>46007</v>
      </c>
      <c r="L399" s="33">
        <v>2025404529</v>
      </c>
      <c r="M399" s="64" t="s">
        <v>222</v>
      </c>
      <c r="N399" s="33">
        <v>2025</v>
      </c>
    </row>
    <row r="400" spans="1:14">
      <c r="A400" s="33">
        <v>399</v>
      </c>
      <c r="B400" s="74" t="s">
        <v>52</v>
      </c>
      <c r="C400" s="122" t="s">
        <v>62</v>
      </c>
      <c r="D400" s="33" t="s">
        <v>60</v>
      </c>
      <c r="E400" s="74" t="s">
        <v>71</v>
      </c>
      <c r="F400" s="33"/>
      <c r="G400" s="74" t="s">
        <v>236</v>
      </c>
      <c r="H400" s="33" t="s">
        <v>241</v>
      </c>
      <c r="I400" s="70">
        <v>1406.8965517241379</v>
      </c>
      <c r="J400" s="33" t="s">
        <v>373</v>
      </c>
      <c r="K400" s="65">
        <v>46011</v>
      </c>
      <c r="L400" s="33">
        <v>2025404662</v>
      </c>
      <c r="M400" s="64" t="s">
        <v>222</v>
      </c>
      <c r="N400" s="33">
        <v>2025</v>
      </c>
    </row>
    <row r="401" spans="1:14">
      <c r="A401" s="33">
        <v>400</v>
      </c>
      <c r="B401" s="33" t="s">
        <v>35</v>
      </c>
      <c r="C401" s="33" t="s">
        <v>36</v>
      </c>
      <c r="D401" s="33" t="s">
        <v>60</v>
      </c>
      <c r="E401" s="74" t="s">
        <v>71</v>
      </c>
      <c r="F401" s="33"/>
      <c r="G401" s="33" t="s">
        <v>332</v>
      </c>
      <c r="H401" s="33" t="s">
        <v>118</v>
      </c>
      <c r="I401" s="70">
        <v>15000</v>
      </c>
      <c r="J401" s="33" t="s">
        <v>412</v>
      </c>
      <c r="K401" s="65">
        <v>45999</v>
      </c>
      <c r="L401" s="33">
        <v>2025404440</v>
      </c>
      <c r="M401" s="64" t="s">
        <v>222</v>
      </c>
      <c r="N401" s="33">
        <v>2025</v>
      </c>
    </row>
    <row r="402" spans="1:14">
      <c r="A402" s="33">
        <v>401</v>
      </c>
      <c r="B402" s="33" t="s">
        <v>54</v>
      </c>
      <c r="C402" s="33" t="s">
        <v>95</v>
      </c>
      <c r="D402" s="33" t="s">
        <v>60</v>
      </c>
      <c r="E402" s="33" t="s">
        <v>71</v>
      </c>
      <c r="F402" s="33"/>
      <c r="G402" s="33" t="s">
        <v>235</v>
      </c>
      <c r="H402" s="33" t="s">
        <v>118</v>
      </c>
      <c r="I402" s="70">
        <v>2665.1724137931033</v>
      </c>
      <c r="J402" s="33" t="s">
        <v>360</v>
      </c>
      <c r="K402" s="65">
        <v>46004</v>
      </c>
      <c r="L402" s="33">
        <v>2025404613</v>
      </c>
      <c r="M402" s="64" t="s">
        <v>222</v>
      </c>
      <c r="N402" s="33">
        <v>2025</v>
      </c>
    </row>
    <row r="403" spans="1:14">
      <c r="A403" s="33">
        <v>402</v>
      </c>
      <c r="B403" s="33" t="s">
        <v>35</v>
      </c>
      <c r="C403" s="33" t="s">
        <v>37</v>
      </c>
      <c r="D403" s="33" t="s">
        <v>60</v>
      </c>
      <c r="E403" s="74" t="s">
        <v>71</v>
      </c>
      <c r="F403" s="33"/>
      <c r="G403" s="33" t="s">
        <v>235</v>
      </c>
      <c r="H403" s="33" t="s">
        <v>118</v>
      </c>
      <c r="I403" s="70">
        <v>673.10344827586209</v>
      </c>
      <c r="J403" s="33" t="s">
        <v>381</v>
      </c>
      <c r="K403" s="65">
        <v>45992</v>
      </c>
      <c r="L403" s="33">
        <v>2025404604</v>
      </c>
      <c r="M403" s="64" t="s">
        <v>222</v>
      </c>
      <c r="N403" s="33">
        <v>2025</v>
      </c>
    </row>
    <row r="404" spans="1:14">
      <c r="A404" s="33">
        <v>403</v>
      </c>
      <c r="B404" s="33" t="s">
        <v>17</v>
      </c>
      <c r="C404" s="33" t="s">
        <v>22</v>
      </c>
      <c r="D404" s="33" t="s">
        <v>60</v>
      </c>
      <c r="E404" s="74" t="s">
        <v>71</v>
      </c>
      <c r="F404" s="33"/>
      <c r="G404" s="33" t="s">
        <v>235</v>
      </c>
      <c r="H404" s="33" t="s">
        <v>118</v>
      </c>
      <c r="I404" s="70">
        <v>544.82758620689651</v>
      </c>
      <c r="J404" s="33" t="s">
        <v>382</v>
      </c>
      <c r="K404" s="65">
        <v>46001</v>
      </c>
      <c r="L404" s="33">
        <v>2025404129</v>
      </c>
      <c r="M404" s="64" t="s">
        <v>222</v>
      </c>
      <c r="N404" s="33">
        <v>2025</v>
      </c>
    </row>
    <row r="405" spans="1:14">
      <c r="A405" s="33">
        <v>404</v>
      </c>
      <c r="B405" s="74" t="s">
        <v>54</v>
      </c>
      <c r="C405" s="74" t="s">
        <v>55</v>
      </c>
      <c r="D405" s="33" t="s">
        <v>60</v>
      </c>
      <c r="E405" s="74" t="s">
        <v>71</v>
      </c>
      <c r="F405" s="33"/>
      <c r="G405" s="74" t="s">
        <v>87</v>
      </c>
      <c r="H405" s="33" t="s">
        <v>118</v>
      </c>
      <c r="I405" s="70">
        <v>7540.6896551724139</v>
      </c>
      <c r="J405" s="33" t="s">
        <v>346</v>
      </c>
      <c r="K405" s="65">
        <v>46001</v>
      </c>
      <c r="L405" s="33">
        <v>2025404571</v>
      </c>
      <c r="M405" s="64" t="s">
        <v>222</v>
      </c>
      <c r="N405" s="33">
        <v>2025</v>
      </c>
    </row>
    <row r="406" spans="1:14">
      <c r="A406" s="33">
        <v>405</v>
      </c>
      <c r="B406" s="33" t="s">
        <v>52</v>
      </c>
      <c r="C406" s="122" t="s">
        <v>62</v>
      </c>
      <c r="D406" s="33" t="s">
        <v>60</v>
      </c>
      <c r="E406" s="74" t="s">
        <v>71</v>
      </c>
      <c r="F406" s="33"/>
      <c r="G406" s="33" t="s">
        <v>343</v>
      </c>
      <c r="H406" s="33" t="s">
        <v>118</v>
      </c>
      <c r="I406" s="70">
        <v>827.58620689655174</v>
      </c>
      <c r="J406" s="33" t="s">
        <v>377</v>
      </c>
      <c r="K406" s="65">
        <v>46007</v>
      </c>
      <c r="L406" s="33">
        <v>2025404824</v>
      </c>
      <c r="M406" s="64" t="s">
        <v>222</v>
      </c>
      <c r="N406" s="33">
        <v>2025</v>
      </c>
    </row>
    <row r="407" spans="1:14">
      <c r="A407" s="33">
        <v>406</v>
      </c>
      <c r="B407" s="33" t="s">
        <v>58</v>
      </c>
      <c r="C407" s="33" t="s">
        <v>59</v>
      </c>
      <c r="D407" s="33" t="s">
        <v>60</v>
      </c>
      <c r="E407" s="74" t="s">
        <v>71</v>
      </c>
      <c r="F407" s="33"/>
      <c r="G407" s="33" t="s">
        <v>338</v>
      </c>
      <c r="H407" s="33" t="s">
        <v>118</v>
      </c>
      <c r="I407" s="70">
        <v>3751</v>
      </c>
      <c r="J407" s="33" t="s">
        <v>519</v>
      </c>
      <c r="K407" s="65">
        <v>46015</v>
      </c>
      <c r="L407" s="33">
        <v>2025404809</v>
      </c>
      <c r="M407" s="64" t="s">
        <v>222</v>
      </c>
      <c r="N407" s="33">
        <v>2025</v>
      </c>
    </row>
    <row r="408" spans="1:14">
      <c r="A408" s="33">
        <v>407</v>
      </c>
      <c r="B408" s="33" t="s">
        <v>52</v>
      </c>
      <c r="C408" s="122" t="s">
        <v>62</v>
      </c>
      <c r="D408" s="33" t="s">
        <v>60</v>
      </c>
      <c r="E408" s="74" t="s">
        <v>71</v>
      </c>
      <c r="F408" s="33"/>
      <c r="G408" s="33" t="s">
        <v>331</v>
      </c>
      <c r="H408" s="33" t="s">
        <v>118</v>
      </c>
      <c r="I408" s="70">
        <v>1953.7931034482758</v>
      </c>
      <c r="J408" s="33" t="s">
        <v>363</v>
      </c>
      <c r="K408" s="65">
        <v>45994</v>
      </c>
      <c r="L408" s="33">
        <v>2025404411</v>
      </c>
      <c r="M408" s="64" t="s">
        <v>222</v>
      </c>
      <c r="N408" s="33">
        <v>2025</v>
      </c>
    </row>
    <row r="409" spans="1:14">
      <c r="A409" s="33">
        <v>408</v>
      </c>
      <c r="B409" s="33" t="s">
        <v>17</v>
      </c>
      <c r="C409" s="33" t="s">
        <v>22</v>
      </c>
      <c r="D409" s="33" t="s">
        <v>60</v>
      </c>
      <c r="E409" s="74" t="s">
        <v>71</v>
      </c>
      <c r="F409" s="33"/>
      <c r="G409" s="33" t="s">
        <v>331</v>
      </c>
      <c r="H409" s="33" t="s">
        <v>118</v>
      </c>
      <c r="I409" s="70">
        <v>1473.1034482758621</v>
      </c>
      <c r="J409" s="33" t="s">
        <v>370</v>
      </c>
      <c r="K409" s="65">
        <v>46001</v>
      </c>
      <c r="L409" s="33">
        <v>2025404492</v>
      </c>
      <c r="M409" s="64" t="s">
        <v>222</v>
      </c>
      <c r="N409" s="33">
        <v>2025</v>
      </c>
    </row>
    <row r="410" spans="1:14">
      <c r="A410" s="33">
        <v>409</v>
      </c>
      <c r="B410" s="33" t="s">
        <v>52</v>
      </c>
      <c r="C410" s="122" t="s">
        <v>62</v>
      </c>
      <c r="D410" s="33" t="s">
        <v>60</v>
      </c>
      <c r="E410" s="74" t="s">
        <v>71</v>
      </c>
      <c r="F410" s="33"/>
      <c r="G410" s="33" t="s">
        <v>331</v>
      </c>
      <c r="H410" s="33" t="s">
        <v>118</v>
      </c>
      <c r="I410" s="70">
        <v>1241.3793103448277</v>
      </c>
      <c r="J410" s="33" t="s">
        <v>363</v>
      </c>
      <c r="K410" s="65">
        <v>45994</v>
      </c>
      <c r="L410" s="33">
        <v>2025404412</v>
      </c>
      <c r="M410" s="64" t="s">
        <v>222</v>
      </c>
      <c r="N410" s="33">
        <v>2025</v>
      </c>
    </row>
    <row r="411" spans="1:14">
      <c r="A411" s="33">
        <v>410</v>
      </c>
      <c r="B411" s="33" t="s">
        <v>52</v>
      </c>
      <c r="C411" s="122" t="s">
        <v>62</v>
      </c>
      <c r="D411" s="33" t="s">
        <v>60</v>
      </c>
      <c r="E411" s="74" t="s">
        <v>71</v>
      </c>
      <c r="F411" s="33"/>
      <c r="G411" s="33" t="s">
        <v>124</v>
      </c>
      <c r="H411" s="33" t="s">
        <v>118</v>
      </c>
      <c r="I411" s="70">
        <v>1596.9</v>
      </c>
      <c r="J411" s="33" t="s">
        <v>388</v>
      </c>
      <c r="K411" s="65">
        <v>45994</v>
      </c>
      <c r="L411" s="33">
        <v>2025404195</v>
      </c>
      <c r="M411" s="64" t="s">
        <v>222</v>
      </c>
      <c r="N411" s="33">
        <v>2025</v>
      </c>
    </row>
    <row r="412" spans="1:14">
      <c r="A412" s="33">
        <v>411</v>
      </c>
      <c r="B412" s="33" t="s">
        <v>35</v>
      </c>
      <c r="C412" s="33" t="s">
        <v>36</v>
      </c>
      <c r="D412" s="33" t="s">
        <v>60</v>
      </c>
      <c r="E412" s="74" t="s">
        <v>71</v>
      </c>
      <c r="F412" s="33"/>
      <c r="G412" s="33" t="s">
        <v>124</v>
      </c>
      <c r="H412" s="33" t="s">
        <v>118</v>
      </c>
      <c r="I412" s="70">
        <v>170</v>
      </c>
      <c r="J412" s="33" t="s">
        <v>389</v>
      </c>
      <c r="K412" s="65">
        <v>45994</v>
      </c>
      <c r="L412" s="33">
        <v>2025404287</v>
      </c>
      <c r="M412" s="64" t="s">
        <v>222</v>
      </c>
      <c r="N412" s="33">
        <v>2025</v>
      </c>
    </row>
    <row r="413" spans="1:14">
      <c r="A413" s="33">
        <v>412</v>
      </c>
      <c r="B413" s="33" t="s">
        <v>42</v>
      </c>
      <c r="C413" s="33" t="s">
        <v>46</v>
      </c>
      <c r="D413" s="33" t="s">
        <v>60</v>
      </c>
      <c r="E413" s="33" t="s">
        <v>71</v>
      </c>
      <c r="F413" s="33"/>
      <c r="G413" s="33" t="s">
        <v>124</v>
      </c>
      <c r="H413" s="33" t="s">
        <v>118</v>
      </c>
      <c r="I413" s="70">
        <v>634.29999999999995</v>
      </c>
      <c r="J413" s="33">
        <v>12418</v>
      </c>
      <c r="K413" s="65">
        <v>45994</v>
      </c>
      <c r="L413" s="33">
        <v>2025404301</v>
      </c>
      <c r="M413" s="33" t="s">
        <v>222</v>
      </c>
      <c r="N413" s="33">
        <v>2025</v>
      </c>
    </row>
    <row r="414" spans="1:14">
      <c r="A414" s="33">
        <v>413</v>
      </c>
      <c r="B414" s="33" t="s">
        <v>42</v>
      </c>
      <c r="C414" s="33" t="s">
        <v>285</v>
      </c>
      <c r="D414" s="33" t="s">
        <v>60</v>
      </c>
      <c r="E414" s="33" t="s">
        <v>71</v>
      </c>
      <c r="F414" s="33"/>
      <c r="G414" s="33" t="s">
        <v>124</v>
      </c>
      <c r="H414" s="33" t="s">
        <v>118</v>
      </c>
      <c r="I414" s="70">
        <v>832</v>
      </c>
      <c r="J414" s="33" t="s">
        <v>390</v>
      </c>
      <c r="K414" s="65">
        <v>45994</v>
      </c>
      <c r="L414" s="33">
        <v>2025404324</v>
      </c>
      <c r="M414" s="33" t="s">
        <v>222</v>
      </c>
      <c r="N414" s="33">
        <v>2025</v>
      </c>
    </row>
    <row r="415" spans="1:14">
      <c r="A415" s="33">
        <v>414</v>
      </c>
      <c r="B415" s="33" t="s">
        <v>35</v>
      </c>
      <c r="C415" s="33" t="s">
        <v>36</v>
      </c>
      <c r="D415" s="33" t="s">
        <v>60</v>
      </c>
      <c r="E415" s="33" t="s">
        <v>71</v>
      </c>
      <c r="F415" s="33"/>
      <c r="G415" s="33" t="s">
        <v>124</v>
      </c>
      <c r="H415" s="33" t="s">
        <v>118</v>
      </c>
      <c r="I415" s="70">
        <v>2931.7</v>
      </c>
      <c r="J415" s="33" t="s">
        <v>391</v>
      </c>
      <c r="K415" s="65">
        <v>45994</v>
      </c>
      <c r="L415" s="33">
        <v>2025404327</v>
      </c>
      <c r="M415" s="33" t="s">
        <v>222</v>
      </c>
      <c r="N415" s="33">
        <v>2025</v>
      </c>
    </row>
    <row r="416" spans="1:14">
      <c r="A416" s="33">
        <v>415</v>
      </c>
      <c r="B416" s="33" t="s">
        <v>42</v>
      </c>
      <c r="C416" s="33" t="s">
        <v>285</v>
      </c>
      <c r="D416" s="33" t="s">
        <v>60</v>
      </c>
      <c r="E416" s="33" t="s">
        <v>71</v>
      </c>
      <c r="F416" s="33"/>
      <c r="G416" s="33" t="s">
        <v>124</v>
      </c>
      <c r="H416" s="33" t="s">
        <v>118</v>
      </c>
      <c r="I416" s="70">
        <v>75</v>
      </c>
      <c r="J416" s="33" t="s">
        <v>392</v>
      </c>
      <c r="K416" s="65">
        <v>45994</v>
      </c>
      <c r="L416" s="33">
        <v>2025404332</v>
      </c>
      <c r="M416" s="33" t="s">
        <v>222</v>
      </c>
      <c r="N416" s="33">
        <v>2025</v>
      </c>
    </row>
    <row r="417" spans="1:14">
      <c r="A417" s="33">
        <v>416</v>
      </c>
      <c r="B417" s="33" t="s">
        <v>35</v>
      </c>
      <c r="C417" s="33" t="s">
        <v>36</v>
      </c>
      <c r="D417" s="33" t="s">
        <v>60</v>
      </c>
      <c r="E417" s="33" t="s">
        <v>71</v>
      </c>
      <c r="F417" s="33"/>
      <c r="G417" s="33" t="s">
        <v>124</v>
      </c>
      <c r="H417" s="33" t="s">
        <v>118</v>
      </c>
      <c r="I417" s="70">
        <v>295</v>
      </c>
      <c r="J417" s="33" t="s">
        <v>393</v>
      </c>
      <c r="K417" s="65">
        <v>45935</v>
      </c>
      <c r="L417" s="33">
        <v>2025404333</v>
      </c>
      <c r="M417" s="33" t="s">
        <v>222</v>
      </c>
      <c r="N417" s="33">
        <v>2025</v>
      </c>
    </row>
    <row r="418" spans="1:14">
      <c r="A418" s="33">
        <v>417</v>
      </c>
      <c r="B418" s="33" t="s">
        <v>42</v>
      </c>
      <c r="C418" s="33" t="s">
        <v>45</v>
      </c>
      <c r="D418" s="33" t="s">
        <v>60</v>
      </c>
      <c r="E418" s="33" t="s">
        <v>71</v>
      </c>
      <c r="F418" s="33"/>
      <c r="G418" s="33" t="s">
        <v>124</v>
      </c>
      <c r="H418" s="33" t="s">
        <v>118</v>
      </c>
      <c r="I418" s="70">
        <v>3075</v>
      </c>
      <c r="J418" s="33" t="s">
        <v>394</v>
      </c>
      <c r="K418" s="65">
        <v>45994</v>
      </c>
      <c r="L418" s="33">
        <v>2025404335</v>
      </c>
      <c r="M418" s="33" t="s">
        <v>222</v>
      </c>
      <c r="N418" s="33">
        <v>2025</v>
      </c>
    </row>
    <row r="419" spans="1:14">
      <c r="A419" s="33">
        <v>418</v>
      </c>
      <c r="B419" s="33" t="s">
        <v>35</v>
      </c>
      <c r="C419" s="33" t="s">
        <v>36</v>
      </c>
      <c r="D419" s="33" t="s">
        <v>60</v>
      </c>
      <c r="E419" s="33" t="s">
        <v>71</v>
      </c>
      <c r="F419" s="33"/>
      <c r="G419" s="33" t="s">
        <v>124</v>
      </c>
      <c r="H419" s="33" t="s">
        <v>118</v>
      </c>
      <c r="I419" s="70">
        <v>2931.7</v>
      </c>
      <c r="J419" s="33" t="s">
        <v>395</v>
      </c>
      <c r="K419" s="65">
        <v>45994</v>
      </c>
      <c r="L419" s="33">
        <v>2025404336</v>
      </c>
      <c r="M419" s="33" t="s">
        <v>222</v>
      </c>
      <c r="N419" s="33">
        <v>2025</v>
      </c>
    </row>
    <row r="420" spans="1:14">
      <c r="A420" s="33">
        <v>419</v>
      </c>
      <c r="B420" s="33" t="s">
        <v>42</v>
      </c>
      <c r="C420" s="33" t="s">
        <v>46</v>
      </c>
      <c r="D420" s="33" t="s">
        <v>60</v>
      </c>
      <c r="E420" s="33" t="s">
        <v>71</v>
      </c>
      <c r="F420" s="33"/>
      <c r="G420" s="33" t="s">
        <v>124</v>
      </c>
      <c r="H420" s="33" t="s">
        <v>118</v>
      </c>
      <c r="I420" s="70">
        <v>70</v>
      </c>
      <c r="J420" s="33" t="s">
        <v>396</v>
      </c>
      <c r="K420" s="65">
        <v>45994</v>
      </c>
      <c r="L420" s="33">
        <v>2025404337</v>
      </c>
      <c r="M420" s="33" t="s">
        <v>222</v>
      </c>
      <c r="N420" s="33">
        <v>2025</v>
      </c>
    </row>
    <row r="421" spans="1:14">
      <c r="A421" s="33">
        <v>420</v>
      </c>
      <c r="B421" s="33" t="s">
        <v>35</v>
      </c>
      <c r="C421" s="33" t="s">
        <v>36</v>
      </c>
      <c r="D421" s="33" t="s">
        <v>60</v>
      </c>
      <c r="E421" s="33" t="s">
        <v>71</v>
      </c>
      <c r="F421" s="33"/>
      <c r="G421" s="33" t="s">
        <v>124</v>
      </c>
      <c r="H421" s="33" t="s">
        <v>118</v>
      </c>
      <c r="I421" s="70">
        <v>684</v>
      </c>
      <c r="J421" s="33" t="s">
        <v>397</v>
      </c>
      <c r="K421" s="65">
        <v>45994</v>
      </c>
      <c r="L421" s="33">
        <v>2025404338</v>
      </c>
      <c r="M421" s="33" t="s">
        <v>222</v>
      </c>
      <c r="N421" s="33">
        <v>2025</v>
      </c>
    </row>
    <row r="422" spans="1:14">
      <c r="A422" s="33">
        <v>421</v>
      </c>
      <c r="B422" s="33" t="s">
        <v>42</v>
      </c>
      <c r="C422" s="33" t="s">
        <v>44</v>
      </c>
      <c r="D422" s="33" t="s">
        <v>60</v>
      </c>
      <c r="E422" s="33" t="s">
        <v>71</v>
      </c>
      <c r="F422" s="33"/>
      <c r="G422" s="33" t="s">
        <v>124</v>
      </c>
      <c r="H422" s="33" t="s">
        <v>118</v>
      </c>
      <c r="I422" s="70">
        <v>627</v>
      </c>
      <c r="J422" s="33" t="s">
        <v>398</v>
      </c>
      <c r="K422" s="65">
        <v>45994</v>
      </c>
      <c r="L422" s="33">
        <v>2025404339</v>
      </c>
      <c r="M422" s="33" t="s">
        <v>222</v>
      </c>
      <c r="N422" s="33">
        <v>2025</v>
      </c>
    </row>
    <row r="423" spans="1:14">
      <c r="A423" s="33">
        <v>422</v>
      </c>
      <c r="B423" s="33" t="s">
        <v>17</v>
      </c>
      <c r="C423" s="33" t="s">
        <v>18</v>
      </c>
      <c r="D423" s="33" t="s">
        <v>60</v>
      </c>
      <c r="E423" s="33" t="s">
        <v>71</v>
      </c>
      <c r="F423" s="33"/>
      <c r="G423" s="33" t="s">
        <v>124</v>
      </c>
      <c r="H423" s="33" t="s">
        <v>118</v>
      </c>
      <c r="I423" s="70">
        <v>340</v>
      </c>
      <c r="J423" s="33" t="s">
        <v>399</v>
      </c>
      <c r="K423" s="65">
        <v>45994</v>
      </c>
      <c r="L423" s="33">
        <v>2025404342</v>
      </c>
      <c r="M423" s="33" t="s">
        <v>222</v>
      </c>
      <c r="N423" s="33">
        <v>2025</v>
      </c>
    </row>
    <row r="424" spans="1:14">
      <c r="A424" s="33">
        <v>423</v>
      </c>
      <c r="B424" s="33" t="s">
        <v>52</v>
      </c>
      <c r="C424" s="122" t="s">
        <v>62</v>
      </c>
      <c r="D424" s="33" t="s">
        <v>60</v>
      </c>
      <c r="E424" s="33" t="s">
        <v>71</v>
      </c>
      <c r="F424" s="33"/>
      <c r="G424" s="33" t="s">
        <v>124</v>
      </c>
      <c r="H424" s="33" t="s">
        <v>118</v>
      </c>
      <c r="I424" s="70">
        <v>248.7</v>
      </c>
      <c r="J424" s="33" t="s">
        <v>400</v>
      </c>
      <c r="K424" s="65">
        <v>45994</v>
      </c>
      <c r="L424" s="33">
        <v>2025404348</v>
      </c>
      <c r="M424" s="33" t="s">
        <v>222</v>
      </c>
      <c r="N424" s="33">
        <v>2025</v>
      </c>
    </row>
    <row r="425" spans="1:14">
      <c r="A425" s="33">
        <v>424</v>
      </c>
      <c r="B425" s="33" t="s">
        <v>42</v>
      </c>
      <c r="C425" s="33" t="s">
        <v>50</v>
      </c>
      <c r="D425" s="33" t="s">
        <v>60</v>
      </c>
      <c r="E425" s="33" t="s">
        <v>71</v>
      </c>
      <c r="F425" s="33"/>
      <c r="G425" s="33" t="s">
        <v>124</v>
      </c>
      <c r="H425" s="33" t="s">
        <v>118</v>
      </c>
      <c r="I425" s="70">
        <v>795</v>
      </c>
      <c r="J425" s="33" t="s">
        <v>401</v>
      </c>
      <c r="K425" s="65">
        <v>45994</v>
      </c>
      <c r="L425" s="33">
        <v>2025404358</v>
      </c>
      <c r="M425" s="33" t="s">
        <v>222</v>
      </c>
      <c r="N425" s="33">
        <v>2025</v>
      </c>
    </row>
    <row r="426" spans="1:14">
      <c r="A426" s="33">
        <v>425</v>
      </c>
      <c r="B426" s="33" t="s">
        <v>35</v>
      </c>
      <c r="C426" s="33" t="s">
        <v>36</v>
      </c>
      <c r="D426" s="33" t="s">
        <v>60</v>
      </c>
      <c r="E426" s="33" t="s">
        <v>71</v>
      </c>
      <c r="F426" s="33"/>
      <c r="G426" s="33" t="s">
        <v>124</v>
      </c>
      <c r="H426" s="33" t="s">
        <v>118</v>
      </c>
      <c r="I426" s="70">
        <v>170</v>
      </c>
      <c r="J426" s="33" t="s">
        <v>402</v>
      </c>
      <c r="K426" s="65">
        <v>45994</v>
      </c>
      <c r="L426" s="33">
        <v>2025404362</v>
      </c>
      <c r="M426" s="33" t="s">
        <v>222</v>
      </c>
      <c r="N426" s="33">
        <v>2025</v>
      </c>
    </row>
    <row r="427" spans="1:14">
      <c r="A427" s="33">
        <v>426</v>
      </c>
      <c r="B427" s="33" t="s">
        <v>52</v>
      </c>
      <c r="C427" s="122" t="s">
        <v>62</v>
      </c>
      <c r="D427" s="33" t="s">
        <v>60</v>
      </c>
      <c r="E427" s="33" t="s">
        <v>71</v>
      </c>
      <c r="F427" s="33"/>
      <c r="G427" s="33" t="s">
        <v>124</v>
      </c>
      <c r="H427" s="33" t="s">
        <v>118</v>
      </c>
      <c r="I427" s="70">
        <v>390</v>
      </c>
      <c r="J427" s="33" t="s">
        <v>403</v>
      </c>
      <c r="K427" s="65">
        <v>45994</v>
      </c>
      <c r="L427" s="33">
        <v>2025404366</v>
      </c>
      <c r="M427" s="33" t="s">
        <v>222</v>
      </c>
      <c r="N427" s="33">
        <v>2025</v>
      </c>
    </row>
    <row r="428" spans="1:14">
      <c r="A428" s="33">
        <v>427</v>
      </c>
      <c r="B428" s="33" t="s">
        <v>42</v>
      </c>
      <c r="C428" s="33" t="s">
        <v>50</v>
      </c>
      <c r="D428" s="33" t="s">
        <v>60</v>
      </c>
      <c r="E428" s="33" t="s">
        <v>71</v>
      </c>
      <c r="F428" s="33"/>
      <c r="G428" s="33" t="s">
        <v>124</v>
      </c>
      <c r="H428" s="33" t="s">
        <v>118</v>
      </c>
      <c r="I428" s="70">
        <v>898.5</v>
      </c>
      <c r="J428" s="33" t="s">
        <v>404</v>
      </c>
      <c r="K428" s="65">
        <v>45994</v>
      </c>
      <c r="L428" s="33">
        <v>2025404385</v>
      </c>
      <c r="M428" s="33" t="s">
        <v>222</v>
      </c>
      <c r="N428" s="33">
        <v>2025</v>
      </c>
    </row>
    <row r="429" spans="1:14">
      <c r="A429" s="33">
        <v>428</v>
      </c>
      <c r="B429" s="33" t="s">
        <v>42</v>
      </c>
      <c r="C429" s="33" t="s">
        <v>50</v>
      </c>
      <c r="D429" s="33" t="s">
        <v>60</v>
      </c>
      <c r="E429" s="33" t="s">
        <v>71</v>
      </c>
      <c r="F429" s="33"/>
      <c r="G429" s="33" t="s">
        <v>124</v>
      </c>
      <c r="H429" s="33" t="s">
        <v>118</v>
      </c>
      <c r="I429" s="70">
        <v>195.5</v>
      </c>
      <c r="J429" s="33" t="s">
        <v>405</v>
      </c>
      <c r="K429" s="65">
        <v>45994</v>
      </c>
      <c r="L429" s="33">
        <v>2025404408</v>
      </c>
      <c r="M429" s="33" t="s">
        <v>222</v>
      </c>
      <c r="N429" s="33">
        <v>2025</v>
      </c>
    </row>
    <row r="430" spans="1:14">
      <c r="A430" s="33">
        <v>429</v>
      </c>
      <c r="B430" s="33" t="s">
        <v>17</v>
      </c>
      <c r="C430" s="33" t="s">
        <v>22</v>
      </c>
      <c r="D430" s="33" t="s">
        <v>60</v>
      </c>
      <c r="E430" s="33" t="s">
        <v>71</v>
      </c>
      <c r="F430" s="33"/>
      <c r="G430" s="33" t="s">
        <v>124</v>
      </c>
      <c r="H430" s="33" t="s">
        <v>118</v>
      </c>
      <c r="I430" s="70">
        <v>1408.7</v>
      </c>
      <c r="J430" s="33" t="s">
        <v>406</v>
      </c>
      <c r="K430" s="65">
        <v>45994</v>
      </c>
      <c r="L430" s="33">
        <v>2025403968</v>
      </c>
      <c r="M430" s="33" t="s">
        <v>222</v>
      </c>
      <c r="N430" s="33">
        <v>2025</v>
      </c>
    </row>
    <row r="431" spans="1:14">
      <c r="A431" s="33">
        <v>430</v>
      </c>
      <c r="B431" s="33" t="s">
        <v>54</v>
      </c>
      <c r="C431" s="33" t="s">
        <v>55</v>
      </c>
      <c r="D431" s="33" t="s">
        <v>60</v>
      </c>
      <c r="E431" s="33" t="s">
        <v>71</v>
      </c>
      <c r="F431" s="33"/>
      <c r="G431" s="33" t="s">
        <v>124</v>
      </c>
      <c r="H431" s="33" t="s">
        <v>118</v>
      </c>
      <c r="I431" s="70">
        <v>350</v>
      </c>
      <c r="J431" s="33" t="s">
        <v>407</v>
      </c>
      <c r="K431" s="65">
        <v>45994</v>
      </c>
      <c r="L431" s="33">
        <v>2025404355</v>
      </c>
      <c r="M431" s="33" t="s">
        <v>222</v>
      </c>
      <c r="N431" s="33">
        <v>2025</v>
      </c>
    </row>
    <row r="432" spans="1:14">
      <c r="A432" s="33">
        <v>431</v>
      </c>
      <c r="B432" s="33" t="s">
        <v>42</v>
      </c>
      <c r="C432" s="122" t="s">
        <v>285</v>
      </c>
      <c r="D432" s="33" t="s">
        <v>60</v>
      </c>
      <c r="E432" s="33" t="s">
        <v>71</v>
      </c>
      <c r="F432" s="33"/>
      <c r="G432" s="33" t="s">
        <v>124</v>
      </c>
      <c r="H432" s="33" t="s">
        <v>118</v>
      </c>
      <c r="I432" s="70">
        <v>140</v>
      </c>
      <c r="J432" s="33" t="s">
        <v>427</v>
      </c>
      <c r="K432" s="65">
        <v>46001</v>
      </c>
      <c r="L432" s="33">
        <v>2025404496</v>
      </c>
      <c r="M432" s="33" t="s">
        <v>222</v>
      </c>
      <c r="N432" s="33">
        <v>2025</v>
      </c>
    </row>
    <row r="433" spans="1:14">
      <c r="A433" s="33">
        <v>432</v>
      </c>
      <c r="B433" s="33" t="s">
        <v>42</v>
      </c>
      <c r="C433" s="33" t="s">
        <v>44</v>
      </c>
      <c r="D433" s="33" t="s">
        <v>60</v>
      </c>
      <c r="E433" s="33" t="s">
        <v>71</v>
      </c>
      <c r="F433" s="33"/>
      <c r="G433" s="33" t="s">
        <v>124</v>
      </c>
      <c r="H433" s="33" t="s">
        <v>118</v>
      </c>
      <c r="I433" s="70">
        <v>214.1</v>
      </c>
      <c r="J433" s="33" t="s">
        <v>428</v>
      </c>
      <c r="K433" s="65">
        <v>46001</v>
      </c>
      <c r="L433" s="33">
        <v>2025404502</v>
      </c>
      <c r="M433" s="33" t="s">
        <v>222</v>
      </c>
      <c r="N433" s="33">
        <v>2025</v>
      </c>
    </row>
    <row r="434" spans="1:14">
      <c r="A434" s="33">
        <v>433</v>
      </c>
      <c r="B434" s="33" t="s">
        <v>42</v>
      </c>
      <c r="C434" s="33" t="s">
        <v>51</v>
      </c>
      <c r="D434" s="33" t="s">
        <v>60</v>
      </c>
      <c r="E434" s="33" t="s">
        <v>71</v>
      </c>
      <c r="F434" s="33"/>
      <c r="G434" s="33" t="s">
        <v>124</v>
      </c>
      <c r="H434" s="33" t="s">
        <v>118</v>
      </c>
      <c r="I434" s="70">
        <v>535</v>
      </c>
      <c r="J434" s="33" t="s">
        <v>429</v>
      </c>
      <c r="K434" s="65">
        <v>46001</v>
      </c>
      <c r="L434" s="33">
        <v>2025404469</v>
      </c>
      <c r="M434" s="33" t="s">
        <v>222</v>
      </c>
      <c r="N434" s="33">
        <v>2025</v>
      </c>
    </row>
    <row r="435" spans="1:14">
      <c r="A435" s="33">
        <v>434</v>
      </c>
      <c r="B435" s="33" t="s">
        <v>42</v>
      </c>
      <c r="C435" s="33" t="s">
        <v>50</v>
      </c>
      <c r="D435" s="33" t="s">
        <v>60</v>
      </c>
      <c r="E435" s="33" t="s">
        <v>71</v>
      </c>
      <c r="F435" s="33"/>
      <c r="G435" s="33" t="s">
        <v>124</v>
      </c>
      <c r="H435" s="33" t="s">
        <v>118</v>
      </c>
      <c r="I435" s="70">
        <v>2598.6999999999998</v>
      </c>
      <c r="J435" s="33" t="s">
        <v>430</v>
      </c>
      <c r="K435" s="65">
        <v>46001</v>
      </c>
      <c r="L435" s="33">
        <v>2025404474</v>
      </c>
      <c r="M435" s="33" t="s">
        <v>222</v>
      </c>
      <c r="N435" s="33">
        <v>2025</v>
      </c>
    </row>
    <row r="436" spans="1:14">
      <c r="A436" s="33">
        <v>435</v>
      </c>
      <c r="B436" s="33" t="s">
        <v>17</v>
      </c>
      <c r="C436" s="33" t="s">
        <v>25</v>
      </c>
      <c r="D436" s="33" t="s">
        <v>60</v>
      </c>
      <c r="E436" s="33" t="s">
        <v>71</v>
      </c>
      <c r="F436" s="33"/>
      <c r="G436" s="33" t="s">
        <v>124</v>
      </c>
      <c r="H436" s="33" t="s">
        <v>118</v>
      </c>
      <c r="I436" s="70">
        <v>390</v>
      </c>
      <c r="J436" s="33" t="s">
        <v>431</v>
      </c>
      <c r="K436" s="65">
        <v>46001</v>
      </c>
      <c r="L436" s="33">
        <v>2025404476</v>
      </c>
      <c r="M436" s="33" t="s">
        <v>222</v>
      </c>
      <c r="N436" s="33">
        <v>2025</v>
      </c>
    </row>
    <row r="437" spans="1:14">
      <c r="A437" s="33">
        <v>436</v>
      </c>
      <c r="B437" s="33" t="s">
        <v>42</v>
      </c>
      <c r="C437" s="33" t="s">
        <v>49</v>
      </c>
      <c r="D437" s="33" t="s">
        <v>60</v>
      </c>
      <c r="E437" s="33" t="s">
        <v>71</v>
      </c>
      <c r="F437" s="33"/>
      <c r="G437" s="33" t="s">
        <v>124</v>
      </c>
      <c r="H437" s="33" t="s">
        <v>118</v>
      </c>
      <c r="I437" s="70">
        <v>140</v>
      </c>
      <c r="J437" s="33" t="s">
        <v>432</v>
      </c>
      <c r="K437" s="65">
        <v>46001</v>
      </c>
      <c r="L437" s="33">
        <v>2025404470</v>
      </c>
      <c r="M437" s="33" t="s">
        <v>222</v>
      </c>
      <c r="N437" s="33">
        <v>2025</v>
      </c>
    </row>
    <row r="438" spans="1:14">
      <c r="A438" s="33">
        <v>437</v>
      </c>
      <c r="B438" s="33" t="s">
        <v>17</v>
      </c>
      <c r="C438" s="33" t="s">
        <v>22</v>
      </c>
      <c r="D438" s="33" t="s">
        <v>60</v>
      </c>
      <c r="E438" s="33" t="s">
        <v>71</v>
      </c>
      <c r="F438" s="33"/>
      <c r="G438" s="33" t="s">
        <v>124</v>
      </c>
      <c r="H438" s="33" t="s">
        <v>118</v>
      </c>
      <c r="I438" s="70">
        <v>650</v>
      </c>
      <c r="J438" s="33" t="s">
        <v>433</v>
      </c>
      <c r="K438" s="65">
        <v>46001</v>
      </c>
      <c r="L438" s="33">
        <v>2025404477</v>
      </c>
      <c r="M438" s="64" t="s">
        <v>222</v>
      </c>
      <c r="N438" s="33">
        <v>2025</v>
      </c>
    </row>
    <row r="439" spans="1:14">
      <c r="A439" s="33">
        <v>438</v>
      </c>
      <c r="B439" s="33" t="s">
        <v>17</v>
      </c>
      <c r="C439" s="33" t="s">
        <v>18</v>
      </c>
      <c r="D439" s="33" t="s">
        <v>60</v>
      </c>
      <c r="E439" s="33" t="s">
        <v>71</v>
      </c>
      <c r="F439" s="33"/>
      <c r="G439" s="33" t="s">
        <v>124</v>
      </c>
      <c r="H439" s="33" t="s">
        <v>118</v>
      </c>
      <c r="I439" s="70">
        <v>45</v>
      </c>
      <c r="J439" s="33" t="s">
        <v>434</v>
      </c>
      <c r="K439" s="65">
        <v>46001</v>
      </c>
      <c r="L439" s="33">
        <v>2025404478</v>
      </c>
      <c r="M439" s="33" t="s">
        <v>222</v>
      </c>
      <c r="N439" s="33">
        <v>2025</v>
      </c>
    </row>
    <row r="440" spans="1:14">
      <c r="A440" s="33">
        <v>439</v>
      </c>
      <c r="B440" s="33" t="s">
        <v>42</v>
      </c>
      <c r="C440" s="33" t="s">
        <v>50</v>
      </c>
      <c r="D440" s="33" t="s">
        <v>60</v>
      </c>
      <c r="E440" s="33" t="s">
        <v>71</v>
      </c>
      <c r="F440" s="33"/>
      <c r="G440" s="33" t="s">
        <v>124</v>
      </c>
      <c r="H440" s="33" t="s">
        <v>118</v>
      </c>
      <c r="I440" s="63">
        <v>260</v>
      </c>
      <c r="J440" s="33" t="s">
        <v>435</v>
      </c>
      <c r="K440" s="65">
        <v>46001</v>
      </c>
      <c r="L440" s="33">
        <v>2025404479</v>
      </c>
      <c r="M440" s="33" t="s">
        <v>222</v>
      </c>
      <c r="N440" s="33">
        <v>2025</v>
      </c>
    </row>
    <row r="441" spans="1:14">
      <c r="A441" s="33">
        <v>440</v>
      </c>
      <c r="B441" s="33" t="s">
        <v>52</v>
      </c>
      <c r="C441" s="122" t="s">
        <v>62</v>
      </c>
      <c r="D441" s="33" t="s">
        <v>60</v>
      </c>
      <c r="E441" s="33" t="s">
        <v>71</v>
      </c>
      <c r="F441" s="33"/>
      <c r="G441" s="33" t="s">
        <v>124</v>
      </c>
      <c r="H441" s="33" t="s">
        <v>118</v>
      </c>
      <c r="I441" s="63">
        <v>280</v>
      </c>
      <c r="J441" s="33" t="s">
        <v>436</v>
      </c>
      <c r="K441" s="65">
        <v>46001</v>
      </c>
      <c r="L441" s="33">
        <v>2025404444</v>
      </c>
      <c r="M441" s="62" t="s">
        <v>222</v>
      </c>
      <c r="N441" s="33">
        <v>2025</v>
      </c>
    </row>
    <row r="442" spans="1:14">
      <c r="A442" s="33">
        <v>441</v>
      </c>
      <c r="B442" s="33" t="s">
        <v>42</v>
      </c>
      <c r="C442" s="33" t="s">
        <v>49</v>
      </c>
      <c r="D442" s="33" t="s">
        <v>60</v>
      </c>
      <c r="E442" s="33" t="s">
        <v>71</v>
      </c>
      <c r="F442" s="33"/>
      <c r="G442" s="33" t="s">
        <v>124</v>
      </c>
      <c r="H442" s="66" t="s">
        <v>118</v>
      </c>
      <c r="I442" s="67">
        <v>510</v>
      </c>
      <c r="J442" s="33" t="s">
        <v>437</v>
      </c>
      <c r="K442" s="65">
        <v>46001</v>
      </c>
      <c r="L442" s="68">
        <v>2025404458</v>
      </c>
      <c r="M442" s="62" t="s">
        <v>222</v>
      </c>
      <c r="N442" s="33">
        <v>2025</v>
      </c>
    </row>
    <row r="443" spans="1:14">
      <c r="A443" s="33">
        <v>442</v>
      </c>
      <c r="B443" s="33" t="s">
        <v>17</v>
      </c>
      <c r="C443" s="33" t="s">
        <v>25</v>
      </c>
      <c r="D443" s="33" t="s">
        <v>60</v>
      </c>
      <c r="E443" s="33" t="s">
        <v>71</v>
      </c>
      <c r="F443" s="33"/>
      <c r="G443" s="33" t="s">
        <v>124</v>
      </c>
      <c r="H443" s="66" t="s">
        <v>118</v>
      </c>
      <c r="I443" s="67">
        <v>768.9</v>
      </c>
      <c r="J443" s="33" t="s">
        <v>438</v>
      </c>
      <c r="K443" s="65">
        <v>46001</v>
      </c>
      <c r="L443" s="68">
        <v>2025404466</v>
      </c>
      <c r="M443" s="62" t="s">
        <v>222</v>
      </c>
      <c r="N443" s="33">
        <v>2025</v>
      </c>
    </row>
    <row r="444" spans="1:14">
      <c r="A444" s="33">
        <v>443</v>
      </c>
      <c r="B444" s="33" t="s">
        <v>35</v>
      </c>
      <c r="C444" s="33" t="s">
        <v>37</v>
      </c>
      <c r="D444" s="33" t="s">
        <v>60</v>
      </c>
      <c r="E444" s="33" t="s">
        <v>71</v>
      </c>
      <c r="F444" s="33"/>
      <c r="G444" s="33" t="s">
        <v>124</v>
      </c>
      <c r="H444" s="66" t="s">
        <v>118</v>
      </c>
      <c r="I444" s="67">
        <v>479.6</v>
      </c>
      <c r="J444" s="33" t="s">
        <v>439</v>
      </c>
      <c r="K444" s="65">
        <v>46001</v>
      </c>
      <c r="L444" s="68">
        <v>2025404457</v>
      </c>
      <c r="M444" s="62" t="s">
        <v>222</v>
      </c>
      <c r="N444" s="33">
        <v>2025</v>
      </c>
    </row>
    <row r="445" spans="1:14">
      <c r="A445" s="33">
        <v>444</v>
      </c>
      <c r="B445" s="33" t="s">
        <v>17</v>
      </c>
      <c r="C445" s="33" t="s">
        <v>25</v>
      </c>
      <c r="D445" s="33" t="s">
        <v>60</v>
      </c>
      <c r="E445" s="33" t="s">
        <v>71</v>
      </c>
      <c r="F445" s="33"/>
      <c r="G445" s="33" t="s">
        <v>124</v>
      </c>
      <c r="H445" s="66" t="s">
        <v>118</v>
      </c>
      <c r="I445" s="67">
        <v>1829.5</v>
      </c>
      <c r="J445" s="33" t="s">
        <v>440</v>
      </c>
      <c r="K445" s="65">
        <v>46001</v>
      </c>
      <c r="L445" s="68">
        <v>2025404345</v>
      </c>
      <c r="M445" s="62" t="s">
        <v>222</v>
      </c>
      <c r="N445" s="33">
        <v>2025</v>
      </c>
    </row>
    <row r="446" spans="1:14">
      <c r="A446" s="33">
        <v>445</v>
      </c>
      <c r="B446" s="33" t="s">
        <v>35</v>
      </c>
      <c r="C446" s="33" t="s">
        <v>37</v>
      </c>
      <c r="D446" s="33" t="s">
        <v>60</v>
      </c>
      <c r="E446" s="33" t="s">
        <v>71</v>
      </c>
      <c r="F446" s="33"/>
      <c r="G446" s="33" t="s">
        <v>124</v>
      </c>
      <c r="H446" s="33" t="s">
        <v>118</v>
      </c>
      <c r="I446" s="67">
        <v>953.3</v>
      </c>
      <c r="J446" s="33" t="s">
        <v>441</v>
      </c>
      <c r="K446" s="65">
        <v>46001</v>
      </c>
      <c r="L446" s="68">
        <v>2025404434</v>
      </c>
      <c r="M446" s="62" t="s">
        <v>222</v>
      </c>
      <c r="N446" s="33">
        <v>2025</v>
      </c>
    </row>
    <row r="447" spans="1:14">
      <c r="A447" s="33">
        <v>446</v>
      </c>
      <c r="B447" s="33" t="s">
        <v>42</v>
      </c>
      <c r="C447" s="33" t="s">
        <v>46</v>
      </c>
      <c r="D447" s="33" t="s">
        <v>60</v>
      </c>
      <c r="E447" s="33" t="s">
        <v>71</v>
      </c>
      <c r="F447" s="33"/>
      <c r="G447" s="33" t="s">
        <v>124</v>
      </c>
      <c r="H447" s="66" t="s">
        <v>118</v>
      </c>
      <c r="I447" s="67">
        <v>210.8</v>
      </c>
      <c r="J447" s="33" t="s">
        <v>442</v>
      </c>
      <c r="K447" s="65">
        <v>46001</v>
      </c>
      <c r="L447" s="68">
        <v>2025404315</v>
      </c>
      <c r="M447" s="62" t="s">
        <v>222</v>
      </c>
      <c r="N447" s="33">
        <v>2025</v>
      </c>
    </row>
    <row r="448" spans="1:14">
      <c r="A448" s="33">
        <v>447</v>
      </c>
      <c r="B448" s="33" t="s">
        <v>17</v>
      </c>
      <c r="C448" s="33" t="s">
        <v>24</v>
      </c>
      <c r="D448" s="33" t="s">
        <v>60</v>
      </c>
      <c r="E448" s="33" t="s">
        <v>71</v>
      </c>
      <c r="F448" s="33"/>
      <c r="G448" s="33" t="s">
        <v>124</v>
      </c>
      <c r="H448" s="66" t="s">
        <v>118</v>
      </c>
      <c r="I448" s="67">
        <v>1592.9</v>
      </c>
      <c r="J448" s="33" t="s">
        <v>444</v>
      </c>
      <c r="K448" s="65">
        <v>46005</v>
      </c>
      <c r="L448" s="68">
        <v>2025404537</v>
      </c>
      <c r="M448" s="62" t="s">
        <v>222</v>
      </c>
      <c r="N448" s="33">
        <v>2025</v>
      </c>
    </row>
    <row r="449" spans="1:14">
      <c r="A449" s="33">
        <v>448</v>
      </c>
      <c r="B449" s="33" t="s">
        <v>52</v>
      </c>
      <c r="C449" s="122" t="s">
        <v>62</v>
      </c>
      <c r="D449" s="33" t="s">
        <v>60</v>
      </c>
      <c r="E449" s="33" t="s">
        <v>71</v>
      </c>
      <c r="F449" s="33"/>
      <c r="G449" s="33" t="s">
        <v>124</v>
      </c>
      <c r="H449" s="33" t="s">
        <v>118</v>
      </c>
      <c r="I449" s="67">
        <v>480</v>
      </c>
      <c r="J449" s="33" t="s">
        <v>446</v>
      </c>
      <c r="K449" s="65">
        <v>46001</v>
      </c>
      <c r="L449" s="68">
        <v>2025404431</v>
      </c>
      <c r="M449" s="62" t="s">
        <v>222</v>
      </c>
      <c r="N449" s="33">
        <v>2025</v>
      </c>
    </row>
    <row r="450" spans="1:14">
      <c r="A450" s="33">
        <v>449</v>
      </c>
      <c r="B450" s="33" t="s">
        <v>52</v>
      </c>
      <c r="C450" s="122" t="s">
        <v>62</v>
      </c>
      <c r="D450" s="33" t="s">
        <v>60</v>
      </c>
      <c r="E450" s="33" t="s">
        <v>71</v>
      </c>
      <c r="F450" s="33"/>
      <c r="G450" s="33" t="s">
        <v>124</v>
      </c>
      <c r="H450" s="66" t="s">
        <v>118</v>
      </c>
      <c r="I450" s="67">
        <v>3301.5</v>
      </c>
      <c r="J450" s="33" t="s">
        <v>447</v>
      </c>
      <c r="K450" s="65">
        <v>46004</v>
      </c>
      <c r="L450" s="68">
        <v>2025404530</v>
      </c>
      <c r="M450" s="62" t="s">
        <v>222</v>
      </c>
      <c r="N450" s="33">
        <v>2025</v>
      </c>
    </row>
    <row r="451" spans="1:14">
      <c r="A451" s="33">
        <v>450</v>
      </c>
      <c r="B451" s="33" t="s">
        <v>17</v>
      </c>
      <c r="C451" s="33" t="s">
        <v>24</v>
      </c>
      <c r="D451" s="33" t="s">
        <v>60</v>
      </c>
      <c r="E451" s="33" t="s">
        <v>71</v>
      </c>
      <c r="F451" s="33"/>
      <c r="G451" s="33" t="s">
        <v>124</v>
      </c>
      <c r="H451" s="33" t="s">
        <v>118</v>
      </c>
      <c r="I451" s="67">
        <v>57.5</v>
      </c>
      <c r="J451" s="33" t="s">
        <v>448</v>
      </c>
      <c r="K451" s="65">
        <v>46005</v>
      </c>
      <c r="L451" s="68">
        <v>2025404540</v>
      </c>
      <c r="M451" s="62" t="s">
        <v>222</v>
      </c>
      <c r="N451" s="33">
        <v>2025</v>
      </c>
    </row>
    <row r="452" spans="1:14">
      <c r="A452" s="33">
        <v>451</v>
      </c>
      <c r="B452" s="33" t="s">
        <v>54</v>
      </c>
      <c r="C452" s="33" t="s">
        <v>55</v>
      </c>
      <c r="D452" s="33" t="s">
        <v>60</v>
      </c>
      <c r="E452" s="33" t="s">
        <v>71</v>
      </c>
      <c r="F452" s="33"/>
      <c r="G452" s="33" t="s">
        <v>124</v>
      </c>
      <c r="H452" s="66" t="s">
        <v>118</v>
      </c>
      <c r="I452" s="67">
        <v>800</v>
      </c>
      <c r="J452" s="65" t="s">
        <v>460</v>
      </c>
      <c r="K452" s="65">
        <v>46004</v>
      </c>
      <c r="L452" s="68">
        <v>2025404527</v>
      </c>
      <c r="M452" s="62" t="s">
        <v>222</v>
      </c>
      <c r="N452" s="33">
        <v>2025</v>
      </c>
    </row>
    <row r="453" spans="1:14">
      <c r="A453" s="33">
        <v>452</v>
      </c>
      <c r="B453" s="33" t="s">
        <v>42</v>
      </c>
      <c r="C453" s="122" t="s">
        <v>285</v>
      </c>
      <c r="D453" s="33" t="s">
        <v>60</v>
      </c>
      <c r="E453" s="33" t="s">
        <v>71</v>
      </c>
      <c r="F453" s="33"/>
      <c r="G453" s="33" t="s">
        <v>124</v>
      </c>
      <c r="H453" s="66" t="s">
        <v>118</v>
      </c>
      <c r="I453" s="67">
        <v>192</v>
      </c>
      <c r="J453" s="33" t="s">
        <v>461</v>
      </c>
      <c r="K453" s="65">
        <v>46004</v>
      </c>
      <c r="L453" s="68">
        <v>2025404528</v>
      </c>
      <c r="M453" s="62" t="s">
        <v>222</v>
      </c>
      <c r="N453" s="33">
        <v>2025</v>
      </c>
    </row>
    <row r="454" spans="1:14">
      <c r="A454" s="33">
        <v>453</v>
      </c>
      <c r="B454" s="33" t="s">
        <v>17</v>
      </c>
      <c r="C454" s="33" t="s">
        <v>24</v>
      </c>
      <c r="D454" s="33" t="s">
        <v>60</v>
      </c>
      <c r="E454" s="33" t="s">
        <v>71</v>
      </c>
      <c r="F454" s="33"/>
      <c r="G454" s="33" t="s">
        <v>124</v>
      </c>
      <c r="H454" s="66" t="s">
        <v>118</v>
      </c>
      <c r="I454" s="67">
        <v>155</v>
      </c>
      <c r="J454" s="33" t="s">
        <v>462</v>
      </c>
      <c r="K454" s="65">
        <v>46004</v>
      </c>
      <c r="L454" s="68">
        <v>2025404538</v>
      </c>
      <c r="M454" s="62" t="s">
        <v>222</v>
      </c>
      <c r="N454" s="33">
        <v>2025</v>
      </c>
    </row>
    <row r="455" spans="1:14">
      <c r="A455" s="33">
        <v>454</v>
      </c>
      <c r="B455" s="33" t="s">
        <v>52</v>
      </c>
      <c r="C455" s="122" t="s">
        <v>62</v>
      </c>
      <c r="D455" s="33" t="s">
        <v>60</v>
      </c>
      <c r="E455" s="33" t="s">
        <v>71</v>
      </c>
      <c r="F455" s="33"/>
      <c r="G455" s="33" t="s">
        <v>124</v>
      </c>
      <c r="H455" s="66" t="s">
        <v>118</v>
      </c>
      <c r="I455" s="70">
        <v>170</v>
      </c>
      <c r="J455" s="33" t="s">
        <v>463</v>
      </c>
      <c r="K455" s="65">
        <v>46004</v>
      </c>
      <c r="L455" s="68">
        <v>2025404539</v>
      </c>
      <c r="M455" s="33" t="s">
        <v>222</v>
      </c>
      <c r="N455" s="33">
        <v>2025</v>
      </c>
    </row>
    <row r="456" spans="1:14">
      <c r="A456" s="33">
        <v>455</v>
      </c>
      <c r="B456" s="62" t="s">
        <v>52</v>
      </c>
      <c r="C456" s="127" t="s">
        <v>62</v>
      </c>
      <c r="D456" s="33" t="s">
        <v>60</v>
      </c>
      <c r="E456" s="33" t="s">
        <v>71</v>
      </c>
      <c r="F456" s="33"/>
      <c r="G456" s="33" t="s">
        <v>124</v>
      </c>
      <c r="H456" s="33" t="s">
        <v>118</v>
      </c>
      <c r="I456" s="67">
        <v>2050</v>
      </c>
      <c r="J456" s="65" t="s">
        <v>464</v>
      </c>
      <c r="K456" s="65">
        <v>46004</v>
      </c>
      <c r="L456" s="68">
        <v>2025404521</v>
      </c>
      <c r="M456" s="62" t="s">
        <v>222</v>
      </c>
      <c r="N456" s="33">
        <v>2025</v>
      </c>
    </row>
    <row r="457" spans="1:14">
      <c r="A457" s="33">
        <v>456</v>
      </c>
      <c r="B457" s="71" t="s">
        <v>42</v>
      </c>
      <c r="C457" s="122" t="s">
        <v>285</v>
      </c>
      <c r="D457" s="33" t="s">
        <v>60</v>
      </c>
      <c r="E457" s="33" t="s">
        <v>71</v>
      </c>
      <c r="F457" s="33"/>
      <c r="G457" s="33" t="s">
        <v>124</v>
      </c>
      <c r="H457" s="33" t="s">
        <v>118</v>
      </c>
      <c r="I457" s="70">
        <v>1277</v>
      </c>
      <c r="J457" s="33" t="s">
        <v>465</v>
      </c>
      <c r="K457" s="65">
        <v>46004</v>
      </c>
      <c r="L457" s="33">
        <v>2025404489</v>
      </c>
      <c r="M457" s="62" t="s">
        <v>222</v>
      </c>
      <c r="N457" s="33">
        <v>2025</v>
      </c>
    </row>
    <row r="458" spans="1:14">
      <c r="A458" s="33">
        <v>457</v>
      </c>
      <c r="B458" s="62" t="s">
        <v>17</v>
      </c>
      <c r="C458" s="33" t="s">
        <v>22</v>
      </c>
      <c r="D458" s="33" t="s">
        <v>60</v>
      </c>
      <c r="E458" s="33" t="s">
        <v>71</v>
      </c>
      <c r="F458" s="33"/>
      <c r="G458" s="62" t="s">
        <v>124</v>
      </c>
      <c r="H458" s="62" t="s">
        <v>118</v>
      </c>
      <c r="I458" s="70">
        <v>416</v>
      </c>
      <c r="J458" s="33" t="s">
        <v>466</v>
      </c>
      <c r="K458" s="65">
        <v>46005</v>
      </c>
      <c r="L458" s="33">
        <v>2025404491</v>
      </c>
      <c r="M458" s="62" t="s">
        <v>222</v>
      </c>
      <c r="N458" s="33">
        <v>2025</v>
      </c>
    </row>
    <row r="459" spans="1:14">
      <c r="A459" s="33">
        <v>458</v>
      </c>
      <c r="B459" s="62" t="s">
        <v>42</v>
      </c>
      <c r="C459" s="122" t="s">
        <v>285</v>
      </c>
      <c r="D459" s="33" t="s">
        <v>60</v>
      </c>
      <c r="E459" s="33" t="s">
        <v>71</v>
      </c>
      <c r="F459" s="33"/>
      <c r="G459" s="62" t="s">
        <v>124</v>
      </c>
      <c r="H459" s="62" t="s">
        <v>118</v>
      </c>
      <c r="I459" s="70">
        <v>1097.5</v>
      </c>
      <c r="J459" s="33" t="s">
        <v>475</v>
      </c>
      <c r="K459" s="65">
        <v>46004</v>
      </c>
      <c r="L459" s="33">
        <v>2025404494</v>
      </c>
      <c r="M459" s="62" t="s">
        <v>222</v>
      </c>
      <c r="N459" s="33">
        <v>2025</v>
      </c>
    </row>
    <row r="460" spans="1:14">
      <c r="A460" s="33">
        <v>459</v>
      </c>
      <c r="B460" s="62" t="s">
        <v>35</v>
      </c>
      <c r="C460" s="33" t="s">
        <v>37</v>
      </c>
      <c r="D460" s="33" t="s">
        <v>60</v>
      </c>
      <c r="E460" s="33" t="s">
        <v>71</v>
      </c>
      <c r="F460" s="33"/>
      <c r="G460" s="62" t="s">
        <v>124</v>
      </c>
      <c r="H460" s="62" t="s">
        <v>118</v>
      </c>
      <c r="I460" s="70">
        <v>100</v>
      </c>
      <c r="J460" s="33" t="s">
        <v>476</v>
      </c>
      <c r="K460" s="65">
        <v>45994</v>
      </c>
      <c r="L460" s="33">
        <v>2025404410</v>
      </c>
      <c r="M460" s="62" t="s">
        <v>222</v>
      </c>
      <c r="N460" s="33">
        <v>2025</v>
      </c>
    </row>
    <row r="461" spans="1:14">
      <c r="A461" s="33">
        <v>460</v>
      </c>
      <c r="B461" s="62" t="s">
        <v>35</v>
      </c>
      <c r="C461" s="33" t="s">
        <v>37</v>
      </c>
      <c r="D461" s="33" t="s">
        <v>60</v>
      </c>
      <c r="E461" s="33" t="s">
        <v>71</v>
      </c>
      <c r="F461" s="33"/>
      <c r="G461" s="62" t="s">
        <v>124</v>
      </c>
      <c r="H461" s="62" t="s">
        <v>118</v>
      </c>
      <c r="I461" s="70">
        <v>1860.5</v>
      </c>
      <c r="J461" s="33" t="s">
        <v>477</v>
      </c>
      <c r="K461" s="65">
        <v>45994</v>
      </c>
      <c r="L461" s="33">
        <v>2025404409</v>
      </c>
      <c r="M461" s="62" t="s">
        <v>222</v>
      </c>
      <c r="N461" s="33">
        <v>2025</v>
      </c>
    </row>
    <row r="462" spans="1:14">
      <c r="A462" s="33">
        <v>461</v>
      </c>
      <c r="B462" s="62" t="s">
        <v>42</v>
      </c>
      <c r="C462" s="122" t="s">
        <v>285</v>
      </c>
      <c r="D462" s="33" t="s">
        <v>60</v>
      </c>
      <c r="E462" s="33" t="s">
        <v>71</v>
      </c>
      <c r="F462" s="33"/>
      <c r="G462" s="62" t="s">
        <v>124</v>
      </c>
      <c r="H462" s="62" t="s">
        <v>118</v>
      </c>
      <c r="I462" s="70">
        <v>182</v>
      </c>
      <c r="J462" s="33" t="s">
        <v>478</v>
      </c>
      <c r="K462" s="65">
        <v>46005</v>
      </c>
      <c r="L462" s="33">
        <v>2025404532</v>
      </c>
      <c r="M462" s="62" t="s">
        <v>222</v>
      </c>
      <c r="N462" s="33">
        <v>2025</v>
      </c>
    </row>
    <row r="463" spans="1:14">
      <c r="A463" s="33">
        <v>462</v>
      </c>
      <c r="B463" s="33" t="s">
        <v>54</v>
      </c>
      <c r="C463" s="33" t="s">
        <v>55</v>
      </c>
      <c r="D463" s="33" t="s">
        <v>60</v>
      </c>
      <c r="E463" s="33" t="s">
        <v>71</v>
      </c>
      <c r="F463" s="33"/>
      <c r="G463" s="33" t="s">
        <v>124</v>
      </c>
      <c r="H463" s="33" t="s">
        <v>118</v>
      </c>
      <c r="I463" s="70">
        <v>640</v>
      </c>
      <c r="J463" s="72" t="s">
        <v>483</v>
      </c>
      <c r="K463" s="65">
        <v>46004</v>
      </c>
      <c r="L463" s="33">
        <v>2025404498</v>
      </c>
      <c r="M463" s="33" t="s">
        <v>222</v>
      </c>
      <c r="N463" s="33">
        <v>2025</v>
      </c>
    </row>
    <row r="464" spans="1:14">
      <c r="A464" s="33">
        <v>463</v>
      </c>
      <c r="B464" s="33" t="s">
        <v>17</v>
      </c>
      <c r="C464" s="33" t="s">
        <v>92</v>
      </c>
      <c r="D464" s="33" t="s">
        <v>60</v>
      </c>
      <c r="E464" s="33" t="s">
        <v>71</v>
      </c>
      <c r="F464" s="33"/>
      <c r="G464" s="33" t="s">
        <v>124</v>
      </c>
      <c r="H464" s="33" t="s">
        <v>118</v>
      </c>
      <c r="I464" s="70">
        <v>75</v>
      </c>
      <c r="J464" s="33" t="s">
        <v>484</v>
      </c>
      <c r="K464" s="65">
        <v>46004</v>
      </c>
      <c r="L464" s="33">
        <v>2025404526</v>
      </c>
      <c r="M464" s="33" t="s">
        <v>222</v>
      </c>
      <c r="N464" s="33">
        <v>2025</v>
      </c>
    </row>
    <row r="465" spans="1:14">
      <c r="A465" s="33">
        <v>464</v>
      </c>
      <c r="B465" s="33" t="s">
        <v>35</v>
      </c>
      <c r="C465" s="33" t="s">
        <v>36</v>
      </c>
      <c r="D465" s="33" t="s">
        <v>60</v>
      </c>
      <c r="E465" s="33" t="s">
        <v>71</v>
      </c>
      <c r="F465" s="33"/>
      <c r="G465" s="33" t="s">
        <v>124</v>
      </c>
      <c r="H465" s="33" t="s">
        <v>118</v>
      </c>
      <c r="I465" s="70">
        <v>545.79999999999995</v>
      </c>
      <c r="J465" s="33" t="s">
        <v>485</v>
      </c>
      <c r="K465" s="65">
        <v>46009</v>
      </c>
      <c r="L465" s="33">
        <v>2025404591</v>
      </c>
      <c r="M465" s="33" t="s">
        <v>222</v>
      </c>
      <c r="N465" s="33">
        <v>2025</v>
      </c>
    </row>
    <row r="466" spans="1:14">
      <c r="A466" s="33">
        <v>465</v>
      </c>
      <c r="B466" s="71" t="s">
        <v>17</v>
      </c>
      <c r="C466" s="71" t="s">
        <v>25</v>
      </c>
      <c r="D466" s="33" t="s">
        <v>60</v>
      </c>
      <c r="E466" s="33" t="s">
        <v>71</v>
      </c>
      <c r="F466" s="33"/>
      <c r="G466" s="33" t="s">
        <v>124</v>
      </c>
      <c r="H466" s="33" t="s">
        <v>118</v>
      </c>
      <c r="I466" s="70">
        <v>1420</v>
      </c>
      <c r="J466" s="33" t="s">
        <v>486</v>
      </c>
      <c r="K466" s="65">
        <v>46009</v>
      </c>
      <c r="L466" s="33">
        <v>2025404589</v>
      </c>
      <c r="M466" s="33" t="s">
        <v>222</v>
      </c>
      <c r="N466" s="33">
        <v>2025</v>
      </c>
    </row>
    <row r="467" spans="1:14">
      <c r="A467" s="33">
        <v>466</v>
      </c>
      <c r="B467" s="33" t="s">
        <v>35</v>
      </c>
      <c r="C467" s="33" t="s">
        <v>36</v>
      </c>
      <c r="D467" s="33" t="s">
        <v>60</v>
      </c>
      <c r="E467" s="74" t="s">
        <v>71</v>
      </c>
      <c r="F467" s="33"/>
      <c r="G467" s="33" t="s">
        <v>124</v>
      </c>
      <c r="H467" s="33" t="s">
        <v>118</v>
      </c>
      <c r="I467" s="70">
        <v>331</v>
      </c>
      <c r="J467" s="33" t="s">
        <v>487</v>
      </c>
      <c r="K467" s="65">
        <v>46009</v>
      </c>
      <c r="L467" s="33">
        <v>2025404583</v>
      </c>
      <c r="M467" s="64" t="s">
        <v>222</v>
      </c>
      <c r="N467" s="33">
        <v>2025</v>
      </c>
    </row>
    <row r="468" spans="1:14">
      <c r="A468" s="33">
        <v>467</v>
      </c>
      <c r="B468" s="33" t="s">
        <v>35</v>
      </c>
      <c r="C468" s="33" t="s">
        <v>36</v>
      </c>
      <c r="D468" s="33" t="s">
        <v>60</v>
      </c>
      <c r="E468" s="74" t="s">
        <v>71</v>
      </c>
      <c r="F468" s="33"/>
      <c r="G468" s="33" t="s">
        <v>124</v>
      </c>
      <c r="H468" s="73" t="s">
        <v>118</v>
      </c>
      <c r="I468" s="70">
        <v>202</v>
      </c>
      <c r="J468" s="33" t="s">
        <v>488</v>
      </c>
      <c r="K468" s="65">
        <v>46009</v>
      </c>
      <c r="L468" s="33">
        <v>2025404592</v>
      </c>
      <c r="M468" s="64" t="s">
        <v>222</v>
      </c>
      <c r="N468" s="33">
        <v>2025</v>
      </c>
    </row>
    <row r="469" spans="1:14">
      <c r="A469" s="33">
        <v>468</v>
      </c>
      <c r="B469" s="33" t="s">
        <v>42</v>
      </c>
      <c r="C469" s="33" t="s">
        <v>50</v>
      </c>
      <c r="D469" s="33" t="s">
        <v>60</v>
      </c>
      <c r="E469" s="74" t="s">
        <v>71</v>
      </c>
      <c r="F469" s="33"/>
      <c r="G469" s="33" t="s">
        <v>124</v>
      </c>
      <c r="H469" s="73" t="s">
        <v>118</v>
      </c>
      <c r="I469" s="70">
        <v>580</v>
      </c>
      <c r="J469" s="33" t="s">
        <v>489</v>
      </c>
      <c r="K469" s="65">
        <v>46009</v>
      </c>
      <c r="L469" s="33">
        <v>2025404593</v>
      </c>
      <c r="M469" s="64" t="s">
        <v>222</v>
      </c>
      <c r="N469" s="33">
        <v>2025</v>
      </c>
    </row>
    <row r="470" spans="1:14">
      <c r="A470" s="33">
        <v>469</v>
      </c>
      <c r="B470" s="33" t="s">
        <v>42</v>
      </c>
      <c r="C470" s="33" t="s">
        <v>50</v>
      </c>
      <c r="D470" s="33" t="s">
        <v>60</v>
      </c>
      <c r="E470" s="33" t="s">
        <v>71</v>
      </c>
      <c r="F470" s="33"/>
      <c r="G470" s="33" t="s">
        <v>124</v>
      </c>
      <c r="H470" s="73" t="s">
        <v>118</v>
      </c>
      <c r="I470" s="70">
        <v>560</v>
      </c>
      <c r="J470" s="33" t="s">
        <v>490</v>
      </c>
      <c r="K470" s="65">
        <v>46009</v>
      </c>
      <c r="L470" s="33">
        <v>2025404590</v>
      </c>
      <c r="M470" s="64" t="s">
        <v>222</v>
      </c>
      <c r="N470" s="33">
        <v>2025</v>
      </c>
    </row>
    <row r="471" spans="1:14">
      <c r="A471" s="33">
        <v>470</v>
      </c>
      <c r="B471" s="33" t="s">
        <v>42</v>
      </c>
      <c r="C471" s="33" t="s">
        <v>607</v>
      </c>
      <c r="D471" s="33" t="s">
        <v>60</v>
      </c>
      <c r="E471" s="74" t="s">
        <v>71</v>
      </c>
      <c r="F471" s="33"/>
      <c r="G471" s="33" t="s">
        <v>124</v>
      </c>
      <c r="H471" s="33" t="s">
        <v>118</v>
      </c>
      <c r="I471" s="70">
        <v>661.2</v>
      </c>
      <c r="J471" s="33" t="s">
        <v>491</v>
      </c>
      <c r="K471" s="65">
        <v>46009</v>
      </c>
      <c r="L471" s="33">
        <v>2025404584</v>
      </c>
      <c r="M471" s="64" t="s">
        <v>222</v>
      </c>
      <c r="N471" s="33">
        <v>2025</v>
      </c>
    </row>
    <row r="472" spans="1:14">
      <c r="A472" s="33">
        <v>471</v>
      </c>
      <c r="B472" s="33" t="s">
        <v>54</v>
      </c>
      <c r="C472" s="33" t="s">
        <v>95</v>
      </c>
      <c r="D472" s="33" t="s">
        <v>60</v>
      </c>
      <c r="E472" s="74" t="s">
        <v>71</v>
      </c>
      <c r="F472" s="33"/>
      <c r="G472" s="33" t="s">
        <v>124</v>
      </c>
      <c r="H472" s="33" t="s">
        <v>118</v>
      </c>
      <c r="I472" s="70">
        <v>210</v>
      </c>
      <c r="J472" s="33" t="s">
        <v>492</v>
      </c>
      <c r="K472" s="65">
        <v>46009</v>
      </c>
      <c r="L472" s="33">
        <v>2025404597</v>
      </c>
      <c r="M472" s="64" t="s">
        <v>222</v>
      </c>
      <c r="N472" s="33">
        <v>2025</v>
      </c>
    </row>
    <row r="473" spans="1:14">
      <c r="A473" s="33">
        <v>472</v>
      </c>
      <c r="B473" s="33" t="s">
        <v>54</v>
      </c>
      <c r="C473" s="33" t="s">
        <v>95</v>
      </c>
      <c r="D473" s="33" t="s">
        <v>60</v>
      </c>
      <c r="E473" s="74" t="s">
        <v>71</v>
      </c>
      <c r="F473" s="33"/>
      <c r="G473" s="33" t="s">
        <v>124</v>
      </c>
      <c r="H473" s="33" t="s">
        <v>118</v>
      </c>
      <c r="I473" s="70">
        <v>2281</v>
      </c>
      <c r="J473" s="33" t="s">
        <v>493</v>
      </c>
      <c r="K473" s="65">
        <v>46009</v>
      </c>
      <c r="L473" s="33">
        <v>2025404582</v>
      </c>
      <c r="M473" s="64" t="s">
        <v>222</v>
      </c>
      <c r="N473" s="33">
        <v>2025</v>
      </c>
    </row>
    <row r="474" spans="1:14">
      <c r="A474" s="33">
        <v>473</v>
      </c>
      <c r="B474" s="33" t="s">
        <v>35</v>
      </c>
      <c r="C474" s="33" t="s">
        <v>37</v>
      </c>
      <c r="D474" s="33" t="s">
        <v>60</v>
      </c>
      <c r="E474" s="74" t="s">
        <v>71</v>
      </c>
      <c r="F474" s="33"/>
      <c r="G474" s="33" t="s">
        <v>124</v>
      </c>
      <c r="H474" s="33" t="s">
        <v>118</v>
      </c>
      <c r="I474" s="70">
        <v>693.2</v>
      </c>
      <c r="J474" s="33" t="s">
        <v>494</v>
      </c>
      <c r="K474" s="65">
        <v>46009</v>
      </c>
      <c r="L474" s="33">
        <v>2025404601</v>
      </c>
      <c r="M474" s="64" t="s">
        <v>222</v>
      </c>
      <c r="N474" s="33">
        <v>2025</v>
      </c>
    </row>
    <row r="475" spans="1:14">
      <c r="A475" s="33">
        <v>474</v>
      </c>
      <c r="B475" s="33" t="s">
        <v>42</v>
      </c>
      <c r="C475" s="33" t="s">
        <v>43</v>
      </c>
      <c r="D475" s="33" t="s">
        <v>60</v>
      </c>
      <c r="E475" s="33" t="s">
        <v>71</v>
      </c>
      <c r="F475" s="33"/>
      <c r="G475" s="33" t="s">
        <v>124</v>
      </c>
      <c r="H475" s="33" t="s">
        <v>118</v>
      </c>
      <c r="I475" s="70">
        <v>2074</v>
      </c>
      <c r="J475" s="33" t="s">
        <v>495</v>
      </c>
      <c r="K475" s="65">
        <v>46009</v>
      </c>
      <c r="L475" s="33">
        <v>2025404602</v>
      </c>
      <c r="M475" s="64" t="s">
        <v>222</v>
      </c>
      <c r="N475" s="33">
        <v>2025</v>
      </c>
    </row>
    <row r="476" spans="1:14">
      <c r="A476" s="33">
        <v>475</v>
      </c>
      <c r="B476" s="33" t="s">
        <v>54</v>
      </c>
      <c r="C476" s="33" t="s">
        <v>95</v>
      </c>
      <c r="D476" s="33" t="s">
        <v>60</v>
      </c>
      <c r="E476" s="74" t="s">
        <v>71</v>
      </c>
      <c r="F476" s="33"/>
      <c r="G476" s="33" t="s">
        <v>124</v>
      </c>
      <c r="H476" s="33" t="s">
        <v>118</v>
      </c>
      <c r="I476" s="70">
        <v>230</v>
      </c>
      <c r="J476" s="33" t="s">
        <v>496</v>
      </c>
      <c r="K476" s="65">
        <v>46009</v>
      </c>
      <c r="L476" s="33">
        <v>2025404611</v>
      </c>
      <c r="M476" s="64" t="s">
        <v>222</v>
      </c>
      <c r="N476" s="33">
        <v>2025</v>
      </c>
    </row>
    <row r="477" spans="1:14">
      <c r="A477" s="33">
        <v>476</v>
      </c>
      <c r="B477" s="33" t="s">
        <v>42</v>
      </c>
      <c r="C477" s="33" t="s">
        <v>47</v>
      </c>
      <c r="D477" s="33" t="s">
        <v>60</v>
      </c>
      <c r="E477" s="74" t="s">
        <v>71</v>
      </c>
      <c r="F477" s="33"/>
      <c r="G477" s="33" t="s">
        <v>124</v>
      </c>
      <c r="H477" s="64" t="s">
        <v>118</v>
      </c>
      <c r="I477" s="70">
        <v>96</v>
      </c>
      <c r="J477" s="33" t="s">
        <v>497</v>
      </c>
      <c r="K477" s="65">
        <v>46009</v>
      </c>
      <c r="L477" s="33">
        <v>2025404569</v>
      </c>
      <c r="M477" s="64" t="s">
        <v>222</v>
      </c>
      <c r="N477" s="33">
        <v>2025</v>
      </c>
    </row>
    <row r="478" spans="1:14">
      <c r="A478" s="33">
        <v>477</v>
      </c>
      <c r="B478" s="33" t="s">
        <v>42</v>
      </c>
      <c r="C478" s="122" t="s">
        <v>285</v>
      </c>
      <c r="D478" s="33" t="s">
        <v>60</v>
      </c>
      <c r="E478" s="33" t="s">
        <v>71</v>
      </c>
      <c r="F478" s="33"/>
      <c r="G478" s="33" t="s">
        <v>124</v>
      </c>
      <c r="H478" s="73" t="s">
        <v>118</v>
      </c>
      <c r="I478" s="70">
        <v>50</v>
      </c>
      <c r="J478" s="33" t="s">
        <v>498</v>
      </c>
      <c r="K478" s="65">
        <v>46009</v>
      </c>
      <c r="L478" s="33">
        <v>2025404608</v>
      </c>
      <c r="M478" s="64" t="s">
        <v>222</v>
      </c>
      <c r="N478" s="33">
        <v>2025</v>
      </c>
    </row>
    <row r="479" spans="1:14">
      <c r="A479" s="33">
        <v>478</v>
      </c>
      <c r="B479" s="74" t="s">
        <v>42</v>
      </c>
      <c r="C479" s="122" t="s">
        <v>285</v>
      </c>
      <c r="D479" s="33" t="s">
        <v>60</v>
      </c>
      <c r="E479" s="74" t="s">
        <v>71</v>
      </c>
      <c r="F479" s="33"/>
      <c r="G479" s="74" t="s">
        <v>124</v>
      </c>
      <c r="H479" s="33" t="s">
        <v>118</v>
      </c>
      <c r="I479" s="70">
        <v>395.2</v>
      </c>
      <c r="J479" s="33" t="s">
        <v>499</v>
      </c>
      <c r="K479" s="65">
        <v>46009</v>
      </c>
      <c r="L479" s="33">
        <v>2025404567</v>
      </c>
      <c r="M479" s="64" t="s">
        <v>222</v>
      </c>
      <c r="N479" s="33">
        <v>2025</v>
      </c>
    </row>
    <row r="480" spans="1:14">
      <c r="A480" s="33">
        <v>479</v>
      </c>
      <c r="B480" s="33" t="s">
        <v>17</v>
      </c>
      <c r="C480" s="33" t="s">
        <v>25</v>
      </c>
      <c r="D480" s="33" t="s">
        <v>60</v>
      </c>
      <c r="E480" s="74" t="s">
        <v>71</v>
      </c>
      <c r="F480" s="33"/>
      <c r="G480" s="33" t="s">
        <v>124</v>
      </c>
      <c r="H480" s="33" t="s">
        <v>118</v>
      </c>
      <c r="I480" s="70">
        <v>1110</v>
      </c>
      <c r="J480" s="33" t="s">
        <v>500</v>
      </c>
      <c r="K480" s="65">
        <v>46009</v>
      </c>
      <c r="L480" s="33">
        <v>2025404595</v>
      </c>
      <c r="M480" s="64" t="s">
        <v>222</v>
      </c>
      <c r="N480" s="33">
        <v>2025</v>
      </c>
    </row>
    <row r="481" spans="1:14">
      <c r="A481" s="33">
        <v>480</v>
      </c>
      <c r="B481" s="33" t="s">
        <v>54</v>
      </c>
      <c r="C481" s="33" t="s">
        <v>95</v>
      </c>
      <c r="D481" s="33" t="s">
        <v>60</v>
      </c>
      <c r="E481" s="74" t="s">
        <v>71</v>
      </c>
      <c r="F481" s="33"/>
      <c r="G481" s="33" t="s">
        <v>124</v>
      </c>
      <c r="H481" s="33" t="s">
        <v>118</v>
      </c>
      <c r="I481" s="70">
        <v>1600</v>
      </c>
      <c r="J481" s="33" t="s">
        <v>501</v>
      </c>
      <c r="K481" s="65">
        <v>46009</v>
      </c>
      <c r="L481" s="33">
        <v>2025404628</v>
      </c>
      <c r="M481" s="64" t="s">
        <v>222</v>
      </c>
      <c r="N481" s="33">
        <v>2025</v>
      </c>
    </row>
    <row r="482" spans="1:14">
      <c r="A482" s="33">
        <v>481</v>
      </c>
      <c r="B482" s="33" t="s">
        <v>42</v>
      </c>
      <c r="C482" s="33" t="s">
        <v>50</v>
      </c>
      <c r="D482" s="33" t="s">
        <v>60</v>
      </c>
      <c r="E482" s="33" t="s">
        <v>71</v>
      </c>
      <c r="F482" s="33"/>
      <c r="G482" s="33" t="s">
        <v>124</v>
      </c>
      <c r="H482" s="33" t="s">
        <v>118</v>
      </c>
      <c r="I482" s="70">
        <v>175</v>
      </c>
      <c r="J482" s="33" t="s">
        <v>502</v>
      </c>
      <c r="K482" s="65">
        <v>46012</v>
      </c>
      <c r="L482" s="33">
        <v>2025404609</v>
      </c>
      <c r="M482" s="64" t="s">
        <v>222</v>
      </c>
      <c r="N482" s="33">
        <v>2025</v>
      </c>
    </row>
    <row r="483" spans="1:14">
      <c r="A483" s="33">
        <v>482</v>
      </c>
      <c r="B483" s="33" t="s">
        <v>52</v>
      </c>
      <c r="C483" s="122" t="s">
        <v>62</v>
      </c>
      <c r="D483" s="33" t="s">
        <v>60</v>
      </c>
      <c r="E483" s="74" t="s">
        <v>71</v>
      </c>
      <c r="F483" s="33"/>
      <c r="G483" s="33" t="s">
        <v>124</v>
      </c>
      <c r="H483" s="33" t="s">
        <v>118</v>
      </c>
      <c r="I483" s="70">
        <v>701.8</v>
      </c>
      <c r="J483" s="33" t="s">
        <v>503</v>
      </c>
      <c r="K483" s="65">
        <v>46012</v>
      </c>
      <c r="L483" s="33">
        <v>2025404575</v>
      </c>
      <c r="M483" s="64" t="s">
        <v>222</v>
      </c>
      <c r="N483" s="33">
        <v>2025</v>
      </c>
    </row>
    <row r="484" spans="1:14">
      <c r="A484" s="33">
        <v>483</v>
      </c>
      <c r="B484" s="33" t="s">
        <v>54</v>
      </c>
      <c r="C484" s="33" t="s">
        <v>95</v>
      </c>
      <c r="D484" s="33" t="s">
        <v>60</v>
      </c>
      <c r="E484" s="74" t="s">
        <v>71</v>
      </c>
      <c r="F484" s="33"/>
      <c r="G484" s="33" t="s">
        <v>124</v>
      </c>
      <c r="H484" s="33" t="s">
        <v>118</v>
      </c>
      <c r="I484" s="70">
        <v>2250.6</v>
      </c>
      <c r="J484" s="33" t="s">
        <v>504</v>
      </c>
      <c r="K484" s="65">
        <v>46004</v>
      </c>
      <c r="L484" s="33">
        <v>2025404438</v>
      </c>
      <c r="M484" s="64" t="s">
        <v>222</v>
      </c>
      <c r="N484" s="33">
        <v>2025</v>
      </c>
    </row>
    <row r="485" spans="1:14">
      <c r="A485" s="33">
        <v>484</v>
      </c>
      <c r="B485" s="33" t="s">
        <v>42</v>
      </c>
      <c r="C485" s="122" t="s">
        <v>285</v>
      </c>
      <c r="D485" s="33" t="s">
        <v>60</v>
      </c>
      <c r="E485" s="74" t="s">
        <v>71</v>
      </c>
      <c r="F485" s="33"/>
      <c r="G485" s="33" t="s">
        <v>124</v>
      </c>
      <c r="H485" s="33" t="s">
        <v>118</v>
      </c>
      <c r="I485" s="70">
        <v>716.4</v>
      </c>
      <c r="J485" s="33" t="s">
        <v>511</v>
      </c>
      <c r="K485" s="65">
        <v>46018</v>
      </c>
      <c r="L485" s="33">
        <v>2025404680</v>
      </c>
      <c r="M485" s="64" t="s">
        <v>222</v>
      </c>
      <c r="N485" s="33">
        <v>2025</v>
      </c>
    </row>
    <row r="486" spans="1:14">
      <c r="A486" s="33">
        <v>485</v>
      </c>
      <c r="B486" s="33" t="s">
        <v>54</v>
      </c>
      <c r="C486" s="33" t="s">
        <v>55</v>
      </c>
      <c r="D486" s="33" t="s">
        <v>60</v>
      </c>
      <c r="E486" s="74" t="s">
        <v>71</v>
      </c>
      <c r="F486" s="33"/>
      <c r="G486" s="33" t="s">
        <v>124</v>
      </c>
      <c r="H486" s="33" t="s">
        <v>118</v>
      </c>
      <c r="I486" s="70">
        <v>860</v>
      </c>
      <c r="J486" s="33" t="s">
        <v>512</v>
      </c>
      <c r="K486" s="65">
        <v>46018</v>
      </c>
      <c r="L486" s="33">
        <v>2025404665</v>
      </c>
      <c r="M486" s="64" t="s">
        <v>222</v>
      </c>
      <c r="N486" s="33">
        <v>2025</v>
      </c>
    </row>
    <row r="487" spans="1:14">
      <c r="A487" s="33">
        <v>486</v>
      </c>
      <c r="B487" s="33" t="s">
        <v>54</v>
      </c>
      <c r="C487" s="33" t="s">
        <v>55</v>
      </c>
      <c r="D487" s="33" t="s">
        <v>60</v>
      </c>
      <c r="E487" s="74" t="s">
        <v>71</v>
      </c>
      <c r="F487" s="33"/>
      <c r="G487" s="33" t="s">
        <v>124</v>
      </c>
      <c r="H487" s="33" t="s">
        <v>118</v>
      </c>
      <c r="I487" s="70">
        <v>2600</v>
      </c>
      <c r="J487" s="33" t="s">
        <v>513</v>
      </c>
      <c r="K487" s="65">
        <v>46018</v>
      </c>
      <c r="L487" s="33">
        <v>2025404658</v>
      </c>
      <c r="M487" s="64" t="s">
        <v>222</v>
      </c>
      <c r="N487" s="33">
        <v>2025</v>
      </c>
    </row>
    <row r="488" spans="1:14">
      <c r="A488" s="33">
        <v>487</v>
      </c>
      <c r="B488" s="33" t="s">
        <v>52</v>
      </c>
      <c r="C488" s="122" t="s">
        <v>62</v>
      </c>
      <c r="D488" s="33" t="s">
        <v>60</v>
      </c>
      <c r="E488" s="74" t="s">
        <v>71</v>
      </c>
      <c r="F488" s="33"/>
      <c r="G488" s="33" t="s">
        <v>124</v>
      </c>
      <c r="H488" s="33" t="s">
        <v>118</v>
      </c>
      <c r="I488" s="70">
        <v>223</v>
      </c>
      <c r="J488" s="33" t="s">
        <v>514</v>
      </c>
      <c r="K488" s="65">
        <v>46018</v>
      </c>
      <c r="L488" s="33">
        <v>2025404661</v>
      </c>
      <c r="M488" s="64" t="s">
        <v>222</v>
      </c>
      <c r="N488" s="33">
        <v>2025</v>
      </c>
    </row>
    <row r="489" spans="1:14">
      <c r="A489" s="33">
        <v>488</v>
      </c>
      <c r="B489" s="33" t="s">
        <v>42</v>
      </c>
      <c r="C489" s="122" t="s">
        <v>285</v>
      </c>
      <c r="D489" s="33" t="s">
        <v>60</v>
      </c>
      <c r="E489" s="74" t="s">
        <v>71</v>
      </c>
      <c r="F489" s="33"/>
      <c r="G489" s="33" t="s">
        <v>124</v>
      </c>
      <c r="H489" s="33" t="s">
        <v>118</v>
      </c>
      <c r="I489" s="70">
        <v>560</v>
      </c>
      <c r="J489" s="33" t="s">
        <v>515</v>
      </c>
      <c r="K489" s="65">
        <v>46018</v>
      </c>
      <c r="L489" s="33">
        <v>2025404660</v>
      </c>
      <c r="M489" s="64" t="s">
        <v>222</v>
      </c>
      <c r="N489" s="33">
        <v>2025</v>
      </c>
    </row>
    <row r="490" spans="1:14">
      <c r="A490" s="33">
        <v>489</v>
      </c>
      <c r="B490" s="33" t="s">
        <v>17</v>
      </c>
      <c r="C490" s="33" t="s">
        <v>18</v>
      </c>
      <c r="D490" s="33" t="s">
        <v>60</v>
      </c>
      <c r="E490" s="74" t="s">
        <v>71</v>
      </c>
      <c r="F490" s="33"/>
      <c r="G490" s="33" t="s">
        <v>124</v>
      </c>
      <c r="H490" s="33" t="s">
        <v>118</v>
      </c>
      <c r="I490" s="70">
        <v>941.8</v>
      </c>
      <c r="J490" s="33" t="s">
        <v>516</v>
      </c>
      <c r="K490" s="75">
        <v>46018</v>
      </c>
      <c r="L490" s="33">
        <v>2025404564</v>
      </c>
      <c r="M490" s="64" t="s">
        <v>222</v>
      </c>
      <c r="N490" s="33">
        <v>2025</v>
      </c>
    </row>
    <row r="491" spans="1:14">
      <c r="A491" s="33">
        <v>490</v>
      </c>
      <c r="B491" s="33" t="s">
        <v>17</v>
      </c>
      <c r="C491" s="33" t="s">
        <v>22</v>
      </c>
      <c r="D491" s="33" t="s">
        <v>60</v>
      </c>
      <c r="E491" s="74" t="s">
        <v>71</v>
      </c>
      <c r="F491" s="33"/>
      <c r="G491" s="73" t="s">
        <v>124</v>
      </c>
      <c r="H491" s="33" t="s">
        <v>118</v>
      </c>
      <c r="I491" s="70">
        <v>240</v>
      </c>
      <c r="J491" s="73" t="s">
        <v>517</v>
      </c>
      <c r="K491" s="65">
        <v>46018</v>
      </c>
      <c r="L491" s="73">
        <v>2025404657</v>
      </c>
      <c r="M491" s="64" t="s">
        <v>222</v>
      </c>
      <c r="N491" s="33">
        <v>2025</v>
      </c>
    </row>
    <row r="492" spans="1:14">
      <c r="A492" s="33">
        <v>491</v>
      </c>
      <c r="B492" s="33" t="s">
        <v>54</v>
      </c>
      <c r="C492" s="33" t="s">
        <v>95</v>
      </c>
      <c r="D492" s="33" t="s">
        <v>60</v>
      </c>
      <c r="E492" s="74" t="s">
        <v>71</v>
      </c>
      <c r="F492" s="33"/>
      <c r="G492" s="33" t="s">
        <v>124</v>
      </c>
      <c r="H492" s="33" t="s">
        <v>118</v>
      </c>
      <c r="I492" s="70">
        <v>69</v>
      </c>
      <c r="J492" s="33" t="s">
        <v>520</v>
      </c>
      <c r="K492" s="65">
        <v>46018</v>
      </c>
      <c r="L492" s="33">
        <v>2025404687</v>
      </c>
      <c r="M492" s="64" t="s">
        <v>222</v>
      </c>
      <c r="N492" s="33">
        <v>2025</v>
      </c>
    </row>
    <row r="493" spans="1:14">
      <c r="A493" s="33">
        <v>492</v>
      </c>
      <c r="B493" s="33" t="s">
        <v>42</v>
      </c>
      <c r="C493" s="122" t="s">
        <v>285</v>
      </c>
      <c r="D493" s="33" t="s">
        <v>60</v>
      </c>
      <c r="E493" s="33" t="s">
        <v>71</v>
      </c>
      <c r="F493" s="33"/>
      <c r="G493" s="33" t="s">
        <v>124</v>
      </c>
      <c r="H493" s="33" t="s">
        <v>118</v>
      </c>
      <c r="I493" s="70">
        <v>125</v>
      </c>
      <c r="J493" s="33" t="s">
        <v>535</v>
      </c>
      <c r="K493" s="65">
        <v>46018</v>
      </c>
      <c r="L493" s="33">
        <v>2025404679</v>
      </c>
      <c r="M493" s="64" t="s">
        <v>222</v>
      </c>
      <c r="N493" s="33">
        <v>2025</v>
      </c>
    </row>
    <row r="494" spans="1:14">
      <c r="A494" s="33">
        <v>493</v>
      </c>
      <c r="B494" s="33" t="s">
        <v>54</v>
      </c>
      <c r="C494" s="33" t="s">
        <v>95</v>
      </c>
      <c r="D494" s="33" t="s">
        <v>60</v>
      </c>
      <c r="E494" s="33" t="s">
        <v>71</v>
      </c>
      <c r="F494" s="33"/>
      <c r="G494" s="33" t="s">
        <v>124</v>
      </c>
      <c r="H494" s="33" t="s">
        <v>118</v>
      </c>
      <c r="I494" s="70">
        <v>380</v>
      </c>
      <c r="J494" s="33" t="s">
        <v>538</v>
      </c>
      <c r="K494" s="65">
        <v>46018</v>
      </c>
      <c r="L494" s="33">
        <v>2025404720</v>
      </c>
      <c r="M494" s="64" t="s">
        <v>222</v>
      </c>
      <c r="N494" s="33">
        <v>2025</v>
      </c>
    </row>
    <row r="495" spans="1:14">
      <c r="A495" s="33">
        <v>494</v>
      </c>
      <c r="B495" s="33" t="s">
        <v>52</v>
      </c>
      <c r="C495" s="122" t="s">
        <v>62</v>
      </c>
      <c r="D495" s="33" t="s">
        <v>60</v>
      </c>
      <c r="E495" s="33" t="s">
        <v>71</v>
      </c>
      <c r="F495" s="33"/>
      <c r="G495" s="33" t="s">
        <v>124</v>
      </c>
      <c r="H495" s="33" t="s">
        <v>118</v>
      </c>
      <c r="I495" s="70">
        <v>180</v>
      </c>
      <c r="J495" s="33" t="s">
        <v>539</v>
      </c>
      <c r="K495" s="65">
        <v>46018</v>
      </c>
      <c r="L495" s="33">
        <v>2025404688</v>
      </c>
      <c r="M495" s="64" t="s">
        <v>222</v>
      </c>
      <c r="N495" s="33">
        <v>2025</v>
      </c>
    </row>
    <row r="496" spans="1:14">
      <c r="A496" s="33">
        <v>495</v>
      </c>
      <c r="B496" s="33" t="s">
        <v>42</v>
      </c>
      <c r="C496" s="122" t="s">
        <v>285</v>
      </c>
      <c r="D496" s="33" t="s">
        <v>60</v>
      </c>
      <c r="E496" s="33" t="s">
        <v>71</v>
      </c>
      <c r="F496" s="33"/>
      <c r="G496" s="33" t="s">
        <v>124</v>
      </c>
      <c r="H496" s="33" t="s">
        <v>118</v>
      </c>
      <c r="I496" s="70">
        <v>50</v>
      </c>
      <c r="J496" s="33" t="s">
        <v>540</v>
      </c>
      <c r="K496" s="65">
        <v>46009</v>
      </c>
      <c r="L496" s="33">
        <v>2025404610</v>
      </c>
      <c r="M496" s="64" t="s">
        <v>222</v>
      </c>
      <c r="N496" s="33">
        <v>2025</v>
      </c>
    </row>
    <row r="497" spans="1:14">
      <c r="A497" s="33">
        <v>496</v>
      </c>
      <c r="B497" s="33" t="s">
        <v>17</v>
      </c>
      <c r="C497" s="33" t="s">
        <v>22</v>
      </c>
      <c r="D497" s="33" t="s">
        <v>60</v>
      </c>
      <c r="E497" s="33" t="s">
        <v>71</v>
      </c>
      <c r="F497" s="33"/>
      <c r="G497" s="33" t="s">
        <v>124</v>
      </c>
      <c r="H497" s="33" t="s">
        <v>118</v>
      </c>
      <c r="I497" s="70">
        <v>4390</v>
      </c>
      <c r="J497" s="33" t="s">
        <v>541</v>
      </c>
      <c r="K497" s="65">
        <v>46021</v>
      </c>
      <c r="L497" s="33">
        <v>2025402898</v>
      </c>
      <c r="M497" s="64" t="s">
        <v>222</v>
      </c>
      <c r="N497" s="33">
        <v>2025</v>
      </c>
    </row>
    <row r="498" spans="1:14">
      <c r="A498" s="33">
        <v>497</v>
      </c>
      <c r="B498" s="33" t="s">
        <v>52</v>
      </c>
      <c r="C498" s="122" t="s">
        <v>62</v>
      </c>
      <c r="D498" s="33" t="s">
        <v>60</v>
      </c>
      <c r="E498" s="74" t="s">
        <v>71</v>
      </c>
      <c r="F498" s="33"/>
      <c r="G498" s="33" t="s">
        <v>124</v>
      </c>
      <c r="H498" s="33" t="s">
        <v>118</v>
      </c>
      <c r="I498" s="70">
        <v>1430</v>
      </c>
      <c r="J498" s="33" t="s">
        <v>542</v>
      </c>
      <c r="K498" s="65">
        <v>46021</v>
      </c>
      <c r="L498" s="33">
        <v>2025404158</v>
      </c>
      <c r="M498" s="64" t="s">
        <v>222</v>
      </c>
      <c r="N498" s="33">
        <v>2025</v>
      </c>
    </row>
    <row r="499" spans="1:14">
      <c r="A499" s="33">
        <v>498</v>
      </c>
      <c r="B499" s="33" t="s">
        <v>42</v>
      </c>
      <c r="C499" s="122" t="s">
        <v>285</v>
      </c>
      <c r="D499" s="33" t="s">
        <v>60</v>
      </c>
      <c r="E499" s="33" t="s">
        <v>71</v>
      </c>
      <c r="F499" s="33"/>
      <c r="G499" s="33" t="s">
        <v>124</v>
      </c>
      <c r="H499" s="33" t="s">
        <v>118</v>
      </c>
      <c r="I499" s="70">
        <v>170</v>
      </c>
      <c r="J499" s="33" t="s">
        <v>548</v>
      </c>
      <c r="K499" s="65">
        <v>46022</v>
      </c>
      <c r="L499" s="33">
        <v>2025404778</v>
      </c>
      <c r="M499" s="33" t="s">
        <v>222</v>
      </c>
      <c r="N499" s="33">
        <v>2025</v>
      </c>
    </row>
    <row r="500" spans="1:14">
      <c r="A500" s="33">
        <v>499</v>
      </c>
      <c r="B500" s="33" t="s">
        <v>52</v>
      </c>
      <c r="C500" s="122" t="s">
        <v>62</v>
      </c>
      <c r="D500" s="33" t="s">
        <v>60</v>
      </c>
      <c r="E500" s="33" t="s">
        <v>71</v>
      </c>
      <c r="F500" s="33"/>
      <c r="G500" s="33" t="s">
        <v>124</v>
      </c>
      <c r="H500" s="33" t="s">
        <v>118</v>
      </c>
      <c r="I500" s="70">
        <v>229</v>
      </c>
      <c r="J500" s="33" t="s">
        <v>549</v>
      </c>
      <c r="K500" s="65">
        <v>46022</v>
      </c>
      <c r="L500" s="33">
        <v>2025404739</v>
      </c>
      <c r="M500" s="33" t="s">
        <v>222</v>
      </c>
      <c r="N500" s="33">
        <v>2025</v>
      </c>
    </row>
    <row r="501" spans="1:14">
      <c r="A501" s="33">
        <v>500</v>
      </c>
      <c r="B501" s="33" t="s">
        <v>54</v>
      </c>
      <c r="C501" s="33" t="s">
        <v>95</v>
      </c>
      <c r="D501" s="33" t="s">
        <v>60</v>
      </c>
      <c r="E501" s="33" t="s">
        <v>71</v>
      </c>
      <c r="F501" s="33"/>
      <c r="G501" s="33" t="s">
        <v>124</v>
      </c>
      <c r="H501" s="33" t="s">
        <v>118</v>
      </c>
      <c r="I501" s="70">
        <v>1864</v>
      </c>
      <c r="J501" s="33" t="s">
        <v>550</v>
      </c>
      <c r="K501" s="65">
        <v>46022</v>
      </c>
      <c r="L501" s="33">
        <v>2025404728</v>
      </c>
      <c r="M501" s="33" t="s">
        <v>222</v>
      </c>
      <c r="N501" s="33">
        <v>2025</v>
      </c>
    </row>
    <row r="502" spans="1:14">
      <c r="A502" s="33">
        <v>501</v>
      </c>
      <c r="B502" s="33" t="s">
        <v>52</v>
      </c>
      <c r="C502" s="122" t="s">
        <v>62</v>
      </c>
      <c r="D502" s="33" t="s">
        <v>60</v>
      </c>
      <c r="E502" s="33" t="s">
        <v>71</v>
      </c>
      <c r="F502" s="33"/>
      <c r="G502" s="33" t="s">
        <v>124</v>
      </c>
      <c r="H502" s="33" t="s">
        <v>118</v>
      </c>
      <c r="I502" s="70">
        <v>4625</v>
      </c>
      <c r="J502" s="33" t="s">
        <v>552</v>
      </c>
      <c r="K502" s="65">
        <v>46022</v>
      </c>
      <c r="L502" s="33">
        <v>2025404689</v>
      </c>
      <c r="M502" s="33" t="s">
        <v>222</v>
      </c>
      <c r="N502" s="33">
        <v>2025</v>
      </c>
    </row>
    <row r="503" spans="1:14">
      <c r="A503" s="33">
        <v>502</v>
      </c>
      <c r="B503" s="33" t="s">
        <v>42</v>
      </c>
      <c r="C503" s="122" t="s">
        <v>285</v>
      </c>
      <c r="D503" s="33" t="s">
        <v>60</v>
      </c>
      <c r="E503" s="33" t="s">
        <v>71</v>
      </c>
      <c r="F503" s="33"/>
      <c r="G503" s="33" t="s">
        <v>124</v>
      </c>
      <c r="H503" s="33" t="s">
        <v>118</v>
      </c>
      <c r="I503" s="70">
        <v>60</v>
      </c>
      <c r="J503" s="33" t="s">
        <v>555</v>
      </c>
      <c r="K503" s="65">
        <v>46022</v>
      </c>
      <c r="L503" s="33">
        <v>2025404703</v>
      </c>
      <c r="M503" s="33" t="s">
        <v>222</v>
      </c>
      <c r="N503" s="33">
        <v>2025</v>
      </c>
    </row>
    <row r="504" spans="1:14">
      <c r="A504" s="33">
        <v>503</v>
      </c>
      <c r="B504" s="33" t="s">
        <v>42</v>
      </c>
      <c r="C504" s="122" t="s">
        <v>285</v>
      </c>
      <c r="D504" s="33" t="s">
        <v>60</v>
      </c>
      <c r="E504" s="33" t="s">
        <v>71</v>
      </c>
      <c r="F504" s="33"/>
      <c r="G504" s="33" t="s">
        <v>124</v>
      </c>
      <c r="H504" s="33" t="s">
        <v>118</v>
      </c>
      <c r="I504" s="70">
        <v>1960</v>
      </c>
      <c r="J504" s="33" t="s">
        <v>556</v>
      </c>
      <c r="K504" s="65">
        <v>46022</v>
      </c>
      <c r="L504" s="33">
        <v>2025404705</v>
      </c>
      <c r="M504" s="33" t="s">
        <v>222</v>
      </c>
      <c r="N504" s="33">
        <v>2025</v>
      </c>
    </row>
    <row r="505" spans="1:14">
      <c r="A505" s="33">
        <v>504</v>
      </c>
      <c r="B505" s="33" t="s">
        <v>42</v>
      </c>
      <c r="C505" s="33" t="s">
        <v>50</v>
      </c>
      <c r="D505" s="33" t="s">
        <v>60</v>
      </c>
      <c r="E505" s="33" t="s">
        <v>71</v>
      </c>
      <c r="F505" s="33"/>
      <c r="G505" s="33" t="s">
        <v>124</v>
      </c>
      <c r="H505" s="33" t="s">
        <v>118</v>
      </c>
      <c r="I505" s="70">
        <v>1502.9</v>
      </c>
      <c r="J505" s="33" t="s">
        <v>557</v>
      </c>
      <c r="K505" s="65">
        <v>46022</v>
      </c>
      <c r="L505" s="33">
        <v>2025404706</v>
      </c>
      <c r="M505" s="33" t="s">
        <v>222</v>
      </c>
      <c r="N505" s="33">
        <v>2025</v>
      </c>
    </row>
    <row r="506" spans="1:14">
      <c r="A506" s="33">
        <v>505</v>
      </c>
      <c r="B506" s="76" t="s">
        <v>42</v>
      </c>
      <c r="C506" s="76" t="s">
        <v>44</v>
      </c>
      <c r="D506" s="33" t="s">
        <v>60</v>
      </c>
      <c r="E506" s="33" t="s">
        <v>71</v>
      </c>
      <c r="F506" s="33"/>
      <c r="G506" s="33" t="s">
        <v>124</v>
      </c>
      <c r="H506" s="33" t="s">
        <v>118</v>
      </c>
      <c r="I506" s="70">
        <v>270</v>
      </c>
      <c r="J506" s="33" t="s">
        <v>558</v>
      </c>
      <c r="K506" s="65">
        <v>46022</v>
      </c>
      <c r="L506" s="33">
        <v>2025404733</v>
      </c>
      <c r="M506" s="64" t="s">
        <v>222</v>
      </c>
      <c r="N506" s="33">
        <v>2025</v>
      </c>
    </row>
    <row r="507" spans="1:14">
      <c r="A507" s="33">
        <v>506</v>
      </c>
      <c r="B507" s="33" t="s">
        <v>17</v>
      </c>
      <c r="C507" s="33" t="s">
        <v>24</v>
      </c>
      <c r="D507" s="33" t="s">
        <v>60</v>
      </c>
      <c r="E507" s="33" t="s">
        <v>71</v>
      </c>
      <c r="F507" s="33"/>
      <c r="G507" s="33" t="s">
        <v>124</v>
      </c>
      <c r="H507" s="33" t="s">
        <v>118</v>
      </c>
      <c r="I507" s="70">
        <v>2212.9</v>
      </c>
      <c r="J507" s="33" t="s">
        <v>559</v>
      </c>
      <c r="K507" s="65">
        <v>46022</v>
      </c>
      <c r="L507" s="33">
        <v>2025404771</v>
      </c>
      <c r="M507" s="33" t="s">
        <v>222</v>
      </c>
      <c r="N507" s="33">
        <v>2025</v>
      </c>
    </row>
    <row r="508" spans="1:14">
      <c r="A508" s="33">
        <v>507</v>
      </c>
      <c r="B508" s="33" t="s">
        <v>42</v>
      </c>
      <c r="C508" s="122" t="s">
        <v>285</v>
      </c>
      <c r="D508" s="33" t="s">
        <v>60</v>
      </c>
      <c r="E508" s="33" t="s">
        <v>71</v>
      </c>
      <c r="F508" s="33"/>
      <c r="G508" s="33" t="s">
        <v>124</v>
      </c>
      <c r="H508" s="33" t="s">
        <v>118</v>
      </c>
      <c r="I508" s="70">
        <v>620</v>
      </c>
      <c r="J508" s="33" t="s">
        <v>560</v>
      </c>
      <c r="K508" s="65">
        <v>46022</v>
      </c>
      <c r="L508" s="33">
        <v>2025404734</v>
      </c>
      <c r="M508" s="33" t="s">
        <v>222</v>
      </c>
      <c r="N508" s="33">
        <v>2025</v>
      </c>
    </row>
    <row r="509" spans="1:14">
      <c r="A509" s="33">
        <v>508</v>
      </c>
      <c r="B509" s="33" t="s">
        <v>52</v>
      </c>
      <c r="C509" s="122" t="s">
        <v>62</v>
      </c>
      <c r="D509" s="33" t="s">
        <v>60</v>
      </c>
      <c r="E509" s="33" t="s">
        <v>71</v>
      </c>
      <c r="F509" s="33"/>
      <c r="G509" s="33" t="s">
        <v>124</v>
      </c>
      <c r="H509" s="33" t="s">
        <v>118</v>
      </c>
      <c r="I509" s="70">
        <v>1467.8</v>
      </c>
      <c r="J509" s="33" t="s">
        <v>561</v>
      </c>
      <c r="K509" s="65">
        <v>46022</v>
      </c>
      <c r="L509" s="33">
        <v>2025404757</v>
      </c>
      <c r="M509" s="33" t="s">
        <v>222</v>
      </c>
      <c r="N509" s="33">
        <v>2025</v>
      </c>
    </row>
    <row r="510" spans="1:14">
      <c r="A510" s="33">
        <v>509</v>
      </c>
      <c r="B510" s="33" t="s">
        <v>54</v>
      </c>
      <c r="C510" s="33" t="s">
        <v>95</v>
      </c>
      <c r="D510" s="33" t="s">
        <v>60</v>
      </c>
      <c r="E510" s="33" t="s">
        <v>71</v>
      </c>
      <c r="F510" s="33"/>
      <c r="G510" s="33" t="s">
        <v>124</v>
      </c>
      <c r="H510" s="33" t="s">
        <v>118</v>
      </c>
      <c r="I510" s="70">
        <v>1010.8</v>
      </c>
      <c r="J510" s="33" t="s">
        <v>562</v>
      </c>
      <c r="K510" s="65">
        <v>46022</v>
      </c>
      <c r="L510" s="33">
        <v>2025404702</v>
      </c>
      <c r="M510" s="33" t="s">
        <v>222</v>
      </c>
      <c r="N510" s="33">
        <v>2025</v>
      </c>
    </row>
    <row r="511" spans="1:14">
      <c r="A511" s="33">
        <v>510</v>
      </c>
      <c r="B511" s="33" t="s">
        <v>54</v>
      </c>
      <c r="C511" s="33" t="s">
        <v>95</v>
      </c>
      <c r="D511" s="33" t="s">
        <v>60</v>
      </c>
      <c r="E511" s="33" t="s">
        <v>71</v>
      </c>
      <c r="F511" s="33"/>
      <c r="G511" s="33" t="s">
        <v>124</v>
      </c>
      <c r="H511" s="33" t="s">
        <v>118</v>
      </c>
      <c r="I511" s="70">
        <v>400</v>
      </c>
      <c r="J511" s="33" t="s">
        <v>563</v>
      </c>
      <c r="K511" s="65">
        <v>46022</v>
      </c>
      <c r="L511" s="33">
        <v>2025404754</v>
      </c>
      <c r="M511" s="33" t="s">
        <v>222</v>
      </c>
      <c r="N511" s="33">
        <v>2025</v>
      </c>
    </row>
    <row r="512" spans="1:14">
      <c r="A512" s="33">
        <v>511</v>
      </c>
      <c r="B512" s="33" t="s">
        <v>17</v>
      </c>
      <c r="C512" s="33" t="s">
        <v>22</v>
      </c>
      <c r="D512" s="33" t="s">
        <v>60</v>
      </c>
      <c r="E512" s="33" t="s">
        <v>71</v>
      </c>
      <c r="F512" s="33"/>
      <c r="G512" s="33" t="s">
        <v>124</v>
      </c>
      <c r="H512" s="33" t="s">
        <v>118</v>
      </c>
      <c r="I512" s="70">
        <v>170</v>
      </c>
      <c r="J512" s="33" t="s">
        <v>564</v>
      </c>
      <c r="K512" s="65">
        <v>46022</v>
      </c>
      <c r="L512" s="33">
        <v>2025404744</v>
      </c>
      <c r="M512" s="33" t="s">
        <v>222</v>
      </c>
      <c r="N512" s="33">
        <v>2025</v>
      </c>
    </row>
    <row r="513" spans="1:14">
      <c r="A513" s="33">
        <v>512</v>
      </c>
      <c r="B513" s="33" t="s">
        <v>42</v>
      </c>
      <c r="C513" s="33" t="s">
        <v>45</v>
      </c>
      <c r="D513" s="33" t="s">
        <v>60</v>
      </c>
      <c r="E513" s="33" t="s">
        <v>71</v>
      </c>
      <c r="F513" s="33"/>
      <c r="G513" s="33" t="s">
        <v>124</v>
      </c>
      <c r="H513" s="33" t="s">
        <v>118</v>
      </c>
      <c r="I513" s="70">
        <v>1600</v>
      </c>
      <c r="J513" s="33" t="s">
        <v>565</v>
      </c>
      <c r="K513" s="65">
        <v>46022</v>
      </c>
      <c r="L513" s="33">
        <v>2025404735</v>
      </c>
      <c r="M513" s="33" t="s">
        <v>222</v>
      </c>
      <c r="N513" s="33">
        <v>2025</v>
      </c>
    </row>
    <row r="514" spans="1:14">
      <c r="A514" s="33">
        <v>513</v>
      </c>
      <c r="B514" s="33" t="s">
        <v>35</v>
      </c>
      <c r="C514" s="33" t="s">
        <v>36</v>
      </c>
      <c r="D514" s="33" t="s">
        <v>60</v>
      </c>
      <c r="E514" s="33" t="s">
        <v>71</v>
      </c>
      <c r="F514" s="33"/>
      <c r="G514" s="33" t="s">
        <v>124</v>
      </c>
      <c r="H514" s="33" t="s">
        <v>118</v>
      </c>
      <c r="I514" s="70">
        <v>290</v>
      </c>
      <c r="J514" s="33" t="s">
        <v>566</v>
      </c>
      <c r="K514" s="65">
        <v>46022</v>
      </c>
      <c r="L514" s="33">
        <v>2025404772</v>
      </c>
      <c r="M514" s="33" t="s">
        <v>222</v>
      </c>
      <c r="N514" s="33">
        <v>2025</v>
      </c>
    </row>
    <row r="515" spans="1:14">
      <c r="A515" s="33">
        <v>514</v>
      </c>
      <c r="B515" s="33" t="s">
        <v>17</v>
      </c>
      <c r="C515" s="33" t="s">
        <v>23</v>
      </c>
      <c r="D515" s="33" t="s">
        <v>60</v>
      </c>
      <c r="E515" s="33" t="s">
        <v>71</v>
      </c>
      <c r="F515" s="33"/>
      <c r="G515" s="33" t="s">
        <v>124</v>
      </c>
      <c r="H515" s="33" t="s">
        <v>118</v>
      </c>
      <c r="I515" s="70">
        <v>101</v>
      </c>
      <c r="J515" s="33" t="s">
        <v>567</v>
      </c>
      <c r="K515" s="65">
        <v>46022</v>
      </c>
      <c r="L515" s="33">
        <v>2025404741</v>
      </c>
      <c r="M515" s="33" t="s">
        <v>222</v>
      </c>
      <c r="N515" s="33">
        <v>2025</v>
      </c>
    </row>
    <row r="516" spans="1:14">
      <c r="A516" s="33">
        <v>515</v>
      </c>
      <c r="B516" s="33" t="s">
        <v>17</v>
      </c>
      <c r="C516" s="33" t="s">
        <v>25</v>
      </c>
      <c r="D516" s="33" t="s">
        <v>60</v>
      </c>
      <c r="E516" s="33" t="s">
        <v>71</v>
      </c>
      <c r="F516" s="33"/>
      <c r="G516" s="33" t="s">
        <v>124</v>
      </c>
      <c r="H516" s="33" t="s">
        <v>118</v>
      </c>
      <c r="I516" s="70">
        <v>2197.1999999999998</v>
      </c>
      <c r="J516" s="33" t="s">
        <v>568</v>
      </c>
      <c r="K516" s="65">
        <v>46022</v>
      </c>
      <c r="L516" s="33">
        <v>2025404736</v>
      </c>
      <c r="M516" s="33" t="s">
        <v>222</v>
      </c>
      <c r="N516" s="33">
        <v>2025</v>
      </c>
    </row>
    <row r="517" spans="1:14">
      <c r="A517" s="33">
        <v>516</v>
      </c>
      <c r="B517" s="33" t="s">
        <v>54</v>
      </c>
      <c r="C517" s="33" t="s">
        <v>55</v>
      </c>
      <c r="D517" s="33" t="s">
        <v>60</v>
      </c>
      <c r="E517" s="33" t="s">
        <v>71</v>
      </c>
      <c r="F517" s="33"/>
      <c r="G517" s="33" t="s">
        <v>124</v>
      </c>
      <c r="H517" s="33" t="s">
        <v>118</v>
      </c>
      <c r="I517" s="70">
        <v>1998.5</v>
      </c>
      <c r="J517" s="33" t="s">
        <v>569</v>
      </c>
      <c r="K517" s="65">
        <v>46022</v>
      </c>
      <c r="L517" s="33">
        <v>2025403491</v>
      </c>
      <c r="M517" s="33" t="s">
        <v>222</v>
      </c>
      <c r="N517" s="33">
        <v>2025</v>
      </c>
    </row>
    <row r="518" spans="1:14">
      <c r="A518" s="33">
        <v>517</v>
      </c>
      <c r="B518" s="33" t="s">
        <v>42</v>
      </c>
      <c r="C518" s="33" t="s">
        <v>50</v>
      </c>
      <c r="D518" s="33" t="s">
        <v>60</v>
      </c>
      <c r="E518" s="33" t="s">
        <v>71</v>
      </c>
      <c r="F518" s="33"/>
      <c r="G518" s="33" t="s">
        <v>124</v>
      </c>
      <c r="H518" s="33" t="s">
        <v>118</v>
      </c>
      <c r="I518" s="70">
        <v>680.9</v>
      </c>
      <c r="J518" s="33" t="s">
        <v>570</v>
      </c>
      <c r="K518" s="65">
        <v>46022</v>
      </c>
      <c r="L518" s="33">
        <v>2025404722</v>
      </c>
      <c r="M518" s="33" t="s">
        <v>222</v>
      </c>
      <c r="N518" s="33">
        <v>2025</v>
      </c>
    </row>
    <row r="519" spans="1:14">
      <c r="A519" s="33">
        <v>518</v>
      </c>
      <c r="B519" s="33" t="s">
        <v>42</v>
      </c>
      <c r="C519" s="33" t="s">
        <v>50</v>
      </c>
      <c r="D519" s="33" t="s">
        <v>60</v>
      </c>
      <c r="E519" s="33" t="s">
        <v>71</v>
      </c>
      <c r="F519" s="33"/>
      <c r="G519" s="33" t="s">
        <v>124</v>
      </c>
      <c r="H519" s="33" t="s">
        <v>118</v>
      </c>
      <c r="I519" s="70">
        <v>970</v>
      </c>
      <c r="J519" s="33" t="s">
        <v>571</v>
      </c>
      <c r="K519" s="65">
        <v>46022</v>
      </c>
      <c r="L519" s="33">
        <v>2025404721</v>
      </c>
      <c r="M519" s="33" t="s">
        <v>222</v>
      </c>
      <c r="N519" s="33">
        <v>2025</v>
      </c>
    </row>
    <row r="520" spans="1:14">
      <c r="A520" s="33">
        <v>519</v>
      </c>
      <c r="B520" s="33" t="s">
        <v>17</v>
      </c>
      <c r="C520" s="33" t="s">
        <v>24</v>
      </c>
      <c r="D520" s="33" t="s">
        <v>60</v>
      </c>
      <c r="E520" s="33" t="s">
        <v>71</v>
      </c>
      <c r="F520" s="33"/>
      <c r="G520" s="33" t="s">
        <v>124</v>
      </c>
      <c r="H520" s="33" t="s">
        <v>118</v>
      </c>
      <c r="I520" s="70">
        <v>726</v>
      </c>
      <c r="J520" s="33" t="s">
        <v>572</v>
      </c>
      <c r="K520" s="65">
        <v>46022</v>
      </c>
      <c r="L520" s="33">
        <v>2025404773</v>
      </c>
      <c r="M520" s="33" t="s">
        <v>222</v>
      </c>
      <c r="N520" s="33">
        <v>2025</v>
      </c>
    </row>
    <row r="521" spans="1:14">
      <c r="A521" s="33">
        <v>520</v>
      </c>
      <c r="B521" s="33" t="s">
        <v>54</v>
      </c>
      <c r="C521" s="33" t="s">
        <v>95</v>
      </c>
      <c r="D521" s="33" t="s">
        <v>60</v>
      </c>
      <c r="E521" s="33" t="s">
        <v>71</v>
      </c>
      <c r="F521" s="33"/>
      <c r="G521" s="33" t="s">
        <v>124</v>
      </c>
      <c r="H521" s="33" t="s">
        <v>118</v>
      </c>
      <c r="I521" s="70">
        <v>1784.4</v>
      </c>
      <c r="J521" s="33" t="s">
        <v>575</v>
      </c>
      <c r="K521" s="65">
        <v>46022</v>
      </c>
      <c r="L521" s="33">
        <v>2025404737</v>
      </c>
      <c r="M521" s="33" t="s">
        <v>222</v>
      </c>
      <c r="N521" s="33">
        <v>2025</v>
      </c>
    </row>
    <row r="522" spans="1:14">
      <c r="A522" s="33">
        <v>521</v>
      </c>
      <c r="B522" s="33" t="s">
        <v>42</v>
      </c>
      <c r="C522" s="33" t="s">
        <v>50</v>
      </c>
      <c r="D522" s="33" t="s">
        <v>60</v>
      </c>
      <c r="E522" s="33" t="s">
        <v>71</v>
      </c>
      <c r="F522" s="33"/>
      <c r="G522" s="33" t="s">
        <v>124</v>
      </c>
      <c r="H522" s="33" t="s">
        <v>118</v>
      </c>
      <c r="I522" s="70">
        <v>150</v>
      </c>
      <c r="J522" s="33" t="s">
        <v>583</v>
      </c>
      <c r="K522" s="65">
        <v>46032</v>
      </c>
      <c r="L522" s="33">
        <v>2025404866</v>
      </c>
      <c r="M522" s="33" t="s">
        <v>222</v>
      </c>
      <c r="N522" s="33">
        <v>2025</v>
      </c>
    </row>
    <row r="523" spans="1:14">
      <c r="A523" s="33">
        <v>522</v>
      </c>
      <c r="B523" s="33" t="s">
        <v>42</v>
      </c>
      <c r="C523" s="122" t="s">
        <v>285</v>
      </c>
      <c r="D523" s="33" t="s">
        <v>60</v>
      </c>
      <c r="E523" s="33" t="s">
        <v>71</v>
      </c>
      <c r="F523" s="33"/>
      <c r="G523" s="33" t="s">
        <v>124</v>
      </c>
      <c r="H523" s="33" t="s">
        <v>118</v>
      </c>
      <c r="I523" s="70">
        <v>326</v>
      </c>
      <c r="J523" s="33" t="s">
        <v>584</v>
      </c>
      <c r="K523" s="65">
        <v>46032</v>
      </c>
      <c r="L523" s="33">
        <v>2025404855</v>
      </c>
      <c r="M523" s="33" t="s">
        <v>222</v>
      </c>
      <c r="N523" s="33">
        <v>2025</v>
      </c>
    </row>
    <row r="524" spans="1:14">
      <c r="A524" s="33">
        <v>523</v>
      </c>
      <c r="B524" s="33" t="s">
        <v>54</v>
      </c>
      <c r="C524" s="33" t="s">
        <v>55</v>
      </c>
      <c r="D524" s="33" t="s">
        <v>60</v>
      </c>
      <c r="E524" s="33" t="s">
        <v>71</v>
      </c>
      <c r="F524" s="33"/>
      <c r="G524" s="33" t="s">
        <v>124</v>
      </c>
      <c r="H524" s="33" t="s">
        <v>118</v>
      </c>
      <c r="I524" s="70">
        <v>450</v>
      </c>
      <c r="J524" s="33" t="s">
        <v>585</v>
      </c>
      <c r="K524" s="65">
        <v>46032</v>
      </c>
      <c r="L524" s="33">
        <v>2025404857</v>
      </c>
      <c r="M524" s="33" t="s">
        <v>222</v>
      </c>
      <c r="N524" s="33">
        <v>2025</v>
      </c>
    </row>
    <row r="525" spans="1:14">
      <c r="A525" s="33">
        <v>524</v>
      </c>
      <c r="B525" s="33" t="s">
        <v>54</v>
      </c>
      <c r="C525" s="33" t="s">
        <v>55</v>
      </c>
      <c r="D525" s="33" t="s">
        <v>60</v>
      </c>
      <c r="E525" s="33" t="s">
        <v>71</v>
      </c>
      <c r="F525" s="33"/>
      <c r="G525" s="33" t="s">
        <v>124</v>
      </c>
      <c r="H525" s="33" t="s">
        <v>118</v>
      </c>
      <c r="I525" s="70">
        <v>2830</v>
      </c>
      <c r="J525" s="33" t="s">
        <v>586</v>
      </c>
      <c r="K525" s="65">
        <v>46032</v>
      </c>
      <c r="L525" s="33">
        <v>2025404655</v>
      </c>
      <c r="M525" s="33" t="s">
        <v>222</v>
      </c>
      <c r="N525" s="33">
        <v>2025</v>
      </c>
    </row>
    <row r="526" spans="1:14">
      <c r="A526" s="33">
        <v>525</v>
      </c>
      <c r="B526" s="33" t="s">
        <v>17</v>
      </c>
      <c r="C526" s="33" t="s">
        <v>22</v>
      </c>
      <c r="D526" s="33" t="s">
        <v>60</v>
      </c>
      <c r="E526" s="33" t="s">
        <v>71</v>
      </c>
      <c r="F526" s="33"/>
      <c r="G526" s="33" t="s">
        <v>124</v>
      </c>
      <c r="H526" s="33" t="s">
        <v>118</v>
      </c>
      <c r="I526" s="70">
        <v>430</v>
      </c>
      <c r="J526" s="33" t="s">
        <v>588</v>
      </c>
      <c r="K526" s="65">
        <v>46032</v>
      </c>
      <c r="L526" s="33">
        <v>2026400012</v>
      </c>
      <c r="M526" s="33" t="s">
        <v>222</v>
      </c>
      <c r="N526" s="33">
        <v>2025</v>
      </c>
    </row>
    <row r="527" spans="1:14">
      <c r="A527" s="33">
        <v>526</v>
      </c>
      <c r="B527" s="33" t="s">
        <v>52</v>
      </c>
      <c r="C527" s="122" t="s">
        <v>62</v>
      </c>
      <c r="D527" s="33" t="s">
        <v>60</v>
      </c>
      <c r="E527" s="33" t="s">
        <v>71</v>
      </c>
      <c r="F527" s="33"/>
      <c r="G527" s="33" t="s">
        <v>124</v>
      </c>
      <c r="H527" s="33" t="s">
        <v>118</v>
      </c>
      <c r="I527" s="70">
        <v>1679.8</v>
      </c>
      <c r="J527" s="33" t="s">
        <v>594</v>
      </c>
      <c r="K527" s="65">
        <v>46032</v>
      </c>
      <c r="L527" s="33">
        <v>2025404813</v>
      </c>
      <c r="M527" s="33" t="s">
        <v>222</v>
      </c>
      <c r="N527" s="33">
        <v>2025</v>
      </c>
    </row>
    <row r="528" spans="1:14">
      <c r="A528" s="33">
        <v>527</v>
      </c>
      <c r="B528" s="33" t="s">
        <v>54</v>
      </c>
      <c r="C528" s="33" t="s">
        <v>55</v>
      </c>
      <c r="D528" s="33" t="s">
        <v>60</v>
      </c>
      <c r="E528" s="33" t="s">
        <v>71</v>
      </c>
      <c r="F528" s="33"/>
      <c r="G528" s="33" t="s">
        <v>124</v>
      </c>
      <c r="H528" s="33" t="s">
        <v>118</v>
      </c>
      <c r="I528" s="70">
        <v>800</v>
      </c>
      <c r="J528" s="33" t="s">
        <v>595</v>
      </c>
      <c r="K528" s="65">
        <v>46030</v>
      </c>
      <c r="L528" s="33">
        <v>2025404853</v>
      </c>
      <c r="M528" s="33" t="s">
        <v>222</v>
      </c>
      <c r="N528" s="33">
        <v>2025</v>
      </c>
    </row>
    <row r="529" spans="1:14">
      <c r="A529" s="33">
        <v>528</v>
      </c>
      <c r="B529" s="33" t="s">
        <v>52</v>
      </c>
      <c r="C529" s="122" t="s">
        <v>62</v>
      </c>
      <c r="D529" s="33" t="s">
        <v>60</v>
      </c>
      <c r="E529" s="33" t="s">
        <v>71</v>
      </c>
      <c r="F529" s="33"/>
      <c r="G529" s="33" t="s">
        <v>124</v>
      </c>
      <c r="H529" s="33" t="s">
        <v>118</v>
      </c>
      <c r="I529" s="70">
        <v>555</v>
      </c>
      <c r="J529" s="33" t="s">
        <v>596</v>
      </c>
      <c r="K529" s="65">
        <v>46032</v>
      </c>
      <c r="L529" s="33">
        <v>2025404829</v>
      </c>
      <c r="M529" s="33" t="s">
        <v>222</v>
      </c>
      <c r="N529" s="33">
        <v>2025</v>
      </c>
    </row>
    <row r="530" spans="1:14">
      <c r="A530" s="33">
        <v>529</v>
      </c>
      <c r="B530" s="33" t="s">
        <v>17</v>
      </c>
      <c r="C530" s="33" t="s">
        <v>22</v>
      </c>
      <c r="D530" s="33" t="s">
        <v>60</v>
      </c>
      <c r="E530" s="33" t="s">
        <v>71</v>
      </c>
      <c r="F530" s="33"/>
      <c r="G530" s="33" t="s">
        <v>124</v>
      </c>
      <c r="H530" s="33" t="s">
        <v>118</v>
      </c>
      <c r="I530" s="70">
        <v>94</v>
      </c>
      <c r="J530" s="33" t="s">
        <v>597</v>
      </c>
      <c r="K530" s="65">
        <v>46033</v>
      </c>
      <c r="L530" s="33">
        <v>2026400010</v>
      </c>
      <c r="M530" s="33" t="s">
        <v>222</v>
      </c>
      <c r="N530" s="33">
        <v>2025</v>
      </c>
    </row>
    <row r="531" spans="1:14">
      <c r="A531" s="33">
        <v>530</v>
      </c>
      <c r="B531" s="33" t="s">
        <v>17</v>
      </c>
      <c r="C531" s="33" t="s">
        <v>25</v>
      </c>
      <c r="D531" s="33" t="s">
        <v>60</v>
      </c>
      <c r="E531" s="33" t="s">
        <v>71</v>
      </c>
      <c r="F531" s="33"/>
      <c r="G531" s="33" t="s">
        <v>124</v>
      </c>
      <c r="H531" s="33" t="s">
        <v>118</v>
      </c>
      <c r="I531" s="70">
        <v>2620</v>
      </c>
      <c r="J531" s="33" t="s">
        <v>598</v>
      </c>
      <c r="K531" s="65">
        <v>46032</v>
      </c>
      <c r="L531" s="33">
        <v>2025404871</v>
      </c>
      <c r="M531" s="33" t="s">
        <v>222</v>
      </c>
      <c r="N531" s="33">
        <v>2025</v>
      </c>
    </row>
    <row r="532" spans="1:14">
      <c r="A532" s="33">
        <v>531</v>
      </c>
      <c r="B532" s="33" t="s">
        <v>42</v>
      </c>
      <c r="C532" s="33" t="s">
        <v>50</v>
      </c>
      <c r="D532" s="33" t="s">
        <v>60</v>
      </c>
      <c r="E532" s="33" t="s">
        <v>71</v>
      </c>
      <c r="F532" s="33"/>
      <c r="G532" s="33" t="s">
        <v>124</v>
      </c>
      <c r="H532" s="33" t="s">
        <v>118</v>
      </c>
      <c r="I532" s="70">
        <v>1600</v>
      </c>
      <c r="J532" s="33" t="s">
        <v>599</v>
      </c>
      <c r="K532" s="65">
        <v>46032</v>
      </c>
      <c r="L532" s="33">
        <v>2025404768</v>
      </c>
      <c r="M532" s="33" t="s">
        <v>222</v>
      </c>
      <c r="N532" s="33">
        <v>2025</v>
      </c>
    </row>
    <row r="533" spans="1:14">
      <c r="A533" s="33">
        <v>532</v>
      </c>
      <c r="B533" s="33" t="s">
        <v>52</v>
      </c>
      <c r="C533" s="122" t="s">
        <v>62</v>
      </c>
      <c r="D533" s="33" t="s">
        <v>60</v>
      </c>
      <c r="E533" s="33" t="s">
        <v>71</v>
      </c>
      <c r="F533" s="33"/>
      <c r="G533" s="33" t="s">
        <v>124</v>
      </c>
      <c r="H533" s="33" t="s">
        <v>118</v>
      </c>
      <c r="I533" s="70">
        <v>370</v>
      </c>
      <c r="J533" s="33" t="s">
        <v>600</v>
      </c>
      <c r="K533" s="65">
        <v>46032</v>
      </c>
      <c r="L533" s="33">
        <v>2025404876</v>
      </c>
      <c r="M533" s="33" t="s">
        <v>222</v>
      </c>
      <c r="N533" s="33">
        <v>2025</v>
      </c>
    </row>
    <row r="534" spans="1:14">
      <c r="A534" s="33">
        <v>533</v>
      </c>
      <c r="B534" s="33" t="s">
        <v>52</v>
      </c>
      <c r="C534" s="122" t="s">
        <v>62</v>
      </c>
      <c r="D534" s="33" t="s">
        <v>60</v>
      </c>
      <c r="E534" s="33" t="s">
        <v>71</v>
      </c>
      <c r="F534" s="33"/>
      <c r="G534" s="33" t="s">
        <v>124</v>
      </c>
      <c r="H534" s="33" t="s">
        <v>118</v>
      </c>
      <c r="I534" s="70">
        <v>330</v>
      </c>
      <c r="J534" s="33" t="s">
        <v>601</v>
      </c>
      <c r="K534" s="65">
        <v>46033</v>
      </c>
      <c r="L534" s="33">
        <v>2025404875</v>
      </c>
      <c r="M534" s="33" t="s">
        <v>222</v>
      </c>
      <c r="N534" s="33">
        <v>2025</v>
      </c>
    </row>
    <row r="535" spans="1:14">
      <c r="A535" s="33">
        <v>534</v>
      </c>
      <c r="B535" s="33" t="s">
        <v>35</v>
      </c>
      <c r="C535" s="33" t="s">
        <v>41</v>
      </c>
      <c r="D535" s="33" t="s">
        <v>60</v>
      </c>
      <c r="E535" s="33" t="s">
        <v>71</v>
      </c>
      <c r="F535" s="33"/>
      <c r="G535" s="33" t="s">
        <v>124</v>
      </c>
      <c r="H535" s="33" t="s">
        <v>118</v>
      </c>
      <c r="I535" s="70">
        <v>45.5</v>
      </c>
      <c r="J535" s="33" t="s">
        <v>602</v>
      </c>
      <c r="K535" s="65">
        <v>46032</v>
      </c>
      <c r="L535" s="33">
        <v>2025404864</v>
      </c>
      <c r="M535" s="33" t="s">
        <v>222</v>
      </c>
      <c r="N535" s="33">
        <v>2025</v>
      </c>
    </row>
    <row r="536" spans="1:14">
      <c r="A536" s="33">
        <v>535</v>
      </c>
      <c r="B536" s="33" t="s">
        <v>42</v>
      </c>
      <c r="C536" s="122" t="s">
        <v>285</v>
      </c>
      <c r="D536" s="33" t="s">
        <v>60</v>
      </c>
      <c r="E536" s="33" t="s">
        <v>71</v>
      </c>
      <c r="F536" s="33"/>
      <c r="G536" s="33" t="s">
        <v>124</v>
      </c>
      <c r="H536" s="33" t="s">
        <v>118</v>
      </c>
      <c r="I536" s="70">
        <v>2650</v>
      </c>
      <c r="J536" s="33" t="s">
        <v>603</v>
      </c>
      <c r="K536" s="65">
        <v>46032</v>
      </c>
      <c r="L536" s="33">
        <v>2025404867</v>
      </c>
      <c r="M536" s="33" t="s">
        <v>222</v>
      </c>
      <c r="N536" s="33">
        <v>2025</v>
      </c>
    </row>
    <row r="537" spans="1:14">
      <c r="A537" s="33">
        <v>536</v>
      </c>
      <c r="B537" s="33" t="s">
        <v>54</v>
      </c>
      <c r="C537" s="33" t="s">
        <v>95</v>
      </c>
      <c r="D537" s="33" t="s">
        <v>60</v>
      </c>
      <c r="E537" s="33" t="s">
        <v>71</v>
      </c>
      <c r="F537" s="33"/>
      <c r="G537" s="33" t="s">
        <v>124</v>
      </c>
      <c r="H537" s="33" t="s">
        <v>118</v>
      </c>
      <c r="I537" s="70">
        <v>1300</v>
      </c>
      <c r="J537" s="33" t="s">
        <v>604</v>
      </c>
      <c r="K537" s="65">
        <v>46030</v>
      </c>
      <c r="L537" s="33">
        <v>2025404840</v>
      </c>
      <c r="M537" s="33" t="s">
        <v>222</v>
      </c>
      <c r="N537" s="33">
        <v>2025</v>
      </c>
    </row>
    <row r="538" spans="1:14">
      <c r="A538" s="33">
        <v>537</v>
      </c>
      <c r="B538" s="33" t="s">
        <v>42</v>
      </c>
      <c r="C538" s="33" t="s">
        <v>50</v>
      </c>
      <c r="D538" s="33" t="s">
        <v>60</v>
      </c>
      <c r="E538" s="33" t="s">
        <v>71</v>
      </c>
      <c r="F538" s="33"/>
      <c r="G538" s="33" t="s">
        <v>124</v>
      </c>
      <c r="H538" s="33" t="s">
        <v>118</v>
      </c>
      <c r="I538" s="70">
        <v>1034.7</v>
      </c>
      <c r="J538" s="33" t="s">
        <v>606</v>
      </c>
      <c r="K538" s="65">
        <v>46030</v>
      </c>
      <c r="L538" s="33">
        <v>2025404786</v>
      </c>
      <c r="M538" s="33" t="s">
        <v>222</v>
      </c>
      <c r="N538" s="33">
        <v>2025</v>
      </c>
    </row>
    <row r="539" spans="1:14">
      <c r="A539" s="33">
        <v>538</v>
      </c>
      <c r="B539" s="33" t="s">
        <v>17</v>
      </c>
      <c r="C539" s="33" t="s">
        <v>25</v>
      </c>
      <c r="D539" s="33" t="s">
        <v>60</v>
      </c>
      <c r="E539" s="33" t="s">
        <v>71</v>
      </c>
      <c r="F539" s="33"/>
      <c r="G539" s="33" t="s">
        <v>337</v>
      </c>
      <c r="H539" s="33" t="s">
        <v>118</v>
      </c>
      <c r="I539" s="70">
        <v>1196.5517241379309</v>
      </c>
      <c r="J539" s="33" t="s">
        <v>764</v>
      </c>
      <c r="K539" s="65">
        <v>46014</v>
      </c>
      <c r="L539" s="33">
        <v>2026400078</v>
      </c>
      <c r="M539" s="33" t="s">
        <v>222</v>
      </c>
      <c r="N539" s="33">
        <v>2025</v>
      </c>
    </row>
    <row r="540" spans="1:14">
      <c r="A540" s="33">
        <v>539</v>
      </c>
      <c r="B540" s="33" t="s">
        <v>35</v>
      </c>
      <c r="C540" s="33" t="s">
        <v>36</v>
      </c>
      <c r="D540" s="33" t="s">
        <v>60</v>
      </c>
      <c r="E540" s="33" t="s">
        <v>71</v>
      </c>
      <c r="F540" s="33"/>
      <c r="G540" s="33" t="s">
        <v>120</v>
      </c>
      <c r="H540" s="33" t="s">
        <v>118</v>
      </c>
      <c r="I540" s="70">
        <v>58.620689655172413</v>
      </c>
      <c r="J540" s="33" t="s">
        <v>765</v>
      </c>
      <c r="K540" s="65">
        <v>46002</v>
      </c>
      <c r="L540" s="33">
        <v>2026400133</v>
      </c>
      <c r="M540" s="33" t="s">
        <v>222</v>
      </c>
      <c r="N540" s="33">
        <v>2025</v>
      </c>
    </row>
    <row r="541" spans="1:14">
      <c r="A541" s="33">
        <v>540</v>
      </c>
      <c r="B541" s="33" t="s">
        <v>17</v>
      </c>
      <c r="C541" s="33" t="s">
        <v>25</v>
      </c>
      <c r="D541" s="33" t="s">
        <v>60</v>
      </c>
      <c r="E541" s="33" t="s">
        <v>71</v>
      </c>
      <c r="F541" s="33"/>
      <c r="G541" s="33" t="s">
        <v>119</v>
      </c>
      <c r="H541" s="33" t="s">
        <v>608</v>
      </c>
      <c r="I541" s="70">
        <v>10524.2</v>
      </c>
      <c r="J541" s="33" t="s">
        <v>766</v>
      </c>
      <c r="K541" s="65">
        <v>45988</v>
      </c>
      <c r="L541" s="33">
        <v>2025404308</v>
      </c>
      <c r="M541" s="33" t="s">
        <v>222</v>
      </c>
      <c r="N541" s="33">
        <v>2025</v>
      </c>
    </row>
    <row r="542" spans="1:14">
      <c r="A542" s="33">
        <v>541</v>
      </c>
      <c r="B542" s="33" t="s">
        <v>42</v>
      </c>
      <c r="C542" s="122" t="s">
        <v>285</v>
      </c>
      <c r="D542" s="33" t="s">
        <v>60</v>
      </c>
      <c r="E542" s="33" t="s">
        <v>71</v>
      </c>
      <c r="F542" s="33"/>
      <c r="G542" s="33" t="s">
        <v>122</v>
      </c>
      <c r="H542" s="33" t="s">
        <v>118</v>
      </c>
      <c r="I542" s="70">
        <v>444.65</v>
      </c>
      <c r="J542" s="33" t="s">
        <v>767</v>
      </c>
      <c r="K542" s="65">
        <v>46001</v>
      </c>
      <c r="L542" s="33">
        <v>2026400022</v>
      </c>
      <c r="M542" s="33" t="s">
        <v>222</v>
      </c>
      <c r="N542" s="33">
        <v>2025</v>
      </c>
    </row>
    <row r="543" spans="1:14">
      <c r="A543" s="33">
        <v>542</v>
      </c>
      <c r="B543" s="33" t="s">
        <v>42</v>
      </c>
      <c r="C543" s="33" t="s">
        <v>50</v>
      </c>
      <c r="D543" s="33" t="s">
        <v>60</v>
      </c>
      <c r="E543" s="33" t="s">
        <v>71</v>
      </c>
      <c r="F543" s="33"/>
      <c r="G543" s="33" t="s">
        <v>122</v>
      </c>
      <c r="H543" s="33" t="s">
        <v>118</v>
      </c>
      <c r="I543" s="70">
        <v>507.69</v>
      </c>
      <c r="J543" s="33" t="s">
        <v>768</v>
      </c>
      <c r="K543" s="65">
        <v>46011</v>
      </c>
      <c r="L543" s="33">
        <v>2026400033</v>
      </c>
      <c r="M543" s="33" t="s">
        <v>222</v>
      </c>
      <c r="N543" s="33">
        <v>2025</v>
      </c>
    </row>
    <row r="544" spans="1:14">
      <c r="A544" s="33">
        <v>543</v>
      </c>
      <c r="B544" s="33" t="s">
        <v>42</v>
      </c>
      <c r="C544" s="33" t="s">
        <v>50</v>
      </c>
      <c r="D544" s="33" t="s">
        <v>60</v>
      </c>
      <c r="E544" s="33" t="s">
        <v>71</v>
      </c>
      <c r="F544" s="33"/>
      <c r="G544" s="33" t="s">
        <v>122</v>
      </c>
      <c r="H544" s="33" t="s">
        <v>118</v>
      </c>
      <c r="I544" s="70">
        <v>831</v>
      </c>
      <c r="J544" s="33" t="s">
        <v>769</v>
      </c>
      <c r="K544" s="65">
        <v>46011</v>
      </c>
      <c r="L544" s="33">
        <v>2026400038</v>
      </c>
      <c r="M544" s="33" t="s">
        <v>222</v>
      </c>
      <c r="N544" s="33">
        <v>2025</v>
      </c>
    </row>
    <row r="545" spans="1:14">
      <c r="A545" s="33">
        <v>544</v>
      </c>
      <c r="B545" s="33" t="s">
        <v>35</v>
      </c>
      <c r="C545" s="33" t="s">
        <v>36</v>
      </c>
      <c r="D545" s="33" t="s">
        <v>60</v>
      </c>
      <c r="E545" s="33" t="s">
        <v>71</v>
      </c>
      <c r="F545" s="33"/>
      <c r="G545" s="33" t="s">
        <v>122</v>
      </c>
      <c r="H545" s="33" t="s">
        <v>118</v>
      </c>
      <c r="I545" s="70">
        <v>793.33</v>
      </c>
      <c r="J545" s="33" t="s">
        <v>770</v>
      </c>
      <c r="K545" s="65">
        <v>46011</v>
      </c>
      <c r="L545" s="33">
        <v>2026400039</v>
      </c>
      <c r="M545" s="33" t="s">
        <v>222</v>
      </c>
      <c r="N545" s="33">
        <v>2025</v>
      </c>
    </row>
    <row r="546" spans="1:14">
      <c r="A546" s="33">
        <v>545</v>
      </c>
      <c r="B546" s="33" t="s">
        <v>52</v>
      </c>
      <c r="C546" s="122" t="s">
        <v>62</v>
      </c>
      <c r="D546" s="33" t="s">
        <v>60</v>
      </c>
      <c r="E546" s="33" t="s">
        <v>71</v>
      </c>
      <c r="F546" s="33"/>
      <c r="G546" s="33" t="s">
        <v>119</v>
      </c>
      <c r="H546" s="33" t="s">
        <v>608</v>
      </c>
      <c r="I546" s="70">
        <v>2003.6</v>
      </c>
      <c r="J546" s="33" t="s">
        <v>771</v>
      </c>
      <c r="K546" s="65">
        <v>46036</v>
      </c>
      <c r="L546" s="33">
        <v>2026400127</v>
      </c>
      <c r="M546" s="33" t="s">
        <v>222</v>
      </c>
      <c r="N546" s="33">
        <v>2025</v>
      </c>
    </row>
    <row r="547" spans="1:14">
      <c r="A547" s="33">
        <v>546</v>
      </c>
      <c r="B547" s="62" t="s">
        <v>52</v>
      </c>
      <c r="C547" s="122" t="s">
        <v>62</v>
      </c>
      <c r="D547" s="33" t="s">
        <v>19</v>
      </c>
      <c r="E547" s="33" t="s">
        <v>96</v>
      </c>
      <c r="F547" s="33"/>
      <c r="G547" s="62" t="s">
        <v>255</v>
      </c>
      <c r="H547" s="62" t="s">
        <v>98</v>
      </c>
      <c r="I547" s="70">
        <v>20485.2</v>
      </c>
      <c r="J547" s="33" t="s">
        <v>14</v>
      </c>
      <c r="K547" s="65" t="s">
        <v>14</v>
      </c>
      <c r="L547" s="33" t="s">
        <v>14</v>
      </c>
      <c r="M547" s="62" t="s">
        <v>222</v>
      </c>
      <c r="N547" s="33">
        <v>2025</v>
      </c>
    </row>
    <row r="548" spans="1:14">
      <c r="A548" s="33">
        <v>547</v>
      </c>
      <c r="B548" s="62" t="s">
        <v>42</v>
      </c>
      <c r="C548" s="33" t="s">
        <v>51</v>
      </c>
      <c r="D548" s="33" t="s">
        <v>60</v>
      </c>
      <c r="E548" s="33" t="s">
        <v>96</v>
      </c>
      <c r="F548" s="33"/>
      <c r="G548" s="62" t="s">
        <v>93</v>
      </c>
      <c r="H548" s="62" t="s">
        <v>98</v>
      </c>
      <c r="I548" s="70">
        <v>1379.3103448275863</v>
      </c>
      <c r="J548" s="33" t="s">
        <v>327</v>
      </c>
      <c r="K548" s="65">
        <v>46022</v>
      </c>
      <c r="L548" s="33" t="s">
        <v>14</v>
      </c>
      <c r="M548" s="62" t="s">
        <v>222</v>
      </c>
      <c r="N548" s="33">
        <v>2025</v>
      </c>
    </row>
    <row r="549" spans="1:14">
      <c r="A549" s="33">
        <v>548</v>
      </c>
      <c r="B549" s="62" t="s">
        <v>33</v>
      </c>
      <c r="C549" s="33" t="s">
        <v>34</v>
      </c>
      <c r="D549" s="33" t="s">
        <v>60</v>
      </c>
      <c r="E549" s="33" t="s">
        <v>96</v>
      </c>
      <c r="F549" s="33"/>
      <c r="G549" s="62" t="s">
        <v>97</v>
      </c>
      <c r="H549" s="62" t="s">
        <v>98</v>
      </c>
      <c r="I549" s="70">
        <v>2640</v>
      </c>
      <c r="J549" s="33" t="s">
        <v>322</v>
      </c>
      <c r="K549" s="65">
        <v>46020</v>
      </c>
      <c r="L549" s="33" t="s">
        <v>14</v>
      </c>
      <c r="M549" s="62" t="s">
        <v>222</v>
      </c>
      <c r="N549" s="33">
        <v>2025</v>
      </c>
    </row>
    <row r="550" spans="1:14">
      <c r="A550" s="33">
        <v>549</v>
      </c>
      <c r="B550" s="62" t="s">
        <v>42</v>
      </c>
      <c r="C550" s="33" t="s">
        <v>51</v>
      </c>
      <c r="D550" s="33" t="s">
        <v>60</v>
      </c>
      <c r="E550" s="33" t="s">
        <v>96</v>
      </c>
      <c r="F550" s="33"/>
      <c r="G550" s="62" t="s">
        <v>97</v>
      </c>
      <c r="H550" s="62" t="s">
        <v>98</v>
      </c>
      <c r="I550" s="70">
        <v>15500</v>
      </c>
      <c r="J550" s="33" t="s">
        <v>323</v>
      </c>
      <c r="K550" s="65">
        <v>46020</v>
      </c>
      <c r="L550" s="33" t="s">
        <v>14</v>
      </c>
      <c r="M550" s="62" t="s">
        <v>222</v>
      </c>
      <c r="N550" s="33">
        <v>2025</v>
      </c>
    </row>
    <row r="551" spans="1:14">
      <c r="A551" s="33">
        <v>550</v>
      </c>
      <c r="B551" s="62" t="s">
        <v>33</v>
      </c>
      <c r="C551" s="33" t="s">
        <v>34</v>
      </c>
      <c r="D551" s="33" t="s">
        <v>60</v>
      </c>
      <c r="E551" s="33" t="s">
        <v>96</v>
      </c>
      <c r="F551" s="33"/>
      <c r="G551" s="62" t="s">
        <v>97</v>
      </c>
      <c r="H551" s="62" t="s">
        <v>254</v>
      </c>
      <c r="I551" s="70">
        <v>8640</v>
      </c>
      <c r="J551" s="33" t="s">
        <v>324</v>
      </c>
      <c r="K551" s="65">
        <v>46020</v>
      </c>
      <c r="L551" s="33" t="s">
        <v>14</v>
      </c>
      <c r="M551" s="62" t="s">
        <v>222</v>
      </c>
      <c r="N551" s="33">
        <v>2025</v>
      </c>
    </row>
    <row r="552" spans="1:14">
      <c r="A552" s="33">
        <v>551</v>
      </c>
      <c r="B552" s="62" t="s">
        <v>17</v>
      </c>
      <c r="C552" s="33" t="s">
        <v>25</v>
      </c>
      <c r="D552" s="33" t="s">
        <v>60</v>
      </c>
      <c r="E552" s="33" t="s">
        <v>96</v>
      </c>
      <c r="F552" s="33"/>
      <c r="G552" s="62" t="s">
        <v>97</v>
      </c>
      <c r="H552" s="62" t="s">
        <v>98</v>
      </c>
      <c r="I552" s="70">
        <v>15500</v>
      </c>
      <c r="J552" s="33" t="s">
        <v>325</v>
      </c>
      <c r="K552" s="65">
        <v>46020</v>
      </c>
      <c r="L552" s="33" t="s">
        <v>14</v>
      </c>
      <c r="M552" s="62" t="s">
        <v>222</v>
      </c>
      <c r="N552" s="33">
        <v>2025</v>
      </c>
    </row>
    <row r="553" spans="1:14">
      <c r="A553" s="33">
        <v>552</v>
      </c>
      <c r="B553" s="62" t="s">
        <v>17</v>
      </c>
      <c r="C553" s="33" t="s">
        <v>25</v>
      </c>
      <c r="D553" s="33" t="s">
        <v>60</v>
      </c>
      <c r="E553" s="33" t="s">
        <v>96</v>
      </c>
      <c r="F553" s="33"/>
      <c r="G553" s="62" t="s">
        <v>97</v>
      </c>
      <c r="H553" s="62" t="s">
        <v>98</v>
      </c>
      <c r="I553" s="70">
        <v>3720</v>
      </c>
      <c r="J553" s="33" t="s">
        <v>326</v>
      </c>
      <c r="K553" s="65">
        <v>46020</v>
      </c>
      <c r="L553" s="33" t="s">
        <v>14</v>
      </c>
      <c r="M553" s="62" t="s">
        <v>222</v>
      </c>
      <c r="N553" s="33">
        <v>2025</v>
      </c>
    </row>
    <row r="554" spans="1:14">
      <c r="A554" s="33">
        <v>553</v>
      </c>
      <c r="B554" s="62" t="s">
        <v>250</v>
      </c>
      <c r="C554" s="33" t="s">
        <v>55</v>
      </c>
      <c r="D554" s="33" t="s">
        <v>60</v>
      </c>
      <c r="E554" s="33" t="s">
        <v>96</v>
      </c>
      <c r="F554" s="33"/>
      <c r="G554" s="62" t="s">
        <v>99</v>
      </c>
      <c r="H554" s="62" t="s">
        <v>98</v>
      </c>
      <c r="I554" s="70">
        <v>11520</v>
      </c>
      <c r="J554" s="33" t="s">
        <v>321</v>
      </c>
      <c r="K554" s="65">
        <v>46021</v>
      </c>
      <c r="L554" s="33" t="s">
        <v>14</v>
      </c>
      <c r="M554" s="62" t="s">
        <v>222</v>
      </c>
      <c r="N554" s="33">
        <v>2025</v>
      </c>
    </row>
    <row r="555" spans="1:14">
      <c r="A555" s="33">
        <v>554</v>
      </c>
      <c r="B555" s="33" t="s">
        <v>17</v>
      </c>
      <c r="C555" s="33" t="s">
        <v>23</v>
      </c>
      <c r="D555" s="33" t="s">
        <v>60</v>
      </c>
      <c r="E555" s="33" t="s">
        <v>96</v>
      </c>
      <c r="F555" s="33"/>
      <c r="G555" s="33" t="s">
        <v>99</v>
      </c>
      <c r="H555" s="33" t="s">
        <v>98</v>
      </c>
      <c r="I555" s="70">
        <v>4500</v>
      </c>
      <c r="J555" s="33" t="s">
        <v>321</v>
      </c>
      <c r="K555" s="65">
        <v>46021</v>
      </c>
      <c r="L555" s="33" t="s">
        <v>14</v>
      </c>
      <c r="M555" s="64" t="s">
        <v>222</v>
      </c>
      <c r="N555" s="33">
        <v>2025</v>
      </c>
    </row>
    <row r="556" spans="1:14">
      <c r="A556" s="33">
        <v>555</v>
      </c>
      <c r="B556" s="33" t="s">
        <v>17</v>
      </c>
      <c r="C556" s="33" t="s">
        <v>23</v>
      </c>
      <c r="D556" s="33" t="s">
        <v>60</v>
      </c>
      <c r="E556" s="33" t="s">
        <v>96</v>
      </c>
      <c r="F556" s="33"/>
      <c r="G556" s="33" t="s">
        <v>99</v>
      </c>
      <c r="H556" s="33" t="s">
        <v>254</v>
      </c>
      <c r="I556" s="70">
        <v>1000</v>
      </c>
      <c r="J556" s="33" t="s">
        <v>321</v>
      </c>
      <c r="K556" s="65">
        <v>46021</v>
      </c>
      <c r="L556" s="33" t="s">
        <v>14</v>
      </c>
      <c r="M556" s="64" t="s">
        <v>222</v>
      </c>
      <c r="N556" s="33">
        <v>2025</v>
      </c>
    </row>
    <row r="557" spans="1:14">
      <c r="A557" s="33">
        <v>556</v>
      </c>
      <c r="B557" s="33" t="s">
        <v>58</v>
      </c>
      <c r="C557" s="33" t="s">
        <v>59</v>
      </c>
      <c r="D557" s="33" t="s">
        <v>19</v>
      </c>
      <c r="E557" s="74" t="s">
        <v>108</v>
      </c>
      <c r="F557" s="33"/>
      <c r="G557" s="33" t="s">
        <v>21</v>
      </c>
      <c r="H557" s="33" t="s">
        <v>108</v>
      </c>
      <c r="I557" s="70">
        <v>25000</v>
      </c>
      <c r="J557" s="33" t="s">
        <v>14</v>
      </c>
      <c r="K557" s="65" t="s">
        <v>14</v>
      </c>
      <c r="L557" s="33" t="s">
        <v>14</v>
      </c>
      <c r="M557" s="64" t="s">
        <v>222</v>
      </c>
      <c r="N557" s="33">
        <v>2025</v>
      </c>
    </row>
    <row r="558" spans="1:14">
      <c r="A558" s="33">
        <v>557</v>
      </c>
      <c r="B558" s="33" t="s">
        <v>17</v>
      </c>
      <c r="C558" s="33" t="s">
        <v>18</v>
      </c>
      <c r="D558" s="33" t="s">
        <v>60</v>
      </c>
      <c r="E558" s="33" t="s">
        <v>20</v>
      </c>
      <c r="F558" s="33"/>
      <c r="G558" s="33" t="s">
        <v>21</v>
      </c>
      <c r="H558" s="33" t="s">
        <v>300</v>
      </c>
      <c r="I558" s="70">
        <v>102612</v>
      </c>
      <c r="J558" s="33" t="s">
        <v>14</v>
      </c>
      <c r="K558" s="65" t="s">
        <v>14</v>
      </c>
      <c r="L558" s="33" t="s">
        <v>14</v>
      </c>
      <c r="M558" s="33" t="s">
        <v>222</v>
      </c>
      <c r="N558" s="33">
        <v>2025</v>
      </c>
    </row>
    <row r="559" spans="1:14">
      <c r="A559" s="33">
        <v>558</v>
      </c>
      <c r="B559" s="33" t="s">
        <v>17</v>
      </c>
      <c r="C559" s="33" t="s">
        <v>74</v>
      </c>
      <c r="D559" s="33" t="s">
        <v>60</v>
      </c>
      <c r="E559" s="33" t="s">
        <v>20</v>
      </c>
      <c r="F559" s="33"/>
      <c r="G559" s="33" t="s">
        <v>21</v>
      </c>
      <c r="H559" s="33" t="s">
        <v>300</v>
      </c>
      <c r="I559" s="70">
        <v>15601</v>
      </c>
      <c r="J559" s="33" t="s">
        <v>14</v>
      </c>
      <c r="K559" s="65" t="s">
        <v>14</v>
      </c>
      <c r="L559" s="33" t="s">
        <v>14</v>
      </c>
      <c r="M559" s="33" t="s">
        <v>222</v>
      </c>
      <c r="N559" s="33">
        <v>2025</v>
      </c>
    </row>
    <row r="560" spans="1:14">
      <c r="A560" s="33">
        <v>559</v>
      </c>
      <c r="B560" s="33" t="s">
        <v>17</v>
      </c>
      <c r="C560" s="33" t="s">
        <v>22</v>
      </c>
      <c r="D560" s="33" t="s">
        <v>60</v>
      </c>
      <c r="E560" s="33" t="s">
        <v>20</v>
      </c>
      <c r="F560" s="33"/>
      <c r="G560" s="33" t="s">
        <v>21</v>
      </c>
      <c r="H560" s="33" t="s">
        <v>300</v>
      </c>
      <c r="I560" s="70">
        <v>115204</v>
      </c>
      <c r="J560" s="33" t="s">
        <v>14</v>
      </c>
      <c r="K560" s="65" t="s">
        <v>14</v>
      </c>
      <c r="L560" s="33" t="s">
        <v>14</v>
      </c>
      <c r="M560" s="33" t="s">
        <v>222</v>
      </c>
      <c r="N560" s="33">
        <v>2025</v>
      </c>
    </row>
    <row r="561" spans="1:14">
      <c r="A561" s="33">
        <v>560</v>
      </c>
      <c r="B561" s="33" t="s">
        <v>17</v>
      </c>
      <c r="C561" s="33" t="s">
        <v>92</v>
      </c>
      <c r="D561" s="33" t="s">
        <v>60</v>
      </c>
      <c r="E561" s="33" t="s">
        <v>20</v>
      </c>
      <c r="F561" s="33"/>
      <c r="G561" s="33" t="s">
        <v>21</v>
      </c>
      <c r="H561" s="33" t="s">
        <v>300</v>
      </c>
      <c r="I561" s="70">
        <v>37874</v>
      </c>
      <c r="J561" s="33" t="s">
        <v>14</v>
      </c>
      <c r="K561" s="65" t="s">
        <v>14</v>
      </c>
      <c r="L561" s="33" t="s">
        <v>14</v>
      </c>
      <c r="M561" s="33" t="s">
        <v>222</v>
      </c>
      <c r="N561" s="33">
        <v>2025</v>
      </c>
    </row>
    <row r="562" spans="1:14">
      <c r="A562" s="33">
        <v>561</v>
      </c>
      <c r="B562" s="33" t="s">
        <v>17</v>
      </c>
      <c r="C562" s="33" t="s">
        <v>23</v>
      </c>
      <c r="D562" s="33" t="s">
        <v>60</v>
      </c>
      <c r="E562" s="33" t="s">
        <v>20</v>
      </c>
      <c r="F562" s="33"/>
      <c r="G562" s="33" t="s">
        <v>21</v>
      </c>
      <c r="H562" s="33" t="s">
        <v>300</v>
      </c>
      <c r="I562" s="70">
        <v>532</v>
      </c>
      <c r="J562" s="33" t="s">
        <v>14</v>
      </c>
      <c r="K562" s="65" t="s">
        <v>14</v>
      </c>
      <c r="L562" s="33" t="s">
        <v>14</v>
      </c>
      <c r="M562" s="33" t="s">
        <v>222</v>
      </c>
      <c r="N562" s="33">
        <v>2025</v>
      </c>
    </row>
    <row r="563" spans="1:14">
      <c r="A563" s="33">
        <v>562</v>
      </c>
      <c r="B563" s="33" t="s">
        <v>17</v>
      </c>
      <c r="C563" s="33" t="s">
        <v>24</v>
      </c>
      <c r="D563" s="33" t="s">
        <v>60</v>
      </c>
      <c r="E563" s="33" t="s">
        <v>20</v>
      </c>
      <c r="F563" s="33"/>
      <c r="G563" s="33" t="s">
        <v>21</v>
      </c>
      <c r="H563" s="33" t="s">
        <v>300</v>
      </c>
      <c r="I563" s="70">
        <v>49261</v>
      </c>
      <c r="J563" s="33" t="s">
        <v>14</v>
      </c>
      <c r="K563" s="65" t="s">
        <v>14</v>
      </c>
      <c r="L563" s="33" t="s">
        <v>14</v>
      </c>
      <c r="M563" s="33" t="s">
        <v>222</v>
      </c>
      <c r="N563" s="33">
        <v>2025</v>
      </c>
    </row>
    <row r="564" spans="1:14">
      <c r="A564" s="33">
        <v>563</v>
      </c>
      <c r="B564" s="33" t="s">
        <v>17</v>
      </c>
      <c r="C564" s="33" t="s">
        <v>25</v>
      </c>
      <c r="D564" s="33" t="s">
        <v>60</v>
      </c>
      <c r="E564" s="33" t="s">
        <v>20</v>
      </c>
      <c r="F564" s="33"/>
      <c r="G564" s="33" t="s">
        <v>21</v>
      </c>
      <c r="H564" s="33" t="s">
        <v>300</v>
      </c>
      <c r="I564" s="70">
        <v>211374</v>
      </c>
      <c r="J564" s="33" t="s">
        <v>14</v>
      </c>
      <c r="K564" s="65" t="s">
        <v>14</v>
      </c>
      <c r="L564" s="33" t="s">
        <v>14</v>
      </c>
      <c r="M564" s="33" t="s">
        <v>222</v>
      </c>
      <c r="N564" s="33">
        <v>2025</v>
      </c>
    </row>
    <row r="565" spans="1:14">
      <c r="A565" s="33">
        <v>564</v>
      </c>
      <c r="B565" s="33" t="s">
        <v>27</v>
      </c>
      <c r="C565" s="33" t="s">
        <v>28</v>
      </c>
      <c r="D565" s="33" t="s">
        <v>60</v>
      </c>
      <c r="E565" s="33" t="s">
        <v>20</v>
      </c>
      <c r="F565" s="33"/>
      <c r="G565" s="33" t="s">
        <v>21</v>
      </c>
      <c r="H565" s="33" t="s">
        <v>300</v>
      </c>
      <c r="I565" s="70">
        <v>19864</v>
      </c>
      <c r="J565" s="33" t="s">
        <v>14</v>
      </c>
      <c r="K565" s="65" t="s">
        <v>14</v>
      </c>
      <c r="L565" s="33" t="s">
        <v>14</v>
      </c>
      <c r="M565" s="33" t="s">
        <v>222</v>
      </c>
      <c r="N565" s="33">
        <v>2025</v>
      </c>
    </row>
    <row r="566" spans="1:14">
      <c r="A566" s="33">
        <v>565</v>
      </c>
      <c r="B566" s="33" t="s">
        <v>54</v>
      </c>
      <c r="C566" s="33" t="s">
        <v>55</v>
      </c>
      <c r="D566" s="33" t="s">
        <v>60</v>
      </c>
      <c r="E566" s="33" t="s">
        <v>20</v>
      </c>
      <c r="F566" s="33"/>
      <c r="G566" s="33" t="s">
        <v>21</v>
      </c>
      <c r="H566" s="33" t="s">
        <v>300</v>
      </c>
      <c r="I566" s="70">
        <v>94120</v>
      </c>
      <c r="J566" s="33" t="s">
        <v>14</v>
      </c>
      <c r="K566" s="65" t="s">
        <v>14</v>
      </c>
      <c r="L566" s="33" t="s">
        <v>14</v>
      </c>
      <c r="M566" s="33" t="s">
        <v>222</v>
      </c>
      <c r="N566" s="33">
        <v>2025</v>
      </c>
    </row>
    <row r="567" spans="1:14">
      <c r="A567" s="33">
        <v>566</v>
      </c>
      <c r="B567" s="33" t="s">
        <v>58</v>
      </c>
      <c r="C567" s="33" t="s">
        <v>59</v>
      </c>
      <c r="D567" s="33" t="s">
        <v>60</v>
      </c>
      <c r="E567" s="33" t="s">
        <v>20</v>
      </c>
      <c r="F567" s="33"/>
      <c r="G567" s="33" t="s">
        <v>21</v>
      </c>
      <c r="H567" s="33" t="s">
        <v>300</v>
      </c>
      <c r="I567" s="70">
        <v>96595</v>
      </c>
      <c r="J567" s="33" t="s">
        <v>14</v>
      </c>
      <c r="K567" s="65" t="s">
        <v>14</v>
      </c>
      <c r="L567" s="33" t="s">
        <v>14</v>
      </c>
      <c r="M567" s="33" t="s">
        <v>222</v>
      </c>
      <c r="N567" s="33">
        <v>2025</v>
      </c>
    </row>
    <row r="568" spans="1:14">
      <c r="A568" s="33">
        <v>567</v>
      </c>
      <c r="B568" s="33" t="s">
        <v>29</v>
      </c>
      <c r="C568" s="33" t="s">
        <v>30</v>
      </c>
      <c r="D568" s="33" t="s">
        <v>60</v>
      </c>
      <c r="E568" s="33" t="s">
        <v>20</v>
      </c>
      <c r="F568" s="33"/>
      <c r="G568" s="33" t="s">
        <v>21</v>
      </c>
      <c r="H568" s="33" t="s">
        <v>300</v>
      </c>
      <c r="I568" s="70">
        <v>436</v>
      </c>
      <c r="J568" s="33" t="s">
        <v>14</v>
      </c>
      <c r="K568" s="65" t="s">
        <v>14</v>
      </c>
      <c r="L568" s="33" t="s">
        <v>14</v>
      </c>
      <c r="M568" s="33" t="s">
        <v>222</v>
      </c>
      <c r="N568" s="33">
        <v>2025</v>
      </c>
    </row>
    <row r="569" spans="1:14">
      <c r="A569" s="33">
        <v>568</v>
      </c>
      <c r="B569" s="33" t="s">
        <v>95</v>
      </c>
      <c r="C569" s="33" t="s">
        <v>95</v>
      </c>
      <c r="D569" s="33" t="s">
        <v>60</v>
      </c>
      <c r="E569" s="33" t="s">
        <v>20</v>
      </c>
      <c r="F569" s="33"/>
      <c r="G569" s="33" t="s">
        <v>21</v>
      </c>
      <c r="H569" s="33" t="s">
        <v>300</v>
      </c>
      <c r="I569" s="70">
        <v>64063</v>
      </c>
      <c r="J569" s="33" t="s">
        <v>14</v>
      </c>
      <c r="K569" s="65" t="s">
        <v>14</v>
      </c>
      <c r="L569" s="33" t="s">
        <v>14</v>
      </c>
      <c r="M569" s="33" t="s">
        <v>222</v>
      </c>
      <c r="N569" s="33">
        <v>2025</v>
      </c>
    </row>
    <row r="570" spans="1:14">
      <c r="A570" s="33">
        <v>569</v>
      </c>
      <c r="B570" s="33" t="s">
        <v>33</v>
      </c>
      <c r="C570" s="33" t="s">
        <v>34</v>
      </c>
      <c r="D570" s="33" t="s">
        <v>60</v>
      </c>
      <c r="E570" s="33" t="s">
        <v>20</v>
      </c>
      <c r="F570" s="33"/>
      <c r="G570" s="33" t="s">
        <v>21</v>
      </c>
      <c r="H570" s="33" t="s">
        <v>300</v>
      </c>
      <c r="I570" s="70">
        <v>57617</v>
      </c>
      <c r="J570" s="33" t="s">
        <v>14</v>
      </c>
      <c r="K570" s="65" t="s">
        <v>14</v>
      </c>
      <c r="L570" s="33" t="s">
        <v>14</v>
      </c>
      <c r="M570" s="33" t="s">
        <v>222</v>
      </c>
      <c r="N570" s="33">
        <v>2025</v>
      </c>
    </row>
    <row r="571" spans="1:14">
      <c r="A571" s="33">
        <v>570</v>
      </c>
      <c r="B571" s="33" t="s">
        <v>35</v>
      </c>
      <c r="C571" s="122" t="s">
        <v>284</v>
      </c>
      <c r="D571" s="33" t="s">
        <v>60</v>
      </c>
      <c r="E571" s="33" t="s">
        <v>20</v>
      </c>
      <c r="F571" s="33"/>
      <c r="G571" s="33" t="s">
        <v>21</v>
      </c>
      <c r="H571" s="33" t="s">
        <v>300</v>
      </c>
      <c r="I571" s="70">
        <v>1217</v>
      </c>
      <c r="J571" s="33" t="s">
        <v>14</v>
      </c>
      <c r="K571" s="65" t="s">
        <v>14</v>
      </c>
      <c r="L571" s="33" t="s">
        <v>14</v>
      </c>
      <c r="M571" s="33" t="s">
        <v>222</v>
      </c>
      <c r="N571" s="33">
        <v>2025</v>
      </c>
    </row>
    <row r="572" spans="1:14">
      <c r="A572" s="33">
        <v>571</v>
      </c>
      <c r="B572" s="33" t="s">
        <v>35</v>
      </c>
      <c r="C572" s="33" t="s">
        <v>36</v>
      </c>
      <c r="D572" s="33" t="s">
        <v>60</v>
      </c>
      <c r="E572" s="33" t="s">
        <v>20</v>
      </c>
      <c r="F572" s="33"/>
      <c r="G572" s="33" t="s">
        <v>21</v>
      </c>
      <c r="H572" s="33" t="s">
        <v>300</v>
      </c>
      <c r="I572" s="70">
        <v>41827</v>
      </c>
      <c r="J572" s="33" t="s">
        <v>14</v>
      </c>
      <c r="K572" s="65" t="s">
        <v>14</v>
      </c>
      <c r="L572" s="33" t="s">
        <v>14</v>
      </c>
      <c r="M572" s="33" t="s">
        <v>222</v>
      </c>
      <c r="N572" s="33">
        <v>2025</v>
      </c>
    </row>
    <row r="573" spans="1:14">
      <c r="A573" s="33">
        <v>572</v>
      </c>
      <c r="B573" s="33" t="s">
        <v>35</v>
      </c>
      <c r="C573" s="33" t="s">
        <v>37</v>
      </c>
      <c r="D573" s="33" t="s">
        <v>60</v>
      </c>
      <c r="E573" s="33" t="s">
        <v>20</v>
      </c>
      <c r="F573" s="33"/>
      <c r="G573" s="33" t="s">
        <v>21</v>
      </c>
      <c r="H573" s="33" t="s">
        <v>300</v>
      </c>
      <c r="I573" s="70">
        <v>120508</v>
      </c>
      <c r="J573" s="33" t="s">
        <v>14</v>
      </c>
      <c r="K573" s="65" t="s">
        <v>14</v>
      </c>
      <c r="L573" s="33" t="s">
        <v>14</v>
      </c>
      <c r="M573" s="33" t="s">
        <v>222</v>
      </c>
      <c r="N573" s="33">
        <v>2025</v>
      </c>
    </row>
    <row r="574" spans="1:14">
      <c r="A574" s="33">
        <v>573</v>
      </c>
      <c r="B574" s="33" t="s">
        <v>35</v>
      </c>
      <c r="C574" s="33" t="s">
        <v>41</v>
      </c>
      <c r="D574" s="33" t="s">
        <v>60</v>
      </c>
      <c r="E574" s="33" t="s">
        <v>20</v>
      </c>
      <c r="F574" s="33"/>
      <c r="G574" s="33" t="s">
        <v>21</v>
      </c>
      <c r="H574" s="33" t="s">
        <v>300</v>
      </c>
      <c r="I574" s="70">
        <v>14185</v>
      </c>
      <c r="J574" s="33" t="s">
        <v>14</v>
      </c>
      <c r="K574" s="65" t="s">
        <v>14</v>
      </c>
      <c r="L574" s="33" t="s">
        <v>14</v>
      </c>
      <c r="M574" s="33" t="s">
        <v>222</v>
      </c>
      <c r="N574" s="33">
        <v>2025</v>
      </c>
    </row>
    <row r="575" spans="1:14">
      <c r="A575" s="33">
        <v>574</v>
      </c>
      <c r="B575" s="33" t="s">
        <v>42</v>
      </c>
      <c r="C575" s="33" t="s">
        <v>43</v>
      </c>
      <c r="D575" s="33" t="s">
        <v>60</v>
      </c>
      <c r="E575" s="33" t="s">
        <v>20</v>
      </c>
      <c r="F575" s="33"/>
      <c r="G575" s="33" t="s">
        <v>21</v>
      </c>
      <c r="H575" s="33" t="s">
        <v>300</v>
      </c>
      <c r="I575" s="70">
        <v>55393</v>
      </c>
      <c r="J575" s="33" t="s">
        <v>14</v>
      </c>
      <c r="K575" s="65" t="s">
        <v>14</v>
      </c>
      <c r="L575" s="33" t="s">
        <v>14</v>
      </c>
      <c r="M575" s="33" t="s">
        <v>222</v>
      </c>
      <c r="N575" s="33">
        <v>2025</v>
      </c>
    </row>
    <row r="576" spans="1:14">
      <c r="A576" s="33">
        <v>575</v>
      </c>
      <c r="B576" s="33" t="s">
        <v>42</v>
      </c>
      <c r="C576" s="33" t="s">
        <v>44</v>
      </c>
      <c r="D576" s="33" t="s">
        <v>60</v>
      </c>
      <c r="E576" s="33" t="s">
        <v>20</v>
      </c>
      <c r="F576" s="33"/>
      <c r="G576" s="33" t="s">
        <v>21</v>
      </c>
      <c r="H576" s="33" t="s">
        <v>300</v>
      </c>
      <c r="I576" s="70">
        <v>29274</v>
      </c>
      <c r="J576" s="33" t="s">
        <v>14</v>
      </c>
      <c r="K576" s="65" t="s">
        <v>14</v>
      </c>
      <c r="L576" s="33" t="s">
        <v>14</v>
      </c>
      <c r="M576" s="33" t="s">
        <v>222</v>
      </c>
      <c r="N576" s="33">
        <v>2025</v>
      </c>
    </row>
    <row r="577" spans="1:14">
      <c r="A577" s="33">
        <v>576</v>
      </c>
      <c r="B577" s="33" t="s">
        <v>42</v>
      </c>
      <c r="C577" s="33" t="s">
        <v>45</v>
      </c>
      <c r="D577" s="33" t="s">
        <v>60</v>
      </c>
      <c r="E577" s="33" t="s">
        <v>20</v>
      </c>
      <c r="F577" s="33"/>
      <c r="G577" s="33" t="s">
        <v>21</v>
      </c>
      <c r="H577" s="33" t="s">
        <v>300</v>
      </c>
      <c r="I577" s="70">
        <v>71133</v>
      </c>
      <c r="J577" s="33" t="s">
        <v>14</v>
      </c>
      <c r="K577" s="65" t="s">
        <v>14</v>
      </c>
      <c r="L577" s="33" t="s">
        <v>14</v>
      </c>
      <c r="M577" s="33" t="s">
        <v>222</v>
      </c>
      <c r="N577" s="33">
        <v>2025</v>
      </c>
    </row>
    <row r="578" spans="1:14">
      <c r="A578" s="33">
        <v>577</v>
      </c>
      <c r="B578" s="33" t="s">
        <v>42</v>
      </c>
      <c r="C578" s="33" t="s">
        <v>46</v>
      </c>
      <c r="D578" s="33" t="s">
        <v>60</v>
      </c>
      <c r="E578" s="33" t="s">
        <v>20</v>
      </c>
      <c r="F578" s="33"/>
      <c r="G578" s="33" t="s">
        <v>21</v>
      </c>
      <c r="H578" s="33" t="s">
        <v>300</v>
      </c>
      <c r="I578" s="70">
        <v>16135</v>
      </c>
      <c r="J578" s="33" t="s">
        <v>14</v>
      </c>
      <c r="K578" s="65" t="s">
        <v>14</v>
      </c>
      <c r="L578" s="33" t="s">
        <v>14</v>
      </c>
      <c r="M578" s="33" t="s">
        <v>222</v>
      </c>
      <c r="N578" s="33">
        <v>2025</v>
      </c>
    </row>
    <row r="579" spans="1:14">
      <c r="A579" s="33">
        <v>578</v>
      </c>
      <c r="B579" s="33" t="s">
        <v>42</v>
      </c>
      <c r="C579" s="33" t="s">
        <v>305</v>
      </c>
      <c r="D579" s="33" t="s">
        <v>60</v>
      </c>
      <c r="E579" s="33" t="s">
        <v>20</v>
      </c>
      <c r="F579" s="33"/>
      <c r="G579" s="33" t="s">
        <v>21</v>
      </c>
      <c r="H579" s="33" t="s">
        <v>300</v>
      </c>
      <c r="I579" s="70">
        <v>1801</v>
      </c>
      <c r="J579" s="33" t="s">
        <v>14</v>
      </c>
      <c r="K579" s="65" t="s">
        <v>14</v>
      </c>
      <c r="L579" s="33" t="s">
        <v>14</v>
      </c>
      <c r="M579" s="33" t="s">
        <v>222</v>
      </c>
      <c r="N579" s="33">
        <v>2025</v>
      </c>
    </row>
    <row r="580" spans="1:14">
      <c r="A580" s="33">
        <v>579</v>
      </c>
      <c r="B580" s="33" t="s">
        <v>42</v>
      </c>
      <c r="C580" s="33" t="s">
        <v>47</v>
      </c>
      <c r="D580" s="33" t="s">
        <v>60</v>
      </c>
      <c r="E580" s="33" t="s">
        <v>20</v>
      </c>
      <c r="F580" s="33"/>
      <c r="G580" s="33" t="s">
        <v>21</v>
      </c>
      <c r="H580" s="33" t="s">
        <v>300</v>
      </c>
      <c r="I580" s="70">
        <v>62658</v>
      </c>
      <c r="J580" s="33" t="s">
        <v>14</v>
      </c>
      <c r="K580" s="65" t="s">
        <v>14</v>
      </c>
      <c r="L580" s="33" t="s">
        <v>14</v>
      </c>
      <c r="M580" s="33" t="s">
        <v>222</v>
      </c>
      <c r="N580" s="33">
        <v>2025</v>
      </c>
    </row>
    <row r="581" spans="1:14">
      <c r="A581" s="33">
        <v>580</v>
      </c>
      <c r="B581" s="33" t="s">
        <v>42</v>
      </c>
      <c r="C581" s="126" t="s">
        <v>285</v>
      </c>
      <c r="D581" s="33" t="s">
        <v>60</v>
      </c>
      <c r="E581" s="33" t="s">
        <v>20</v>
      </c>
      <c r="F581" s="33"/>
      <c r="G581" s="33" t="s">
        <v>21</v>
      </c>
      <c r="H581" s="33" t="s">
        <v>300</v>
      </c>
      <c r="I581" s="70">
        <v>76374</v>
      </c>
      <c r="J581" s="33" t="s">
        <v>14</v>
      </c>
      <c r="K581" s="65" t="s">
        <v>14</v>
      </c>
      <c r="L581" s="33" t="s">
        <v>14</v>
      </c>
      <c r="M581" s="33" t="s">
        <v>222</v>
      </c>
      <c r="N581" s="33">
        <v>2025</v>
      </c>
    </row>
    <row r="582" spans="1:14">
      <c r="A582" s="33">
        <v>581</v>
      </c>
      <c r="B582" s="33" t="s">
        <v>42</v>
      </c>
      <c r="C582" s="33" t="s">
        <v>49</v>
      </c>
      <c r="D582" s="33" t="s">
        <v>60</v>
      </c>
      <c r="E582" s="33" t="s">
        <v>20</v>
      </c>
      <c r="F582" s="33"/>
      <c r="G582" s="33" t="s">
        <v>21</v>
      </c>
      <c r="H582" s="33" t="s">
        <v>300</v>
      </c>
      <c r="I582" s="70">
        <v>25928</v>
      </c>
      <c r="J582" s="33" t="s">
        <v>14</v>
      </c>
      <c r="K582" s="65" t="s">
        <v>14</v>
      </c>
      <c r="L582" s="33" t="s">
        <v>14</v>
      </c>
      <c r="M582" s="33" t="s">
        <v>222</v>
      </c>
      <c r="N582" s="33">
        <v>2025</v>
      </c>
    </row>
    <row r="583" spans="1:14">
      <c r="A583" s="33">
        <v>582</v>
      </c>
      <c r="B583" s="33" t="s">
        <v>42</v>
      </c>
      <c r="C583" s="33" t="s">
        <v>50</v>
      </c>
      <c r="D583" s="33" t="s">
        <v>60</v>
      </c>
      <c r="E583" s="33" t="s">
        <v>20</v>
      </c>
      <c r="F583" s="33"/>
      <c r="G583" s="33" t="s">
        <v>21</v>
      </c>
      <c r="H583" s="33" t="s">
        <v>300</v>
      </c>
      <c r="I583" s="70">
        <v>265250</v>
      </c>
      <c r="J583" s="33" t="s">
        <v>14</v>
      </c>
      <c r="K583" s="65" t="s">
        <v>14</v>
      </c>
      <c r="L583" s="33" t="s">
        <v>14</v>
      </c>
      <c r="M583" s="33" t="s">
        <v>222</v>
      </c>
      <c r="N583" s="33">
        <v>2025</v>
      </c>
    </row>
    <row r="584" spans="1:14">
      <c r="A584" s="33">
        <v>583</v>
      </c>
      <c r="B584" s="33" t="s">
        <v>42</v>
      </c>
      <c r="C584" s="33" t="s">
        <v>51</v>
      </c>
      <c r="D584" s="33" t="s">
        <v>60</v>
      </c>
      <c r="E584" s="33" t="s">
        <v>20</v>
      </c>
      <c r="F584" s="33"/>
      <c r="G584" s="33" t="s">
        <v>21</v>
      </c>
      <c r="H584" s="33" t="s">
        <v>300</v>
      </c>
      <c r="I584" s="70">
        <v>24688</v>
      </c>
      <c r="J584" s="33" t="s">
        <v>14</v>
      </c>
      <c r="K584" s="65" t="s">
        <v>14</v>
      </c>
      <c r="L584" s="33" t="s">
        <v>14</v>
      </c>
      <c r="M584" s="33" t="s">
        <v>222</v>
      </c>
      <c r="N584" s="33">
        <v>2025</v>
      </c>
    </row>
    <row r="585" spans="1:14">
      <c r="A585" s="33">
        <v>584</v>
      </c>
      <c r="B585" s="33" t="s">
        <v>42</v>
      </c>
      <c r="C585" s="33" t="s">
        <v>73</v>
      </c>
      <c r="D585" s="33" t="s">
        <v>60</v>
      </c>
      <c r="E585" s="33" t="s">
        <v>20</v>
      </c>
      <c r="F585" s="33"/>
      <c r="G585" s="33" t="s">
        <v>21</v>
      </c>
      <c r="H585" s="33" t="s">
        <v>300</v>
      </c>
      <c r="I585" s="70">
        <v>5421</v>
      </c>
      <c r="J585" s="33" t="s">
        <v>14</v>
      </c>
      <c r="K585" s="65" t="s">
        <v>14</v>
      </c>
      <c r="L585" s="33" t="s">
        <v>14</v>
      </c>
      <c r="M585" s="33" t="s">
        <v>222</v>
      </c>
      <c r="N585" s="33">
        <v>2025</v>
      </c>
    </row>
    <row r="586" spans="1:14">
      <c r="A586" s="33">
        <v>585</v>
      </c>
      <c r="B586" s="33" t="s">
        <v>52</v>
      </c>
      <c r="C586" s="122" t="s">
        <v>62</v>
      </c>
      <c r="D586" s="33" t="s">
        <v>60</v>
      </c>
      <c r="E586" s="33" t="s">
        <v>20</v>
      </c>
      <c r="F586" s="33"/>
      <c r="G586" s="33" t="s">
        <v>21</v>
      </c>
      <c r="H586" s="33" t="s">
        <v>300</v>
      </c>
      <c r="I586" s="70">
        <v>366703</v>
      </c>
      <c r="J586" s="33" t="s">
        <v>14</v>
      </c>
      <c r="K586" s="65" t="s">
        <v>14</v>
      </c>
      <c r="L586" s="33" t="s">
        <v>14</v>
      </c>
      <c r="M586" s="33" t="s">
        <v>222</v>
      </c>
      <c r="N586" s="33">
        <v>2025</v>
      </c>
    </row>
    <row r="587" spans="1:14">
      <c r="A587" s="33">
        <v>586</v>
      </c>
      <c r="B587" s="33" t="s">
        <v>58</v>
      </c>
      <c r="C587" s="33" t="s">
        <v>59</v>
      </c>
      <c r="D587" s="33" t="s">
        <v>60</v>
      </c>
      <c r="E587" s="33" t="s">
        <v>20</v>
      </c>
      <c r="F587" s="33"/>
      <c r="G587" s="33" t="s">
        <v>21</v>
      </c>
      <c r="H587" s="33" t="s">
        <v>299</v>
      </c>
      <c r="I587" s="70">
        <v>9500</v>
      </c>
      <c r="J587" s="33" t="s">
        <v>14</v>
      </c>
      <c r="K587" s="65" t="s">
        <v>14</v>
      </c>
      <c r="L587" s="33" t="s">
        <v>14</v>
      </c>
      <c r="M587" s="33" t="s">
        <v>222</v>
      </c>
      <c r="N587" s="33">
        <v>2025</v>
      </c>
    </row>
    <row r="588" spans="1:14">
      <c r="A588" s="33">
        <v>587</v>
      </c>
      <c r="B588" s="33" t="s">
        <v>274</v>
      </c>
      <c r="C588" s="33" t="s">
        <v>55</v>
      </c>
      <c r="D588" s="33" t="s">
        <v>19</v>
      </c>
      <c r="E588" s="33" t="s">
        <v>20</v>
      </c>
      <c r="F588" s="33"/>
      <c r="G588" s="33" t="s">
        <v>21</v>
      </c>
      <c r="H588" s="33" t="s">
        <v>301</v>
      </c>
      <c r="I588" s="70">
        <v>20693.706293706295</v>
      </c>
      <c r="J588" s="33" t="s">
        <v>14</v>
      </c>
      <c r="K588" s="65" t="s">
        <v>14</v>
      </c>
      <c r="L588" s="33" t="s">
        <v>14</v>
      </c>
      <c r="M588" s="33" t="s">
        <v>222</v>
      </c>
      <c r="N588" s="33">
        <v>2025</v>
      </c>
    </row>
    <row r="589" spans="1:14">
      <c r="A589" s="33">
        <v>588</v>
      </c>
      <c r="B589" s="33" t="s">
        <v>33</v>
      </c>
      <c r="C589" s="33" t="s">
        <v>34</v>
      </c>
      <c r="D589" s="33" t="s">
        <v>19</v>
      </c>
      <c r="E589" s="33" t="s">
        <v>20</v>
      </c>
      <c r="F589" s="33"/>
      <c r="G589" s="33" t="s">
        <v>21</v>
      </c>
      <c r="H589" s="33" t="s">
        <v>302</v>
      </c>
      <c r="I589" s="70">
        <v>18068</v>
      </c>
      <c r="J589" s="33" t="s">
        <v>14</v>
      </c>
      <c r="K589" s="65" t="s">
        <v>14</v>
      </c>
      <c r="L589" s="33" t="s">
        <v>14</v>
      </c>
      <c r="M589" s="33" t="s">
        <v>222</v>
      </c>
      <c r="N589" s="33">
        <v>2025</v>
      </c>
    </row>
    <row r="590" spans="1:14">
      <c r="A590" s="33">
        <v>589</v>
      </c>
      <c r="B590" s="33" t="s">
        <v>17</v>
      </c>
      <c r="C590" s="33" t="s">
        <v>25</v>
      </c>
      <c r="D590" s="33" t="s">
        <v>60</v>
      </c>
      <c r="E590" s="33" t="s">
        <v>20</v>
      </c>
      <c r="F590" s="33"/>
      <c r="G590" s="33" t="s">
        <v>21</v>
      </c>
      <c r="H590" s="33" t="s">
        <v>756</v>
      </c>
      <c r="I590" s="70">
        <v>10856.164383561643</v>
      </c>
      <c r="J590" s="33" t="s">
        <v>14</v>
      </c>
      <c r="K590" s="65" t="s">
        <v>14</v>
      </c>
      <c r="L590" s="33" t="s">
        <v>14</v>
      </c>
      <c r="M590" s="33" t="s">
        <v>222</v>
      </c>
      <c r="N590" s="33">
        <v>2025</v>
      </c>
    </row>
    <row r="591" spans="1:14">
      <c r="A591" s="33">
        <v>590</v>
      </c>
      <c r="B591" s="33" t="s">
        <v>17</v>
      </c>
      <c r="C591" s="33" t="s">
        <v>22</v>
      </c>
      <c r="D591" s="33" t="s">
        <v>60</v>
      </c>
      <c r="E591" s="33" t="s">
        <v>20</v>
      </c>
      <c r="F591" s="33"/>
      <c r="G591" s="33" t="s">
        <v>21</v>
      </c>
      <c r="H591" s="33" t="s">
        <v>756</v>
      </c>
      <c r="I591" s="70">
        <v>6369.8630136986303</v>
      </c>
      <c r="J591" s="33" t="s">
        <v>14</v>
      </c>
      <c r="K591" s="65" t="s">
        <v>14</v>
      </c>
      <c r="L591" s="33" t="s">
        <v>14</v>
      </c>
      <c r="M591" s="33" t="s">
        <v>222</v>
      </c>
      <c r="N591" s="33">
        <v>2025</v>
      </c>
    </row>
    <row r="592" spans="1:14">
      <c r="A592" s="33">
        <v>591</v>
      </c>
      <c r="B592" s="33" t="s">
        <v>52</v>
      </c>
      <c r="C592" s="122" t="s">
        <v>62</v>
      </c>
      <c r="D592" s="33" t="s">
        <v>19</v>
      </c>
      <c r="E592" s="33" t="s">
        <v>113</v>
      </c>
      <c r="F592" s="33"/>
      <c r="G592" s="33" t="s">
        <v>244</v>
      </c>
      <c r="H592" s="33" t="s">
        <v>114</v>
      </c>
      <c r="I592" s="70">
        <v>627802.34</v>
      </c>
      <c r="J592" s="33" t="s">
        <v>14</v>
      </c>
      <c r="K592" s="65" t="s">
        <v>14</v>
      </c>
      <c r="L592" s="33" t="s">
        <v>14</v>
      </c>
      <c r="M592" s="33" t="s">
        <v>222</v>
      </c>
      <c r="N592" s="33">
        <v>2025</v>
      </c>
    </row>
    <row r="593" spans="1:14">
      <c r="A593" s="33">
        <v>592</v>
      </c>
      <c r="B593" s="33" t="s">
        <v>42</v>
      </c>
      <c r="C593" s="33" t="s">
        <v>45</v>
      </c>
      <c r="D593" s="33" t="s">
        <v>60</v>
      </c>
      <c r="E593" s="33" t="s">
        <v>113</v>
      </c>
      <c r="F593" s="33"/>
      <c r="G593" s="33" t="s">
        <v>244</v>
      </c>
      <c r="H593" s="33" t="s">
        <v>114</v>
      </c>
      <c r="I593" s="70">
        <v>160500</v>
      </c>
      <c r="J593" s="33" t="s">
        <v>757</v>
      </c>
      <c r="K593" s="65">
        <v>46016</v>
      </c>
      <c r="L593" s="33">
        <v>2026400118</v>
      </c>
      <c r="M593" s="33" t="s">
        <v>222</v>
      </c>
      <c r="N593" s="33">
        <v>2025</v>
      </c>
    </row>
    <row r="594" spans="1:14">
      <c r="A594" s="33">
        <v>593</v>
      </c>
      <c r="B594" s="33" t="s">
        <v>52</v>
      </c>
      <c r="C594" s="127" t="s">
        <v>62</v>
      </c>
      <c r="D594" s="33" t="s">
        <v>60</v>
      </c>
      <c r="E594" s="33" t="s">
        <v>109</v>
      </c>
      <c r="F594" s="33"/>
      <c r="G594" s="33" t="s">
        <v>64</v>
      </c>
      <c r="H594" s="66" t="s">
        <v>727</v>
      </c>
      <c r="I594" s="67">
        <v>1057.2413793103449</v>
      </c>
      <c r="J594" s="33" t="s">
        <v>68</v>
      </c>
      <c r="K594" s="65" t="s">
        <v>679</v>
      </c>
      <c r="L594" s="94" t="s">
        <v>14</v>
      </c>
      <c r="M594" s="94" t="s">
        <v>222</v>
      </c>
      <c r="N594" s="33">
        <v>2025</v>
      </c>
    </row>
    <row r="595" spans="1:14">
      <c r="A595" s="33">
        <v>594</v>
      </c>
      <c r="B595" s="33" t="s">
        <v>58</v>
      </c>
      <c r="C595" s="65" t="s">
        <v>59</v>
      </c>
      <c r="D595" s="33" t="s">
        <v>60</v>
      </c>
      <c r="E595" s="33" t="s">
        <v>109</v>
      </c>
      <c r="F595" s="33"/>
      <c r="G595" s="33" t="s">
        <v>64</v>
      </c>
      <c r="H595" s="66" t="s">
        <v>728</v>
      </c>
      <c r="I595" s="67">
        <v>206.89655172413794</v>
      </c>
      <c r="J595" s="33" t="s">
        <v>68</v>
      </c>
      <c r="K595" s="65" t="s">
        <v>675</v>
      </c>
      <c r="L595" s="94" t="s">
        <v>14</v>
      </c>
      <c r="M595" s="94" t="s">
        <v>222</v>
      </c>
      <c r="N595" s="33">
        <v>2025</v>
      </c>
    </row>
    <row r="596" spans="1:14">
      <c r="A596" s="33">
        <v>595</v>
      </c>
      <c r="B596" s="33" t="s">
        <v>58</v>
      </c>
      <c r="C596" s="65" t="s">
        <v>59</v>
      </c>
      <c r="D596" s="33" t="s">
        <v>60</v>
      </c>
      <c r="E596" s="33" t="s">
        <v>109</v>
      </c>
      <c r="F596" s="33"/>
      <c r="G596" s="33" t="s">
        <v>64</v>
      </c>
      <c r="H596" s="66" t="s">
        <v>728</v>
      </c>
      <c r="I596" s="67">
        <v>206.89655172413794</v>
      </c>
      <c r="J596" s="33" t="s">
        <v>68</v>
      </c>
      <c r="K596" s="65" t="s">
        <v>675</v>
      </c>
      <c r="L596" s="94" t="s">
        <v>14</v>
      </c>
      <c r="M596" s="94" t="s">
        <v>222</v>
      </c>
      <c r="N596" s="33">
        <v>2025</v>
      </c>
    </row>
    <row r="597" spans="1:14">
      <c r="A597" s="33">
        <v>596</v>
      </c>
      <c r="B597" s="33" t="s">
        <v>33</v>
      </c>
      <c r="C597" s="33" t="s">
        <v>34</v>
      </c>
      <c r="D597" s="33" t="s">
        <v>19</v>
      </c>
      <c r="E597" s="33" t="s">
        <v>109</v>
      </c>
      <c r="F597" s="33"/>
      <c r="G597" s="33" t="s">
        <v>87</v>
      </c>
      <c r="H597" s="33" t="s">
        <v>110</v>
      </c>
      <c r="I597" s="70">
        <v>1336.4875701684041</v>
      </c>
      <c r="J597" s="33" t="s">
        <v>14</v>
      </c>
      <c r="K597" s="65" t="s">
        <v>14</v>
      </c>
      <c r="L597" s="33" t="s">
        <v>14</v>
      </c>
      <c r="M597" s="33" t="s">
        <v>222</v>
      </c>
      <c r="N597" s="33">
        <v>2025</v>
      </c>
    </row>
    <row r="598" spans="1:14">
      <c r="A598" s="33">
        <v>597</v>
      </c>
      <c r="B598" s="33" t="s">
        <v>33</v>
      </c>
      <c r="C598" s="33" t="s">
        <v>34</v>
      </c>
      <c r="D598" s="33" t="s">
        <v>19</v>
      </c>
      <c r="E598" s="33" t="s">
        <v>109</v>
      </c>
      <c r="F598" s="33"/>
      <c r="G598" s="33" t="s">
        <v>87</v>
      </c>
      <c r="H598" s="33" t="s">
        <v>110</v>
      </c>
      <c r="I598" s="70">
        <v>2621.5717722534082</v>
      </c>
      <c r="J598" s="33" t="s">
        <v>14</v>
      </c>
      <c r="K598" s="65" t="s">
        <v>14</v>
      </c>
      <c r="L598" s="33" t="s">
        <v>14</v>
      </c>
      <c r="M598" s="33" t="s">
        <v>222</v>
      </c>
      <c r="N598" s="33">
        <v>2025</v>
      </c>
    </row>
    <row r="599" spans="1:14">
      <c r="A599" s="33">
        <v>598</v>
      </c>
      <c r="B599" s="33" t="s">
        <v>42</v>
      </c>
      <c r="C599" s="122" t="s">
        <v>285</v>
      </c>
      <c r="D599" s="33" t="s">
        <v>19</v>
      </c>
      <c r="E599" s="33" t="s">
        <v>109</v>
      </c>
      <c r="F599" s="33"/>
      <c r="G599" s="33" t="s">
        <v>87</v>
      </c>
      <c r="H599" s="33" t="s">
        <v>110</v>
      </c>
      <c r="I599" s="70">
        <v>1336.4875701684041</v>
      </c>
      <c r="J599" s="33" t="s">
        <v>14</v>
      </c>
      <c r="K599" s="65" t="s">
        <v>14</v>
      </c>
      <c r="L599" s="33" t="s">
        <v>14</v>
      </c>
      <c r="M599" s="33" t="s">
        <v>222</v>
      </c>
      <c r="N599" s="33">
        <v>2025</v>
      </c>
    </row>
    <row r="600" spans="1:14">
      <c r="A600" s="33">
        <v>599</v>
      </c>
      <c r="B600" s="33" t="s">
        <v>35</v>
      </c>
      <c r="C600" s="33" t="s">
        <v>36</v>
      </c>
      <c r="D600" s="33" t="s">
        <v>19</v>
      </c>
      <c r="E600" s="33" t="s">
        <v>109</v>
      </c>
      <c r="F600" s="33"/>
      <c r="G600" s="33" t="s">
        <v>87</v>
      </c>
      <c r="H600" s="33" t="s">
        <v>110</v>
      </c>
      <c r="I600" s="70">
        <v>1387.8909382518043</v>
      </c>
      <c r="J600" s="33" t="s">
        <v>14</v>
      </c>
      <c r="K600" s="65" t="s">
        <v>14</v>
      </c>
      <c r="L600" s="33" t="s">
        <v>14</v>
      </c>
      <c r="M600" s="33" t="s">
        <v>222</v>
      </c>
      <c r="N600" s="33">
        <v>2025</v>
      </c>
    </row>
    <row r="601" spans="1:14">
      <c r="A601" s="33">
        <v>600</v>
      </c>
      <c r="B601" s="33" t="s">
        <v>17</v>
      </c>
      <c r="C601" s="33" t="s">
        <v>22</v>
      </c>
      <c r="D601" s="33" t="s">
        <v>19</v>
      </c>
      <c r="E601" s="33" t="s">
        <v>109</v>
      </c>
      <c r="F601" s="33"/>
      <c r="G601" s="33" t="s">
        <v>87</v>
      </c>
      <c r="H601" s="33" t="s">
        <v>110</v>
      </c>
      <c r="I601" s="70">
        <v>3135.6054530874098</v>
      </c>
      <c r="J601" s="33" t="s">
        <v>14</v>
      </c>
      <c r="K601" s="65" t="s">
        <v>14</v>
      </c>
      <c r="L601" s="33" t="s">
        <v>14</v>
      </c>
      <c r="M601" s="33" t="s">
        <v>222</v>
      </c>
      <c r="N601" s="33">
        <v>2025</v>
      </c>
    </row>
    <row r="602" spans="1:14">
      <c r="A602" s="33">
        <v>601</v>
      </c>
      <c r="B602" s="33" t="s">
        <v>17</v>
      </c>
      <c r="C602" s="33" t="s">
        <v>24</v>
      </c>
      <c r="D602" s="33" t="s">
        <v>19</v>
      </c>
      <c r="E602" s="33" t="s">
        <v>109</v>
      </c>
      <c r="F602" s="33"/>
      <c r="G602" s="33" t="s">
        <v>87</v>
      </c>
      <c r="H602" s="33" t="s">
        <v>110</v>
      </c>
      <c r="I602" s="70">
        <v>1696.3111467522056</v>
      </c>
      <c r="J602" s="33" t="s">
        <v>14</v>
      </c>
      <c r="K602" s="65" t="s">
        <v>14</v>
      </c>
      <c r="L602" s="33" t="s">
        <v>14</v>
      </c>
      <c r="M602" s="33" t="s">
        <v>222</v>
      </c>
      <c r="N602" s="33">
        <v>2025</v>
      </c>
    </row>
    <row r="603" spans="1:14">
      <c r="A603" s="33">
        <v>602</v>
      </c>
      <c r="B603" s="33" t="s">
        <v>17</v>
      </c>
      <c r="C603" s="33" t="s">
        <v>25</v>
      </c>
      <c r="D603" s="33" t="s">
        <v>19</v>
      </c>
      <c r="E603" s="33" t="s">
        <v>109</v>
      </c>
      <c r="F603" s="33"/>
      <c r="G603" s="33" t="s">
        <v>87</v>
      </c>
      <c r="H603" s="33" t="s">
        <v>110</v>
      </c>
      <c r="I603" s="70">
        <v>23851.162790697676</v>
      </c>
      <c r="J603" s="33" t="s">
        <v>14</v>
      </c>
      <c r="K603" s="65" t="s">
        <v>14</v>
      </c>
      <c r="L603" s="33" t="s">
        <v>14</v>
      </c>
      <c r="M603" s="33" t="s">
        <v>222</v>
      </c>
      <c r="N603" s="33">
        <v>2025</v>
      </c>
    </row>
    <row r="604" spans="1:14">
      <c r="A604" s="33">
        <v>603</v>
      </c>
      <c r="B604" s="33" t="s">
        <v>249</v>
      </c>
      <c r="C604" s="33" t="s">
        <v>32</v>
      </c>
      <c r="D604" s="33" t="s">
        <v>19</v>
      </c>
      <c r="E604" s="33" t="s">
        <v>109</v>
      </c>
      <c r="F604" s="33"/>
      <c r="G604" s="33" t="s">
        <v>115</v>
      </c>
      <c r="H604" s="33" t="s">
        <v>109</v>
      </c>
      <c r="I604" s="70">
        <v>83.969886299525825</v>
      </c>
      <c r="J604" s="33" t="s">
        <v>14</v>
      </c>
      <c r="K604" s="65" t="s">
        <v>14</v>
      </c>
      <c r="L604" s="33" t="s">
        <v>14</v>
      </c>
      <c r="M604" s="33" t="s">
        <v>222</v>
      </c>
      <c r="N604" s="33">
        <v>2025</v>
      </c>
    </row>
    <row r="605" spans="1:14">
      <c r="A605" s="33">
        <v>604</v>
      </c>
      <c r="B605" s="33" t="s">
        <v>17</v>
      </c>
      <c r="C605" s="33" t="s">
        <v>74</v>
      </c>
      <c r="D605" s="33" t="s">
        <v>19</v>
      </c>
      <c r="E605" s="33" t="s">
        <v>109</v>
      </c>
      <c r="F605" s="33"/>
      <c r="G605" s="33" t="s">
        <v>115</v>
      </c>
      <c r="H605" s="33" t="s">
        <v>109</v>
      </c>
      <c r="I605" s="70">
        <v>167.93977259905165</v>
      </c>
      <c r="J605" s="33" t="s">
        <v>14</v>
      </c>
      <c r="K605" s="65" t="s">
        <v>14</v>
      </c>
      <c r="L605" s="33" t="s">
        <v>14</v>
      </c>
      <c r="M605" s="33" t="s">
        <v>222</v>
      </c>
      <c r="N605" s="33">
        <v>2025</v>
      </c>
    </row>
    <row r="606" spans="1:14">
      <c r="A606" s="33">
        <v>605</v>
      </c>
      <c r="B606" s="33" t="s">
        <v>42</v>
      </c>
      <c r="C606" s="33" t="s">
        <v>47</v>
      </c>
      <c r="D606" s="33" t="s">
        <v>19</v>
      </c>
      <c r="E606" s="33" t="s">
        <v>109</v>
      </c>
      <c r="F606" s="33"/>
      <c r="G606" s="33" t="s">
        <v>115</v>
      </c>
      <c r="H606" s="33" t="s">
        <v>109</v>
      </c>
      <c r="I606" s="70">
        <v>713.74403354596961</v>
      </c>
      <c r="J606" s="33" t="s">
        <v>14</v>
      </c>
      <c r="K606" s="65" t="s">
        <v>14</v>
      </c>
      <c r="L606" s="33" t="s">
        <v>14</v>
      </c>
      <c r="M606" s="33" t="s">
        <v>222</v>
      </c>
      <c r="N606" s="33">
        <v>2025</v>
      </c>
    </row>
    <row r="607" spans="1:14">
      <c r="A607" s="33">
        <v>606</v>
      </c>
      <c r="B607" s="33" t="s">
        <v>42</v>
      </c>
      <c r="C607" s="33" t="s">
        <v>51</v>
      </c>
      <c r="D607" s="33" t="s">
        <v>19</v>
      </c>
      <c r="E607" s="33" t="s">
        <v>109</v>
      </c>
      <c r="F607" s="33"/>
      <c r="G607" s="33" t="s">
        <v>115</v>
      </c>
      <c r="H607" s="33" t="s">
        <v>109</v>
      </c>
      <c r="I607" s="70">
        <v>755.72897669573251</v>
      </c>
      <c r="J607" s="33" t="s">
        <v>14</v>
      </c>
      <c r="K607" s="65" t="s">
        <v>14</v>
      </c>
      <c r="L607" s="33" t="s">
        <v>14</v>
      </c>
      <c r="M607" s="33" t="s">
        <v>222</v>
      </c>
      <c r="N607" s="33">
        <v>2025</v>
      </c>
    </row>
    <row r="608" spans="1:14">
      <c r="A608" s="33">
        <v>607</v>
      </c>
      <c r="B608" s="33" t="s">
        <v>35</v>
      </c>
      <c r="C608" s="33" t="s">
        <v>284</v>
      </c>
      <c r="D608" s="33" t="s">
        <v>19</v>
      </c>
      <c r="E608" s="33" t="s">
        <v>109</v>
      </c>
      <c r="F608" s="33"/>
      <c r="G608" s="33" t="s">
        <v>115</v>
      </c>
      <c r="H608" s="33" t="s">
        <v>109</v>
      </c>
      <c r="I608" s="70">
        <v>1175.5784081933616</v>
      </c>
      <c r="J608" s="33" t="s">
        <v>14</v>
      </c>
      <c r="K608" s="65" t="s">
        <v>14</v>
      </c>
      <c r="L608" s="33" t="s">
        <v>14</v>
      </c>
      <c r="M608" s="33" t="s">
        <v>222</v>
      </c>
      <c r="N608" s="33">
        <v>2025</v>
      </c>
    </row>
    <row r="609" spans="1:14">
      <c r="A609" s="33">
        <v>608</v>
      </c>
      <c r="B609" s="33" t="s">
        <v>42</v>
      </c>
      <c r="C609" s="33" t="s">
        <v>70</v>
      </c>
      <c r="D609" s="33" t="s">
        <v>19</v>
      </c>
      <c r="E609" s="33" t="s">
        <v>109</v>
      </c>
      <c r="F609" s="33"/>
      <c r="G609" s="33" t="s">
        <v>115</v>
      </c>
      <c r="H609" s="33" t="s">
        <v>109</v>
      </c>
      <c r="I609" s="70">
        <v>2141.2321006379088</v>
      </c>
      <c r="J609" s="33" t="s">
        <v>14</v>
      </c>
      <c r="K609" s="65" t="s">
        <v>14</v>
      </c>
      <c r="L609" s="33" t="s">
        <v>14</v>
      </c>
      <c r="M609" s="33" t="s">
        <v>222</v>
      </c>
      <c r="N609" s="33">
        <v>2025</v>
      </c>
    </row>
    <row r="610" spans="1:14">
      <c r="A610" s="33">
        <v>609</v>
      </c>
      <c r="B610" s="33" t="s">
        <v>42</v>
      </c>
      <c r="C610" s="33" t="s">
        <v>73</v>
      </c>
      <c r="D610" s="33" t="s">
        <v>19</v>
      </c>
      <c r="E610" s="33" t="s">
        <v>109</v>
      </c>
      <c r="F610" s="33"/>
      <c r="G610" s="33" t="s">
        <v>115</v>
      </c>
      <c r="H610" s="33" t="s">
        <v>109</v>
      </c>
      <c r="I610" s="70">
        <v>2435.1267026862492</v>
      </c>
      <c r="J610" s="33" t="s">
        <v>14</v>
      </c>
      <c r="K610" s="65" t="s">
        <v>14</v>
      </c>
      <c r="L610" s="33" t="s">
        <v>14</v>
      </c>
      <c r="M610" s="33" t="s">
        <v>222</v>
      </c>
      <c r="N610" s="33">
        <v>2025</v>
      </c>
    </row>
    <row r="611" spans="1:14">
      <c r="A611" s="33">
        <v>610</v>
      </c>
      <c r="B611" s="33" t="s">
        <v>35</v>
      </c>
      <c r="C611" s="33" t="s">
        <v>41</v>
      </c>
      <c r="D611" s="33" t="s">
        <v>19</v>
      </c>
      <c r="E611" s="33" t="s">
        <v>109</v>
      </c>
      <c r="F611" s="33"/>
      <c r="G611" s="33" t="s">
        <v>115</v>
      </c>
      <c r="H611" s="33" t="s">
        <v>109</v>
      </c>
      <c r="I611" s="70">
        <v>3484.7502814303225</v>
      </c>
      <c r="J611" s="33" t="s">
        <v>14</v>
      </c>
      <c r="K611" s="65" t="s">
        <v>14</v>
      </c>
      <c r="L611" s="33" t="s">
        <v>14</v>
      </c>
      <c r="M611" s="33" t="s">
        <v>222</v>
      </c>
      <c r="N611" s="33">
        <v>2025</v>
      </c>
    </row>
    <row r="612" spans="1:14">
      <c r="A612" s="33">
        <v>611</v>
      </c>
      <c r="B612" s="33" t="s">
        <v>27</v>
      </c>
      <c r="C612" s="33" t="s">
        <v>28</v>
      </c>
      <c r="D612" s="33" t="s">
        <v>19</v>
      </c>
      <c r="E612" s="33" t="s">
        <v>109</v>
      </c>
      <c r="F612" s="33"/>
      <c r="G612" s="33" t="s">
        <v>115</v>
      </c>
      <c r="H612" s="33" t="s">
        <v>109</v>
      </c>
      <c r="I612" s="70">
        <v>4744.2985759232097</v>
      </c>
      <c r="J612" s="33" t="s">
        <v>14</v>
      </c>
      <c r="K612" s="65" t="s">
        <v>14</v>
      </c>
      <c r="L612" s="33" t="s">
        <v>14</v>
      </c>
      <c r="M612" s="33" t="s">
        <v>222</v>
      </c>
      <c r="N612" s="33">
        <v>2025</v>
      </c>
    </row>
    <row r="613" spans="1:14">
      <c r="A613" s="33">
        <v>612</v>
      </c>
      <c r="B613" s="33" t="s">
        <v>17</v>
      </c>
      <c r="C613" s="33" t="s">
        <v>22</v>
      </c>
      <c r="D613" s="33" t="s">
        <v>19</v>
      </c>
      <c r="E613" s="33" t="s">
        <v>109</v>
      </c>
      <c r="F613" s="33"/>
      <c r="G613" s="33" t="s">
        <v>115</v>
      </c>
      <c r="H613" s="33" t="s">
        <v>109</v>
      </c>
      <c r="I613" s="70">
        <v>5206.1329505706017</v>
      </c>
      <c r="J613" s="33" t="s">
        <v>14</v>
      </c>
      <c r="K613" s="65" t="s">
        <v>14</v>
      </c>
      <c r="L613" s="33" t="s">
        <v>14</v>
      </c>
      <c r="M613" s="33" t="s">
        <v>222</v>
      </c>
      <c r="N613" s="33">
        <v>2025</v>
      </c>
    </row>
    <row r="614" spans="1:14">
      <c r="A614" s="33">
        <v>613</v>
      </c>
      <c r="B614" s="33" t="s">
        <v>17</v>
      </c>
      <c r="C614" s="33" t="s">
        <v>23</v>
      </c>
      <c r="D614" s="33" t="s">
        <v>19</v>
      </c>
      <c r="E614" s="33" t="s">
        <v>109</v>
      </c>
      <c r="F614" s="33"/>
      <c r="G614" s="33" t="s">
        <v>115</v>
      </c>
      <c r="H614" s="33" t="s">
        <v>109</v>
      </c>
      <c r="I614" s="70">
        <v>6633.6210176625409</v>
      </c>
      <c r="J614" s="33" t="s">
        <v>14</v>
      </c>
      <c r="K614" s="65" t="s">
        <v>14</v>
      </c>
      <c r="L614" s="33" t="s">
        <v>14</v>
      </c>
      <c r="M614" s="33" t="s">
        <v>222</v>
      </c>
      <c r="N614" s="33">
        <v>2025</v>
      </c>
    </row>
    <row r="615" spans="1:14">
      <c r="A615" s="33">
        <v>614</v>
      </c>
      <c r="B615" s="33" t="s">
        <v>17</v>
      </c>
      <c r="C615" s="33" t="s">
        <v>18</v>
      </c>
      <c r="D615" s="33" t="s">
        <v>19</v>
      </c>
      <c r="E615" s="33" t="s">
        <v>109</v>
      </c>
      <c r="F615" s="33"/>
      <c r="G615" s="33" t="s">
        <v>115</v>
      </c>
      <c r="H615" s="33" t="s">
        <v>109</v>
      </c>
      <c r="I615" s="70">
        <v>6717.5909039620674</v>
      </c>
      <c r="J615" s="33" t="s">
        <v>14</v>
      </c>
      <c r="K615" s="65" t="s">
        <v>14</v>
      </c>
      <c r="L615" s="33" t="s">
        <v>14</v>
      </c>
      <c r="M615" s="33" t="s">
        <v>222</v>
      </c>
      <c r="N615" s="33">
        <v>2025</v>
      </c>
    </row>
    <row r="616" spans="1:14">
      <c r="A616" s="33">
        <v>615</v>
      </c>
      <c r="B616" s="33" t="s">
        <v>42</v>
      </c>
      <c r="C616" s="33" t="s">
        <v>46</v>
      </c>
      <c r="D616" s="33" t="s">
        <v>19</v>
      </c>
      <c r="E616" s="33" t="s">
        <v>109</v>
      </c>
      <c r="F616" s="33"/>
      <c r="G616" s="33" t="s">
        <v>115</v>
      </c>
      <c r="H616" s="33" t="s">
        <v>109</v>
      </c>
      <c r="I616" s="70">
        <v>10244.32612854215</v>
      </c>
      <c r="J616" s="33" t="s">
        <v>14</v>
      </c>
      <c r="K616" s="65" t="s">
        <v>14</v>
      </c>
      <c r="L616" s="33" t="s">
        <v>14</v>
      </c>
      <c r="M616" s="33" t="s">
        <v>222</v>
      </c>
      <c r="N616" s="33">
        <v>2025</v>
      </c>
    </row>
    <row r="617" spans="1:14">
      <c r="A617" s="33">
        <v>616</v>
      </c>
      <c r="B617" s="33" t="s">
        <v>42</v>
      </c>
      <c r="C617" s="33" t="s">
        <v>44</v>
      </c>
      <c r="D617" s="33" t="s">
        <v>19</v>
      </c>
      <c r="E617" s="33" t="s">
        <v>109</v>
      </c>
      <c r="F617" s="33"/>
      <c r="G617" s="33" t="s">
        <v>115</v>
      </c>
      <c r="H617" s="33" t="s">
        <v>109</v>
      </c>
      <c r="I617" s="70">
        <v>18179.480383847342</v>
      </c>
      <c r="J617" s="33" t="s">
        <v>14</v>
      </c>
      <c r="K617" s="65" t="s">
        <v>14</v>
      </c>
      <c r="L617" s="33" t="s">
        <v>14</v>
      </c>
      <c r="M617" s="33" t="s">
        <v>222</v>
      </c>
      <c r="N617" s="33">
        <v>2025</v>
      </c>
    </row>
    <row r="618" spans="1:14">
      <c r="A618" s="33">
        <v>617</v>
      </c>
      <c r="B618" s="33" t="s">
        <v>42</v>
      </c>
      <c r="C618" s="33" t="s">
        <v>49</v>
      </c>
      <c r="D618" s="33" t="s">
        <v>19</v>
      </c>
      <c r="E618" s="33" t="s">
        <v>109</v>
      </c>
      <c r="F618" s="33"/>
      <c r="G618" s="33" t="s">
        <v>115</v>
      </c>
      <c r="H618" s="33" t="s">
        <v>109</v>
      </c>
      <c r="I618" s="70">
        <v>21244.381233780037</v>
      </c>
      <c r="J618" s="33" t="s">
        <v>14</v>
      </c>
      <c r="K618" s="65" t="s">
        <v>14</v>
      </c>
      <c r="L618" s="33" t="s">
        <v>14</v>
      </c>
      <c r="M618" s="33" t="s">
        <v>222</v>
      </c>
      <c r="N618" s="33">
        <v>2025</v>
      </c>
    </row>
    <row r="619" spans="1:14">
      <c r="A619" s="33">
        <v>618</v>
      </c>
      <c r="B619" s="33" t="s">
        <v>33</v>
      </c>
      <c r="C619" s="33" t="s">
        <v>34</v>
      </c>
      <c r="D619" s="33" t="s">
        <v>19</v>
      </c>
      <c r="E619" s="33" t="s">
        <v>109</v>
      </c>
      <c r="F619" s="33"/>
      <c r="G619" s="33" t="s">
        <v>115</v>
      </c>
      <c r="H619" s="33" t="s">
        <v>109</v>
      </c>
      <c r="I619" s="70">
        <v>30649.008499326927</v>
      </c>
      <c r="J619" s="33" t="s">
        <v>14</v>
      </c>
      <c r="K619" s="65" t="s">
        <v>14</v>
      </c>
      <c r="L619" s="33" t="s">
        <v>14</v>
      </c>
      <c r="M619" s="33" t="s">
        <v>222</v>
      </c>
      <c r="N619" s="33">
        <v>2025</v>
      </c>
    </row>
    <row r="620" spans="1:14">
      <c r="A620" s="33">
        <v>619</v>
      </c>
      <c r="B620" s="33" t="s">
        <v>35</v>
      </c>
      <c r="C620" s="33" t="s">
        <v>36</v>
      </c>
      <c r="D620" s="33" t="s">
        <v>19</v>
      </c>
      <c r="E620" s="33" t="s">
        <v>109</v>
      </c>
      <c r="F620" s="33"/>
      <c r="G620" s="33" t="s">
        <v>115</v>
      </c>
      <c r="H620" s="33" t="s">
        <v>109</v>
      </c>
      <c r="I620" s="70">
        <v>36778.81019919231</v>
      </c>
      <c r="J620" s="33" t="s">
        <v>14</v>
      </c>
      <c r="K620" s="65" t="s">
        <v>14</v>
      </c>
      <c r="L620" s="33" t="s">
        <v>14</v>
      </c>
      <c r="M620" s="33" t="s">
        <v>222</v>
      </c>
      <c r="N620" s="33">
        <v>2025</v>
      </c>
    </row>
    <row r="621" spans="1:14">
      <c r="A621" s="33">
        <v>620</v>
      </c>
      <c r="B621" s="33" t="s">
        <v>42</v>
      </c>
      <c r="C621" s="33" t="s">
        <v>47</v>
      </c>
      <c r="D621" s="33" t="s">
        <v>19</v>
      </c>
      <c r="E621" s="33" t="s">
        <v>109</v>
      </c>
      <c r="F621" s="33"/>
      <c r="G621" s="33" t="s">
        <v>115</v>
      </c>
      <c r="H621" s="33" t="s">
        <v>109</v>
      </c>
      <c r="I621" s="70">
        <v>39465.846560777143</v>
      </c>
      <c r="J621" s="33" t="s">
        <v>14</v>
      </c>
      <c r="K621" s="65" t="s">
        <v>14</v>
      </c>
      <c r="L621" s="33" t="s">
        <v>14</v>
      </c>
      <c r="M621" s="33" t="s">
        <v>222</v>
      </c>
      <c r="N621" s="33">
        <v>2025</v>
      </c>
    </row>
    <row r="622" spans="1:14">
      <c r="A622" s="33">
        <v>621</v>
      </c>
      <c r="B622" s="33" t="s">
        <v>42</v>
      </c>
      <c r="C622" s="122" t="s">
        <v>285</v>
      </c>
      <c r="D622" s="33" t="s">
        <v>19</v>
      </c>
      <c r="E622" s="33" t="s">
        <v>109</v>
      </c>
      <c r="F622" s="33"/>
      <c r="G622" s="33" t="s">
        <v>115</v>
      </c>
      <c r="H622" s="33" t="s">
        <v>109</v>
      </c>
      <c r="I622" s="70">
        <v>67595.758471118301</v>
      </c>
      <c r="J622" s="33" t="s">
        <v>14</v>
      </c>
      <c r="K622" s="65" t="s">
        <v>14</v>
      </c>
      <c r="L622" s="33" t="s">
        <v>14</v>
      </c>
      <c r="M622" s="33" t="s">
        <v>222</v>
      </c>
      <c r="N622" s="33">
        <v>2025</v>
      </c>
    </row>
    <row r="623" spans="1:14">
      <c r="A623" s="33">
        <v>622</v>
      </c>
      <c r="B623" s="33" t="s">
        <v>35</v>
      </c>
      <c r="C623" s="33" t="s">
        <v>37</v>
      </c>
      <c r="D623" s="33" t="s">
        <v>19</v>
      </c>
      <c r="E623" s="33" t="s">
        <v>109</v>
      </c>
      <c r="F623" s="33"/>
      <c r="G623" s="33" t="s">
        <v>115</v>
      </c>
      <c r="H623" s="33" t="s">
        <v>109</v>
      </c>
      <c r="I623" s="70">
        <v>138214.4328490195</v>
      </c>
      <c r="J623" s="33" t="s">
        <v>14</v>
      </c>
      <c r="K623" s="65" t="s">
        <v>14</v>
      </c>
      <c r="L623" s="33" t="s">
        <v>14</v>
      </c>
      <c r="M623" s="33" t="s">
        <v>222</v>
      </c>
      <c r="N623" s="33">
        <v>2025</v>
      </c>
    </row>
    <row r="624" spans="1:14">
      <c r="A624" s="33">
        <v>623</v>
      </c>
      <c r="B624" s="33" t="s">
        <v>42</v>
      </c>
      <c r="C624" s="33" t="s">
        <v>43</v>
      </c>
      <c r="D624" s="33" t="s">
        <v>19</v>
      </c>
      <c r="E624" s="33" t="s">
        <v>109</v>
      </c>
      <c r="F624" s="33"/>
      <c r="G624" s="33" t="s">
        <v>115</v>
      </c>
      <c r="H624" s="33" t="s">
        <v>109</v>
      </c>
      <c r="I624" s="70">
        <v>155092.37999522424</v>
      </c>
      <c r="J624" s="33" t="s">
        <v>14</v>
      </c>
      <c r="K624" s="65" t="s">
        <v>14</v>
      </c>
      <c r="L624" s="33" t="s">
        <v>14</v>
      </c>
      <c r="M624" s="33" t="s">
        <v>222</v>
      </c>
      <c r="N624" s="33">
        <v>2025</v>
      </c>
    </row>
    <row r="625" spans="1:14">
      <c r="A625" s="33">
        <v>624</v>
      </c>
      <c r="B625" s="33" t="s">
        <v>42</v>
      </c>
      <c r="C625" s="33" t="s">
        <v>45</v>
      </c>
      <c r="D625" s="33" t="s">
        <v>60</v>
      </c>
      <c r="E625" s="33" t="s">
        <v>109</v>
      </c>
      <c r="F625" s="33"/>
      <c r="G625" s="33" t="s">
        <v>93</v>
      </c>
      <c r="H625" s="33" t="s">
        <v>110</v>
      </c>
      <c r="I625" s="70">
        <v>2620.6896551724139</v>
      </c>
      <c r="J625" s="33" t="s">
        <v>668</v>
      </c>
      <c r="K625" s="65">
        <v>46022</v>
      </c>
      <c r="L625" s="33" t="s">
        <v>14</v>
      </c>
      <c r="M625" s="33" t="s">
        <v>222</v>
      </c>
      <c r="N625" s="33">
        <v>2025</v>
      </c>
    </row>
    <row r="626" spans="1:14">
      <c r="A626" s="33">
        <v>625</v>
      </c>
      <c r="B626" s="33" t="s">
        <v>52</v>
      </c>
      <c r="C626" s="122" t="s">
        <v>62</v>
      </c>
      <c r="D626" s="33" t="s">
        <v>19</v>
      </c>
      <c r="E626" s="33" t="s">
        <v>80</v>
      </c>
      <c r="F626" s="33"/>
      <c r="G626" s="33" t="s">
        <v>90</v>
      </c>
      <c r="H626" s="129" t="s">
        <v>795</v>
      </c>
      <c r="I626" s="70">
        <v>78965.448275862072</v>
      </c>
      <c r="J626" s="33" t="s">
        <v>14</v>
      </c>
      <c r="K626" s="65" t="s">
        <v>14</v>
      </c>
      <c r="L626" s="33" t="s">
        <v>14</v>
      </c>
      <c r="M626" s="33" t="s">
        <v>222</v>
      </c>
      <c r="N626" s="33">
        <v>2025</v>
      </c>
    </row>
    <row r="627" spans="1:14">
      <c r="A627" s="33">
        <v>626</v>
      </c>
      <c r="B627" s="33" t="s">
        <v>35</v>
      </c>
      <c r="C627" s="33" t="s">
        <v>37</v>
      </c>
      <c r="D627" s="33" t="s">
        <v>19</v>
      </c>
      <c r="E627" s="33" t="s">
        <v>80</v>
      </c>
      <c r="F627" s="33"/>
      <c r="G627" s="33" t="s">
        <v>90</v>
      </c>
      <c r="H627" s="129" t="s">
        <v>795</v>
      </c>
      <c r="I627" s="70">
        <v>1210.344827586207</v>
      </c>
      <c r="J627" s="33" t="s">
        <v>14</v>
      </c>
      <c r="K627" s="65" t="s">
        <v>14</v>
      </c>
      <c r="L627" s="33" t="s">
        <v>14</v>
      </c>
      <c r="M627" s="33" t="s">
        <v>222</v>
      </c>
      <c r="N627" s="33">
        <v>2025</v>
      </c>
    </row>
    <row r="628" spans="1:14">
      <c r="A628" s="33">
        <v>627</v>
      </c>
      <c r="B628" s="33" t="s">
        <v>35</v>
      </c>
      <c r="C628" s="33" t="s">
        <v>36</v>
      </c>
      <c r="D628" s="33" t="s">
        <v>19</v>
      </c>
      <c r="E628" s="33" t="s">
        <v>80</v>
      </c>
      <c r="F628" s="33"/>
      <c r="G628" s="33" t="s">
        <v>90</v>
      </c>
      <c r="H628" s="129" t="s">
        <v>795</v>
      </c>
      <c r="I628" s="70">
        <v>21057.206896551725</v>
      </c>
      <c r="J628" s="33" t="s">
        <v>14</v>
      </c>
      <c r="K628" s="65" t="s">
        <v>14</v>
      </c>
      <c r="L628" s="33" t="s">
        <v>14</v>
      </c>
      <c r="M628" s="33" t="s">
        <v>222</v>
      </c>
      <c r="N628" s="33">
        <v>2025</v>
      </c>
    </row>
    <row r="629" spans="1:14">
      <c r="A629" s="33">
        <v>628</v>
      </c>
      <c r="B629" s="33" t="s">
        <v>42</v>
      </c>
      <c r="C629" s="33" t="s">
        <v>45</v>
      </c>
      <c r="D629" s="33" t="s">
        <v>19</v>
      </c>
      <c r="E629" s="33" t="s">
        <v>80</v>
      </c>
      <c r="F629" s="33"/>
      <c r="G629" s="33" t="s">
        <v>90</v>
      </c>
      <c r="H629" s="129" t="s">
        <v>795</v>
      </c>
      <c r="I629" s="70">
        <v>81145.241379310348</v>
      </c>
      <c r="J629" s="33" t="s">
        <v>14</v>
      </c>
      <c r="K629" s="65" t="s">
        <v>14</v>
      </c>
      <c r="L629" s="33" t="s">
        <v>14</v>
      </c>
      <c r="M629" s="33" t="s">
        <v>222</v>
      </c>
      <c r="N629" s="33">
        <v>2025</v>
      </c>
    </row>
    <row r="630" spans="1:14">
      <c r="A630" s="33">
        <v>629</v>
      </c>
      <c r="B630" s="33" t="s">
        <v>17</v>
      </c>
      <c r="C630" s="33" t="s">
        <v>22</v>
      </c>
      <c r="D630" s="33" t="s">
        <v>19</v>
      </c>
      <c r="E630" s="33" t="s">
        <v>80</v>
      </c>
      <c r="F630" s="33"/>
      <c r="G630" s="33" t="s">
        <v>90</v>
      </c>
      <c r="H630" s="129" t="s">
        <v>795</v>
      </c>
      <c r="I630" s="70">
        <v>14305.344827586207</v>
      </c>
      <c r="J630" s="33" t="s">
        <v>14</v>
      </c>
      <c r="K630" s="65" t="s">
        <v>14</v>
      </c>
      <c r="L630" s="33" t="s">
        <v>14</v>
      </c>
      <c r="M630" s="33" t="s">
        <v>222</v>
      </c>
      <c r="N630" s="33">
        <v>2025</v>
      </c>
    </row>
    <row r="631" spans="1:14">
      <c r="A631" s="33">
        <v>630</v>
      </c>
      <c r="B631" s="33" t="s">
        <v>42</v>
      </c>
      <c r="C631" s="33" t="s">
        <v>47</v>
      </c>
      <c r="D631" s="33" t="s">
        <v>19</v>
      </c>
      <c r="E631" s="33" t="s">
        <v>80</v>
      </c>
      <c r="F631" s="33"/>
      <c r="G631" s="33" t="s">
        <v>90</v>
      </c>
      <c r="H631" s="129" t="s">
        <v>795</v>
      </c>
      <c r="I631" s="70">
        <v>38254.965517241377</v>
      </c>
      <c r="J631" s="33" t="s">
        <v>14</v>
      </c>
      <c r="K631" s="65" t="s">
        <v>14</v>
      </c>
      <c r="L631" s="33" t="s">
        <v>14</v>
      </c>
      <c r="M631" s="33" t="s">
        <v>222</v>
      </c>
      <c r="N631" s="33">
        <v>2025</v>
      </c>
    </row>
    <row r="632" spans="1:14">
      <c r="A632" s="33">
        <v>631</v>
      </c>
      <c r="B632" s="33" t="s">
        <v>42</v>
      </c>
      <c r="C632" s="33" t="s">
        <v>43</v>
      </c>
      <c r="D632" s="33" t="s">
        <v>19</v>
      </c>
      <c r="E632" s="33" t="s">
        <v>80</v>
      </c>
      <c r="F632" s="33"/>
      <c r="G632" s="33" t="s">
        <v>90</v>
      </c>
      <c r="H632" s="129" t="s">
        <v>795</v>
      </c>
      <c r="I632" s="70">
        <v>1005.5172413793103</v>
      </c>
      <c r="J632" s="33" t="s">
        <v>14</v>
      </c>
      <c r="K632" s="65" t="s">
        <v>14</v>
      </c>
      <c r="L632" s="33" t="s">
        <v>14</v>
      </c>
      <c r="M632" s="33" t="s">
        <v>222</v>
      </c>
      <c r="N632" s="33">
        <v>2025</v>
      </c>
    </row>
    <row r="633" spans="1:14">
      <c r="A633" s="33">
        <v>632</v>
      </c>
      <c r="B633" s="33" t="s">
        <v>17</v>
      </c>
      <c r="C633" s="33" t="s">
        <v>25</v>
      </c>
      <c r="D633" s="33" t="s">
        <v>19</v>
      </c>
      <c r="E633" s="33" t="s">
        <v>80</v>
      </c>
      <c r="F633" s="33"/>
      <c r="G633" s="33" t="s">
        <v>90</v>
      </c>
      <c r="H633" s="129" t="s">
        <v>795</v>
      </c>
      <c r="I633" s="70">
        <v>30850.2</v>
      </c>
      <c r="J633" s="33" t="s">
        <v>14</v>
      </c>
      <c r="K633" s="65" t="s">
        <v>14</v>
      </c>
      <c r="L633" s="33" t="s">
        <v>14</v>
      </c>
      <c r="M633" s="33" t="s">
        <v>222</v>
      </c>
      <c r="N633" s="33">
        <v>2025</v>
      </c>
    </row>
    <row r="634" spans="1:14">
      <c r="A634" s="33">
        <v>633</v>
      </c>
      <c r="B634" s="33" t="s">
        <v>17</v>
      </c>
      <c r="C634" s="33" t="s">
        <v>26</v>
      </c>
      <c r="D634" s="33" t="s">
        <v>19</v>
      </c>
      <c r="E634" s="33" t="s">
        <v>80</v>
      </c>
      <c r="F634" s="33"/>
      <c r="G634" s="33" t="s">
        <v>90</v>
      </c>
      <c r="H634" s="129" t="s">
        <v>795</v>
      </c>
      <c r="I634" s="70">
        <v>6986.4827586206893</v>
      </c>
      <c r="J634" s="33" t="s">
        <v>14</v>
      </c>
      <c r="K634" s="65" t="s">
        <v>14</v>
      </c>
      <c r="L634" s="33" t="s">
        <v>14</v>
      </c>
      <c r="M634" s="33" t="s">
        <v>222</v>
      </c>
      <c r="N634" s="33">
        <v>2025</v>
      </c>
    </row>
    <row r="635" spans="1:14">
      <c r="A635" s="33">
        <v>634</v>
      </c>
      <c r="B635" s="33" t="s">
        <v>17</v>
      </c>
      <c r="C635" s="33" t="s">
        <v>18</v>
      </c>
      <c r="D635" s="33" t="s">
        <v>19</v>
      </c>
      <c r="E635" s="33" t="s">
        <v>80</v>
      </c>
      <c r="F635" s="33"/>
      <c r="G635" s="33" t="s">
        <v>90</v>
      </c>
      <c r="H635" s="129" t="s">
        <v>795</v>
      </c>
      <c r="I635" s="70">
        <v>23411.793103448275</v>
      </c>
      <c r="J635" s="33" t="s">
        <v>14</v>
      </c>
      <c r="K635" s="65" t="s">
        <v>14</v>
      </c>
      <c r="L635" s="33" t="s">
        <v>14</v>
      </c>
      <c r="M635" s="33" t="s">
        <v>222</v>
      </c>
      <c r="N635" s="33">
        <v>2025</v>
      </c>
    </row>
    <row r="636" spans="1:14">
      <c r="A636" s="33">
        <v>635</v>
      </c>
      <c r="B636" s="33" t="s">
        <v>42</v>
      </c>
      <c r="C636" s="33" t="s">
        <v>285</v>
      </c>
      <c r="D636" s="33" t="s">
        <v>19</v>
      </c>
      <c r="E636" s="33" t="s">
        <v>80</v>
      </c>
      <c r="F636" s="33"/>
      <c r="G636" s="33" t="s">
        <v>90</v>
      </c>
      <c r="H636" s="129" t="s">
        <v>795</v>
      </c>
      <c r="I636" s="70">
        <v>1340.6896551724137</v>
      </c>
      <c r="J636" s="33" t="s">
        <v>14</v>
      </c>
      <c r="K636" s="65" t="s">
        <v>14</v>
      </c>
      <c r="L636" s="33" t="s">
        <v>14</v>
      </c>
      <c r="M636" s="33" t="s">
        <v>222</v>
      </c>
      <c r="N636" s="33">
        <v>2025</v>
      </c>
    </row>
    <row r="637" spans="1:14">
      <c r="A637" s="33">
        <v>636</v>
      </c>
      <c r="B637" s="33" t="s">
        <v>42</v>
      </c>
      <c r="C637" s="33" t="s">
        <v>50</v>
      </c>
      <c r="D637" s="33" t="s">
        <v>60</v>
      </c>
      <c r="E637" s="33" t="s">
        <v>80</v>
      </c>
      <c r="F637" s="33"/>
      <c r="G637" s="33" t="s">
        <v>333</v>
      </c>
      <c r="H637" s="129" t="s">
        <v>128</v>
      </c>
      <c r="I637" s="70">
        <v>14048.275862068966</v>
      </c>
      <c r="J637" s="33" t="s">
        <v>621</v>
      </c>
      <c r="K637" s="65">
        <v>45992</v>
      </c>
      <c r="L637" s="33">
        <v>2025404174</v>
      </c>
      <c r="M637" s="33" t="s">
        <v>222</v>
      </c>
      <c r="N637" s="33">
        <v>2025</v>
      </c>
    </row>
    <row r="638" spans="1:14">
      <c r="A638" s="33">
        <v>637</v>
      </c>
      <c r="B638" s="33" t="s">
        <v>54</v>
      </c>
      <c r="C638" s="33" t="s">
        <v>55</v>
      </c>
      <c r="D638" s="33" t="s">
        <v>60</v>
      </c>
      <c r="E638" s="33" t="s">
        <v>80</v>
      </c>
      <c r="F638" s="33"/>
      <c r="G638" s="33" t="s">
        <v>288</v>
      </c>
      <c r="H638" s="33"/>
      <c r="I638" s="70">
        <v>4500</v>
      </c>
      <c r="J638" s="33" t="s">
        <v>622</v>
      </c>
      <c r="K638" s="65">
        <v>46012</v>
      </c>
      <c r="L638" s="33">
        <v>2026400026</v>
      </c>
      <c r="M638" s="33" t="s">
        <v>222</v>
      </c>
      <c r="N638" s="33">
        <v>2025</v>
      </c>
    </row>
    <row r="639" spans="1:14">
      <c r="A639" s="33">
        <v>638</v>
      </c>
      <c r="B639" s="33" t="s">
        <v>58</v>
      </c>
      <c r="C639" s="33" t="s">
        <v>59</v>
      </c>
      <c r="D639" s="33" t="s">
        <v>60</v>
      </c>
      <c r="E639" s="33" t="s">
        <v>80</v>
      </c>
      <c r="F639" s="33"/>
      <c r="G639" s="33" t="s">
        <v>116</v>
      </c>
      <c r="H639" s="129" t="s">
        <v>796</v>
      </c>
      <c r="I639" s="70">
        <v>2758.6206896551726</v>
      </c>
      <c r="J639" s="33" t="s">
        <v>623</v>
      </c>
      <c r="K639" s="65">
        <v>45990</v>
      </c>
      <c r="L639" s="33">
        <v>2025404383</v>
      </c>
      <c r="M639" s="33" t="s">
        <v>222</v>
      </c>
      <c r="N639" s="33">
        <v>2025</v>
      </c>
    </row>
    <row r="640" spans="1:14">
      <c r="A640" s="33">
        <v>639</v>
      </c>
      <c r="B640" s="33" t="s">
        <v>54</v>
      </c>
      <c r="C640" s="33" t="s">
        <v>55</v>
      </c>
      <c r="D640" s="33" t="s">
        <v>60</v>
      </c>
      <c r="E640" s="33" t="s">
        <v>80</v>
      </c>
      <c r="F640" s="33"/>
      <c r="G640" s="33" t="s">
        <v>112</v>
      </c>
      <c r="H640" s="33"/>
      <c r="I640" s="70">
        <v>2249.655172413793</v>
      </c>
      <c r="J640" s="33" t="s">
        <v>624</v>
      </c>
      <c r="K640" s="65">
        <v>45993</v>
      </c>
      <c r="L640" s="33">
        <v>2025404670</v>
      </c>
      <c r="M640" s="33" t="s">
        <v>222</v>
      </c>
      <c r="N640" s="33">
        <v>2025</v>
      </c>
    </row>
    <row r="641" spans="1:14">
      <c r="A641" s="33">
        <v>640</v>
      </c>
      <c r="B641" s="33" t="s">
        <v>58</v>
      </c>
      <c r="C641" s="33" t="s">
        <v>59</v>
      </c>
      <c r="D641" s="33" t="s">
        <v>60</v>
      </c>
      <c r="E641" s="33" t="s">
        <v>80</v>
      </c>
      <c r="F641" s="33"/>
      <c r="G641" s="33" t="s">
        <v>611</v>
      </c>
      <c r="H641" s="129" t="s">
        <v>128</v>
      </c>
      <c r="I641" s="70">
        <v>2241.3793103448274</v>
      </c>
      <c r="J641" s="33" t="s">
        <v>625</v>
      </c>
      <c r="K641" s="65">
        <v>46001</v>
      </c>
      <c r="L641" s="33">
        <v>2025404684</v>
      </c>
      <c r="M641" s="33" t="s">
        <v>222</v>
      </c>
      <c r="N641" s="33">
        <v>2025</v>
      </c>
    </row>
    <row r="642" spans="1:14">
      <c r="A642" s="33">
        <v>641</v>
      </c>
      <c r="B642" s="33" t="s">
        <v>54</v>
      </c>
      <c r="C642" s="33" t="s">
        <v>55</v>
      </c>
      <c r="D642" s="33" t="s">
        <v>60</v>
      </c>
      <c r="E642" s="33" t="s">
        <v>80</v>
      </c>
      <c r="F642" s="33"/>
      <c r="G642" s="33" t="s">
        <v>112</v>
      </c>
      <c r="H642" s="135" t="s">
        <v>797</v>
      </c>
      <c r="I642" s="70">
        <v>1523.7931034482758</v>
      </c>
      <c r="J642" s="33" t="s">
        <v>626</v>
      </c>
      <c r="K642" s="65">
        <v>46016</v>
      </c>
      <c r="L642" s="33">
        <v>2026400053</v>
      </c>
      <c r="M642" s="33" t="s">
        <v>222</v>
      </c>
      <c r="N642" s="33">
        <v>2025</v>
      </c>
    </row>
    <row r="643" spans="1:14">
      <c r="A643" s="33">
        <v>642</v>
      </c>
      <c r="B643" s="33" t="s">
        <v>58</v>
      </c>
      <c r="C643" s="33" t="s">
        <v>59</v>
      </c>
      <c r="D643" s="33" t="s">
        <v>60</v>
      </c>
      <c r="E643" s="33" t="s">
        <v>80</v>
      </c>
      <c r="F643" s="33"/>
      <c r="G643" s="33" t="s">
        <v>112</v>
      </c>
      <c r="H643" s="135" t="s">
        <v>797</v>
      </c>
      <c r="I643" s="70">
        <v>1402.7586206896551</v>
      </c>
      <c r="J643" s="33" t="s">
        <v>627</v>
      </c>
      <c r="K643" s="65">
        <v>46005</v>
      </c>
      <c r="L643" s="33">
        <v>2025404674</v>
      </c>
      <c r="M643" s="33" t="s">
        <v>222</v>
      </c>
      <c r="N643" s="33">
        <v>2025</v>
      </c>
    </row>
    <row r="644" spans="1:14">
      <c r="A644" s="33">
        <v>643</v>
      </c>
      <c r="B644" s="33" t="s">
        <v>54</v>
      </c>
      <c r="C644" s="33" t="s">
        <v>55</v>
      </c>
      <c r="D644" s="33" t="s">
        <v>60</v>
      </c>
      <c r="E644" s="33" t="s">
        <v>80</v>
      </c>
      <c r="F644" s="33"/>
      <c r="G644" s="33" t="s">
        <v>112</v>
      </c>
      <c r="H644" s="135" t="s">
        <v>797</v>
      </c>
      <c r="I644" s="70">
        <v>1117.5862068965516</v>
      </c>
      <c r="J644" s="33" t="s">
        <v>628</v>
      </c>
      <c r="K644" s="65">
        <v>46004</v>
      </c>
      <c r="L644" s="33">
        <v>2026400053</v>
      </c>
      <c r="M644" s="33" t="s">
        <v>222</v>
      </c>
      <c r="N644" s="33">
        <v>2025</v>
      </c>
    </row>
    <row r="645" spans="1:14">
      <c r="A645" s="33">
        <v>644</v>
      </c>
      <c r="B645" s="33" t="s">
        <v>42</v>
      </c>
      <c r="C645" s="122" t="s">
        <v>285</v>
      </c>
      <c r="D645" s="33" t="s">
        <v>60</v>
      </c>
      <c r="E645" s="33" t="s">
        <v>80</v>
      </c>
      <c r="F645" s="33"/>
      <c r="G645" s="33" t="s">
        <v>269</v>
      </c>
      <c r="H645" s="135" t="s">
        <v>797</v>
      </c>
      <c r="I645" s="70">
        <v>986.89655172413791</v>
      </c>
      <c r="J645" s="33" t="s">
        <v>629</v>
      </c>
      <c r="K645" s="65">
        <v>45992</v>
      </c>
      <c r="L645" s="33">
        <v>2025404535</v>
      </c>
      <c r="M645" s="33" t="s">
        <v>222</v>
      </c>
      <c r="N645" s="33">
        <v>2025</v>
      </c>
    </row>
    <row r="646" spans="1:14">
      <c r="A646" s="33">
        <v>645</v>
      </c>
      <c r="B646" s="33" t="s">
        <v>17</v>
      </c>
      <c r="C646" s="33" t="s">
        <v>22</v>
      </c>
      <c r="D646" s="33" t="s">
        <v>60</v>
      </c>
      <c r="E646" s="33" t="s">
        <v>80</v>
      </c>
      <c r="F646" s="33"/>
      <c r="G646" s="33" t="s">
        <v>612</v>
      </c>
      <c r="H646" s="135" t="s">
        <v>797</v>
      </c>
      <c r="I646" s="70">
        <v>877.3393103448276</v>
      </c>
      <c r="J646" s="33" t="s">
        <v>630</v>
      </c>
      <c r="K646" s="65">
        <v>45907</v>
      </c>
      <c r="L646" s="33">
        <v>2025404056</v>
      </c>
      <c r="M646" s="33" t="s">
        <v>222</v>
      </c>
      <c r="N646" s="33">
        <v>2025</v>
      </c>
    </row>
    <row r="647" spans="1:14">
      <c r="A647" s="33">
        <v>646</v>
      </c>
      <c r="B647" s="33" t="s">
        <v>54</v>
      </c>
      <c r="C647" s="33" t="s">
        <v>55</v>
      </c>
      <c r="D647" s="33" t="s">
        <v>60</v>
      </c>
      <c r="E647" s="33" t="s">
        <v>80</v>
      </c>
      <c r="F647" s="33"/>
      <c r="G647" s="33" t="s">
        <v>612</v>
      </c>
      <c r="H647" s="135" t="s">
        <v>797</v>
      </c>
      <c r="I647" s="70">
        <v>877.3393103448276</v>
      </c>
      <c r="J647" s="33" t="s">
        <v>630</v>
      </c>
      <c r="K647" s="65">
        <v>45907</v>
      </c>
      <c r="L647" s="33">
        <v>2025404056</v>
      </c>
      <c r="M647" s="33" t="s">
        <v>222</v>
      </c>
      <c r="N647" s="33">
        <v>2025</v>
      </c>
    </row>
    <row r="648" spans="1:14">
      <c r="A648" s="33">
        <v>647</v>
      </c>
      <c r="B648" s="33" t="s">
        <v>17</v>
      </c>
      <c r="C648" s="33" t="s">
        <v>18</v>
      </c>
      <c r="D648" s="33" t="s">
        <v>60</v>
      </c>
      <c r="E648" s="33" t="s">
        <v>80</v>
      </c>
      <c r="F648" s="33"/>
      <c r="G648" s="33" t="s">
        <v>193</v>
      </c>
      <c r="H648" s="135" t="s">
        <v>797</v>
      </c>
      <c r="I648" s="70">
        <v>875.86206896551721</v>
      </c>
      <c r="J648" s="33" t="s">
        <v>631</v>
      </c>
      <c r="K648" s="65">
        <v>45995</v>
      </c>
      <c r="L648" s="33">
        <v>2025404523</v>
      </c>
      <c r="M648" s="33" t="s">
        <v>222</v>
      </c>
      <c r="N648" s="33">
        <v>2025</v>
      </c>
    </row>
    <row r="649" spans="1:14">
      <c r="A649" s="33">
        <v>648</v>
      </c>
      <c r="B649" s="33" t="s">
        <v>54</v>
      </c>
      <c r="C649" s="33" t="s">
        <v>55</v>
      </c>
      <c r="D649" s="33" t="s">
        <v>60</v>
      </c>
      <c r="E649" s="33" t="s">
        <v>80</v>
      </c>
      <c r="F649" s="33"/>
      <c r="G649" s="33" t="s">
        <v>289</v>
      </c>
      <c r="H649" s="135" t="s">
        <v>797</v>
      </c>
      <c r="I649" s="70">
        <v>827.58620689655174</v>
      </c>
      <c r="J649" s="33" t="s">
        <v>632</v>
      </c>
      <c r="K649" s="65">
        <v>46000</v>
      </c>
      <c r="L649" s="33">
        <v>2025404908</v>
      </c>
      <c r="M649" s="33" t="s">
        <v>222</v>
      </c>
      <c r="N649" s="33">
        <v>2025</v>
      </c>
    </row>
    <row r="650" spans="1:14">
      <c r="A650" s="33">
        <v>649</v>
      </c>
      <c r="B650" s="33" t="s">
        <v>42</v>
      </c>
      <c r="C650" s="122" t="s">
        <v>285</v>
      </c>
      <c r="D650" s="33" t="s">
        <v>60</v>
      </c>
      <c r="E650" s="33" t="s">
        <v>80</v>
      </c>
      <c r="F650" s="33"/>
      <c r="G650" s="33" t="s">
        <v>269</v>
      </c>
      <c r="H650" s="135" t="s">
        <v>797</v>
      </c>
      <c r="I650" s="70">
        <v>786.20689655172418</v>
      </c>
      <c r="J650" s="33" t="s">
        <v>633</v>
      </c>
      <c r="K650" s="65">
        <v>45992</v>
      </c>
      <c r="L650" s="33">
        <v>2025404534</v>
      </c>
      <c r="M650" s="33" t="s">
        <v>222</v>
      </c>
      <c r="N650" s="33">
        <v>2025</v>
      </c>
    </row>
    <row r="651" spans="1:14">
      <c r="A651" s="33">
        <v>650</v>
      </c>
      <c r="B651" s="33" t="s">
        <v>52</v>
      </c>
      <c r="C651" s="122" t="s">
        <v>62</v>
      </c>
      <c r="D651" s="33" t="s">
        <v>60</v>
      </c>
      <c r="E651" s="33" t="s">
        <v>80</v>
      </c>
      <c r="F651" s="33"/>
      <c r="G651" s="33" t="s">
        <v>288</v>
      </c>
      <c r="H651" s="135" t="s">
        <v>797</v>
      </c>
      <c r="I651" s="70">
        <v>551.72413793103453</v>
      </c>
      <c r="J651" s="33" t="s">
        <v>634</v>
      </c>
      <c r="K651" s="65">
        <v>45993</v>
      </c>
      <c r="L651" s="33">
        <v>2025404637</v>
      </c>
      <c r="M651" s="33" t="s">
        <v>222</v>
      </c>
      <c r="N651" s="33">
        <v>2025</v>
      </c>
    </row>
    <row r="652" spans="1:14">
      <c r="A652" s="33">
        <v>651</v>
      </c>
      <c r="B652" s="33" t="s">
        <v>52</v>
      </c>
      <c r="C652" s="126" t="s">
        <v>62</v>
      </c>
      <c r="D652" s="33" t="s">
        <v>60</v>
      </c>
      <c r="E652" s="33" t="s">
        <v>80</v>
      </c>
      <c r="F652" s="33"/>
      <c r="G652" s="33" t="s">
        <v>288</v>
      </c>
      <c r="H652" s="135" t="s">
        <v>797</v>
      </c>
      <c r="I652" s="70">
        <v>482.75862068965517</v>
      </c>
      <c r="J652" s="33" t="s">
        <v>635</v>
      </c>
      <c r="K652" s="65">
        <v>45998</v>
      </c>
      <c r="L652" s="33">
        <v>2025404635</v>
      </c>
      <c r="M652" s="33" t="s">
        <v>222</v>
      </c>
      <c r="N652" s="33">
        <v>2025</v>
      </c>
    </row>
    <row r="653" spans="1:14">
      <c r="A653" s="33">
        <v>652</v>
      </c>
      <c r="B653" s="33" t="s">
        <v>54</v>
      </c>
      <c r="C653" s="33" t="s">
        <v>55</v>
      </c>
      <c r="D653" s="33" t="s">
        <v>60</v>
      </c>
      <c r="E653" s="33" t="s">
        <v>80</v>
      </c>
      <c r="F653" s="33"/>
      <c r="G653" s="33" t="s">
        <v>289</v>
      </c>
      <c r="H653" s="135" t="s">
        <v>797</v>
      </c>
      <c r="I653" s="70">
        <v>413.79310344827587</v>
      </c>
      <c r="J653" s="33" t="s">
        <v>636</v>
      </c>
      <c r="K653" s="65">
        <v>46008</v>
      </c>
      <c r="L653" s="33">
        <v>2025404621</v>
      </c>
      <c r="M653" s="33" t="s">
        <v>222</v>
      </c>
      <c r="N653" s="33">
        <v>2025</v>
      </c>
    </row>
    <row r="654" spans="1:14">
      <c r="A654" s="33">
        <v>653</v>
      </c>
      <c r="B654" s="33" t="s">
        <v>42</v>
      </c>
      <c r="C654" s="33" t="s">
        <v>45</v>
      </c>
      <c r="D654" s="33" t="s">
        <v>60</v>
      </c>
      <c r="E654" s="33" t="s">
        <v>80</v>
      </c>
      <c r="F654" s="33"/>
      <c r="G654" s="33" t="s">
        <v>612</v>
      </c>
      <c r="H654" s="135" t="s">
        <v>797</v>
      </c>
      <c r="I654" s="70">
        <v>350.93586206896549</v>
      </c>
      <c r="J654" s="33" t="s">
        <v>630</v>
      </c>
      <c r="K654" s="65">
        <v>45907</v>
      </c>
      <c r="L654" s="33">
        <v>2025404056</v>
      </c>
      <c r="M654" s="33" t="s">
        <v>222</v>
      </c>
      <c r="N654" s="33">
        <v>2025</v>
      </c>
    </row>
    <row r="655" spans="1:14">
      <c r="A655" s="33">
        <v>654</v>
      </c>
      <c r="B655" s="33" t="s">
        <v>33</v>
      </c>
      <c r="C655" s="33" t="s">
        <v>34</v>
      </c>
      <c r="D655" s="33" t="s">
        <v>60</v>
      </c>
      <c r="E655" s="33" t="s">
        <v>80</v>
      </c>
      <c r="F655" s="33"/>
      <c r="G655" s="33" t="s">
        <v>612</v>
      </c>
      <c r="H655" s="135" t="s">
        <v>797</v>
      </c>
      <c r="I655" s="70">
        <v>350.93586206896549</v>
      </c>
      <c r="J655" s="33" t="s">
        <v>630</v>
      </c>
      <c r="K655" s="65">
        <v>45907</v>
      </c>
      <c r="L655" s="33">
        <v>2025404056</v>
      </c>
      <c r="M655" s="33" t="s">
        <v>222</v>
      </c>
      <c r="N655" s="33">
        <v>2025</v>
      </c>
    </row>
    <row r="656" spans="1:14">
      <c r="A656" s="33">
        <v>655</v>
      </c>
      <c r="B656" s="33" t="s">
        <v>35</v>
      </c>
      <c r="C656" s="33" t="s">
        <v>36</v>
      </c>
      <c r="D656" s="33" t="s">
        <v>60</v>
      </c>
      <c r="E656" s="33" t="s">
        <v>80</v>
      </c>
      <c r="F656" s="33"/>
      <c r="G656" s="33" t="s">
        <v>288</v>
      </c>
      <c r="H656" s="135" t="s">
        <v>797</v>
      </c>
      <c r="I656" s="70">
        <v>310.34482758620692</v>
      </c>
      <c r="J656" s="33" t="s">
        <v>637</v>
      </c>
      <c r="K656" s="65">
        <v>45995</v>
      </c>
      <c r="L656" s="33">
        <v>2025404636</v>
      </c>
      <c r="M656" s="33" t="s">
        <v>222</v>
      </c>
      <c r="N656" s="33">
        <v>2025</v>
      </c>
    </row>
    <row r="657" spans="1:14">
      <c r="A657" s="33">
        <v>656</v>
      </c>
      <c r="B657" s="33" t="s">
        <v>17</v>
      </c>
      <c r="C657" s="33" t="s">
        <v>18</v>
      </c>
      <c r="D657" s="33" t="s">
        <v>60</v>
      </c>
      <c r="E657" s="33" t="s">
        <v>80</v>
      </c>
      <c r="F657" s="33"/>
      <c r="G657" s="33" t="s">
        <v>613</v>
      </c>
      <c r="H657" s="135" t="s">
        <v>797</v>
      </c>
      <c r="I657" s="70">
        <v>310.34482758620692</v>
      </c>
      <c r="J657" s="33" t="s">
        <v>638</v>
      </c>
      <c r="K657" s="65">
        <v>46004</v>
      </c>
      <c r="L657" s="33">
        <v>2025404900</v>
      </c>
      <c r="M657" s="33" t="s">
        <v>222</v>
      </c>
      <c r="N657" s="33">
        <v>2025</v>
      </c>
    </row>
    <row r="658" spans="1:14">
      <c r="A658" s="33">
        <v>657</v>
      </c>
      <c r="B658" s="33" t="s">
        <v>17</v>
      </c>
      <c r="C658" s="33" t="s">
        <v>18</v>
      </c>
      <c r="D658" s="33" t="s">
        <v>60</v>
      </c>
      <c r="E658" s="33" t="s">
        <v>80</v>
      </c>
      <c r="F658" s="33"/>
      <c r="G658" s="33" t="s">
        <v>193</v>
      </c>
      <c r="H658" s="135" t="s">
        <v>797</v>
      </c>
      <c r="I658" s="70">
        <v>206.89655172413794</v>
      </c>
      <c r="J658" s="33" t="s">
        <v>639</v>
      </c>
      <c r="K658" s="65">
        <v>45992</v>
      </c>
      <c r="L658" s="33">
        <v>2025404523</v>
      </c>
      <c r="M658" s="33" t="s">
        <v>222</v>
      </c>
      <c r="N658" s="33">
        <v>2025</v>
      </c>
    </row>
    <row r="659" spans="1:14">
      <c r="A659" s="33">
        <v>658</v>
      </c>
      <c r="B659" s="33" t="s">
        <v>52</v>
      </c>
      <c r="C659" s="122" t="s">
        <v>62</v>
      </c>
      <c r="D659" s="33" t="s">
        <v>60</v>
      </c>
      <c r="E659" s="33" t="s">
        <v>80</v>
      </c>
      <c r="F659" s="33"/>
      <c r="G659" s="33" t="s">
        <v>288</v>
      </c>
      <c r="H659" s="33" t="s">
        <v>297</v>
      </c>
      <c r="I659" s="70">
        <v>165.51724137931035</v>
      </c>
      <c r="J659" s="33" t="s">
        <v>640</v>
      </c>
      <c r="K659" s="65">
        <v>45993</v>
      </c>
      <c r="L659" s="33">
        <v>2025404638</v>
      </c>
      <c r="M659" s="33" t="s">
        <v>222</v>
      </c>
      <c r="N659" s="33">
        <v>2025</v>
      </c>
    </row>
    <row r="660" spans="1:14">
      <c r="A660" s="33">
        <v>659</v>
      </c>
      <c r="B660" s="33" t="s">
        <v>35</v>
      </c>
      <c r="C660" s="33" t="s">
        <v>41</v>
      </c>
      <c r="D660" s="33" t="s">
        <v>60</v>
      </c>
      <c r="E660" s="33" t="s">
        <v>80</v>
      </c>
      <c r="F660" s="33"/>
      <c r="G660" s="33" t="s">
        <v>288</v>
      </c>
      <c r="H660" s="135" t="s">
        <v>797</v>
      </c>
      <c r="I660" s="70">
        <v>137.93103448275863</v>
      </c>
      <c r="J660" s="33" t="s">
        <v>641</v>
      </c>
      <c r="K660" s="65">
        <v>46016</v>
      </c>
      <c r="L660" s="33">
        <v>2026400050</v>
      </c>
      <c r="M660" s="33" t="s">
        <v>222</v>
      </c>
      <c r="N660" s="33">
        <v>2025</v>
      </c>
    </row>
    <row r="661" spans="1:14">
      <c r="A661" s="33">
        <v>660</v>
      </c>
      <c r="B661" s="33" t="s">
        <v>17</v>
      </c>
      <c r="C661" s="33" t="s">
        <v>18</v>
      </c>
      <c r="D661" s="33" t="s">
        <v>60</v>
      </c>
      <c r="E661" s="33" t="s">
        <v>80</v>
      </c>
      <c r="F661" s="33"/>
      <c r="G661" s="33" t="s">
        <v>193</v>
      </c>
      <c r="H661" s="135" t="s">
        <v>797</v>
      </c>
      <c r="I661" s="70">
        <v>103.44827586206897</v>
      </c>
      <c r="J661" s="33" t="s">
        <v>642</v>
      </c>
      <c r="K661" s="65">
        <v>45992</v>
      </c>
      <c r="L661" s="33">
        <v>2025404523</v>
      </c>
      <c r="M661" s="33" t="s">
        <v>222</v>
      </c>
      <c r="N661" s="33">
        <v>2025</v>
      </c>
    </row>
    <row r="662" spans="1:14">
      <c r="A662" s="33">
        <v>661</v>
      </c>
      <c r="B662" s="33" t="s">
        <v>58</v>
      </c>
      <c r="C662" s="33" t="s">
        <v>59</v>
      </c>
      <c r="D662" s="33" t="s">
        <v>60</v>
      </c>
      <c r="E662" s="33" t="s">
        <v>80</v>
      </c>
      <c r="F662" s="33"/>
      <c r="G662" s="33" t="s">
        <v>230</v>
      </c>
      <c r="H662" s="135" t="s">
        <v>797</v>
      </c>
      <c r="I662" s="70">
        <v>1266</v>
      </c>
      <c r="J662" s="33" t="s">
        <v>270</v>
      </c>
      <c r="K662" s="65">
        <v>45931</v>
      </c>
      <c r="L662" s="33" t="s">
        <v>14</v>
      </c>
      <c r="M662" s="33" t="s">
        <v>222</v>
      </c>
      <c r="N662" s="33">
        <v>2025</v>
      </c>
    </row>
    <row r="663" spans="1:14">
      <c r="A663" s="33">
        <v>662</v>
      </c>
      <c r="B663" s="33" t="s">
        <v>42</v>
      </c>
      <c r="C663" s="33" t="s">
        <v>285</v>
      </c>
      <c r="D663" s="33" t="s">
        <v>60</v>
      </c>
      <c r="E663" s="33" t="s">
        <v>80</v>
      </c>
      <c r="F663" s="33"/>
      <c r="G663" s="33" t="s">
        <v>614</v>
      </c>
      <c r="H663" s="135" t="s">
        <v>797</v>
      </c>
      <c r="I663" s="70">
        <v>10000</v>
      </c>
      <c r="J663" s="33" t="s">
        <v>643</v>
      </c>
      <c r="K663" s="65">
        <v>45991</v>
      </c>
      <c r="L663" s="33">
        <v>2025404439</v>
      </c>
      <c r="M663" s="33" t="s">
        <v>222</v>
      </c>
      <c r="N663" s="33">
        <v>2025</v>
      </c>
    </row>
    <row r="664" spans="1:14">
      <c r="A664" s="33">
        <v>663</v>
      </c>
      <c r="B664" s="33" t="s">
        <v>54</v>
      </c>
      <c r="C664" s="33" t="s">
        <v>95</v>
      </c>
      <c r="D664" s="33" t="s">
        <v>60</v>
      </c>
      <c r="E664" s="33" t="s">
        <v>80</v>
      </c>
      <c r="F664" s="33"/>
      <c r="G664" s="33" t="s">
        <v>615</v>
      </c>
      <c r="H664" s="135" t="s">
        <v>797</v>
      </c>
      <c r="I664" s="70">
        <v>1300</v>
      </c>
      <c r="J664" s="33" t="s">
        <v>644</v>
      </c>
      <c r="K664" s="65">
        <v>45983</v>
      </c>
      <c r="L664" s="33">
        <v>2025404347</v>
      </c>
      <c r="M664" s="33" t="s">
        <v>222</v>
      </c>
      <c r="N664" s="33">
        <v>2025</v>
      </c>
    </row>
    <row r="665" spans="1:14">
      <c r="A665" s="33">
        <v>664</v>
      </c>
      <c r="B665" s="33" t="s">
        <v>54</v>
      </c>
      <c r="C665" s="33" t="s">
        <v>55</v>
      </c>
      <c r="D665" s="33" t="s">
        <v>60</v>
      </c>
      <c r="E665" s="33" t="s">
        <v>80</v>
      </c>
      <c r="F665" s="33"/>
      <c r="G665" s="33" t="s">
        <v>231</v>
      </c>
      <c r="H665" s="135" t="s">
        <v>797</v>
      </c>
      <c r="I665" s="70">
        <v>2350</v>
      </c>
      <c r="J665" s="33" t="s">
        <v>645</v>
      </c>
      <c r="K665" s="65">
        <v>45991</v>
      </c>
      <c r="L665" s="33">
        <v>2025404555</v>
      </c>
      <c r="M665" s="33" t="s">
        <v>222</v>
      </c>
      <c r="N665" s="33">
        <v>2025</v>
      </c>
    </row>
    <row r="666" spans="1:14">
      <c r="A666" s="33">
        <v>665</v>
      </c>
      <c r="B666" s="33" t="s">
        <v>17</v>
      </c>
      <c r="C666" s="33" t="s">
        <v>22</v>
      </c>
      <c r="D666" s="33" t="s">
        <v>60</v>
      </c>
      <c r="E666" s="33" t="s">
        <v>80</v>
      </c>
      <c r="F666" s="33"/>
      <c r="G666" s="33" t="s">
        <v>616</v>
      </c>
      <c r="H666" s="135" t="s">
        <v>797</v>
      </c>
      <c r="I666" s="70">
        <v>495</v>
      </c>
      <c r="J666" s="33" t="s">
        <v>646</v>
      </c>
      <c r="K666" s="65">
        <v>45993</v>
      </c>
      <c r="L666" s="33">
        <v>2025404631</v>
      </c>
      <c r="M666" s="33" t="s">
        <v>222</v>
      </c>
      <c r="N666" s="33">
        <v>2025</v>
      </c>
    </row>
    <row r="667" spans="1:14">
      <c r="A667" s="33">
        <v>666</v>
      </c>
      <c r="B667" s="33" t="s">
        <v>17</v>
      </c>
      <c r="C667" s="33" t="s">
        <v>25</v>
      </c>
      <c r="D667" s="33" t="s">
        <v>60</v>
      </c>
      <c r="E667" s="33" t="s">
        <v>80</v>
      </c>
      <c r="F667" s="33"/>
      <c r="G667" s="33" t="s">
        <v>616</v>
      </c>
      <c r="H667" s="135" t="s">
        <v>797</v>
      </c>
      <c r="I667" s="70">
        <v>1015</v>
      </c>
      <c r="J667" s="33" t="s">
        <v>647</v>
      </c>
      <c r="K667" s="65">
        <v>45988</v>
      </c>
      <c r="L667" s="33">
        <v>2025404558</v>
      </c>
      <c r="M667" s="33" t="s">
        <v>222</v>
      </c>
      <c r="N667" s="33">
        <v>2025</v>
      </c>
    </row>
    <row r="668" spans="1:14">
      <c r="A668" s="33">
        <v>667</v>
      </c>
      <c r="B668" s="33" t="s">
        <v>52</v>
      </c>
      <c r="C668" s="122" t="s">
        <v>62</v>
      </c>
      <c r="D668" s="33" t="s">
        <v>60</v>
      </c>
      <c r="E668" s="33" t="s">
        <v>80</v>
      </c>
      <c r="F668" s="33"/>
      <c r="G668" s="33" t="s">
        <v>289</v>
      </c>
      <c r="H668" s="135" t="s">
        <v>797</v>
      </c>
      <c r="I668" s="70">
        <v>2000</v>
      </c>
      <c r="J668" s="33" t="s">
        <v>648</v>
      </c>
      <c r="K668" s="65">
        <v>45993</v>
      </c>
      <c r="L668" s="33">
        <v>2025404644</v>
      </c>
      <c r="M668" s="33" t="s">
        <v>222</v>
      </c>
      <c r="N668" s="33">
        <v>2025</v>
      </c>
    </row>
    <row r="669" spans="1:14">
      <c r="A669" s="33">
        <v>668</v>
      </c>
      <c r="B669" s="33" t="s">
        <v>52</v>
      </c>
      <c r="C669" s="122" t="s">
        <v>62</v>
      </c>
      <c r="D669" s="33" t="s">
        <v>60</v>
      </c>
      <c r="E669" s="33" t="s">
        <v>80</v>
      </c>
      <c r="F669" s="33"/>
      <c r="G669" s="33" t="s">
        <v>289</v>
      </c>
      <c r="H669" s="135" t="s">
        <v>797</v>
      </c>
      <c r="I669" s="70">
        <v>320</v>
      </c>
      <c r="J669" s="33" t="s">
        <v>649</v>
      </c>
      <c r="K669" s="65">
        <v>45992</v>
      </c>
      <c r="L669" s="33">
        <v>2025404644</v>
      </c>
      <c r="M669" s="33" t="s">
        <v>222</v>
      </c>
      <c r="N669" s="33">
        <v>2025</v>
      </c>
    </row>
    <row r="670" spans="1:14">
      <c r="A670" s="33">
        <v>669</v>
      </c>
      <c r="B670" s="33" t="s">
        <v>52</v>
      </c>
      <c r="C670" s="122" t="s">
        <v>62</v>
      </c>
      <c r="D670" s="33" t="s">
        <v>60</v>
      </c>
      <c r="E670" s="33" t="s">
        <v>80</v>
      </c>
      <c r="F670" s="33"/>
      <c r="G670" s="33" t="s">
        <v>289</v>
      </c>
      <c r="H670" s="135" t="s">
        <v>797</v>
      </c>
      <c r="I670" s="70">
        <v>1800</v>
      </c>
      <c r="J670" s="33" t="s">
        <v>650</v>
      </c>
      <c r="K670" s="65">
        <v>45992</v>
      </c>
      <c r="L670" s="33">
        <v>2025404644</v>
      </c>
      <c r="M670" s="33" t="s">
        <v>222</v>
      </c>
      <c r="N670" s="33">
        <v>2025</v>
      </c>
    </row>
    <row r="671" spans="1:14">
      <c r="A671" s="33">
        <v>670</v>
      </c>
      <c r="B671" s="33" t="s">
        <v>58</v>
      </c>
      <c r="C671" s="33" t="s">
        <v>59</v>
      </c>
      <c r="D671" s="33" t="s">
        <v>60</v>
      </c>
      <c r="E671" s="33" t="s">
        <v>80</v>
      </c>
      <c r="F671" s="33"/>
      <c r="G671" s="33" t="s">
        <v>617</v>
      </c>
      <c r="H671" s="135" t="s">
        <v>797</v>
      </c>
      <c r="I671" s="70">
        <v>418</v>
      </c>
      <c r="J671" s="33" t="s">
        <v>651</v>
      </c>
      <c r="K671" s="65">
        <v>46009</v>
      </c>
      <c r="L671" s="33" t="s">
        <v>14</v>
      </c>
      <c r="M671" s="33" t="s">
        <v>222</v>
      </c>
      <c r="N671" s="33">
        <v>2025</v>
      </c>
    </row>
    <row r="672" spans="1:14">
      <c r="A672" s="33">
        <v>671</v>
      </c>
      <c r="B672" s="33" t="s">
        <v>52</v>
      </c>
      <c r="C672" s="122" t="s">
        <v>62</v>
      </c>
      <c r="D672" s="33" t="s">
        <v>60</v>
      </c>
      <c r="E672" s="33" t="s">
        <v>80</v>
      </c>
      <c r="F672" s="33"/>
      <c r="G672" s="33" t="s">
        <v>195</v>
      </c>
      <c r="H672" s="135" t="s">
        <v>797</v>
      </c>
      <c r="I672" s="70">
        <v>400</v>
      </c>
      <c r="J672" s="33" t="s">
        <v>652</v>
      </c>
      <c r="K672" s="65">
        <v>46011</v>
      </c>
      <c r="L672" s="33">
        <v>2025404652</v>
      </c>
      <c r="M672" s="33" t="s">
        <v>222</v>
      </c>
      <c r="N672" s="33">
        <v>2025</v>
      </c>
    </row>
    <row r="673" spans="1:14">
      <c r="A673" s="33">
        <v>672</v>
      </c>
      <c r="B673" s="33" t="s">
        <v>52</v>
      </c>
      <c r="C673" s="122" t="s">
        <v>62</v>
      </c>
      <c r="D673" s="33" t="s">
        <v>60</v>
      </c>
      <c r="E673" s="33" t="s">
        <v>80</v>
      </c>
      <c r="F673" s="33"/>
      <c r="G673" s="33" t="s">
        <v>616</v>
      </c>
      <c r="H673" s="135" t="s">
        <v>797</v>
      </c>
      <c r="I673" s="70">
        <v>680</v>
      </c>
      <c r="J673" s="33" t="s">
        <v>653</v>
      </c>
      <c r="K673" s="65">
        <v>46000</v>
      </c>
      <c r="L673" s="33">
        <v>2025404697</v>
      </c>
      <c r="M673" s="33" t="s">
        <v>222</v>
      </c>
      <c r="N673" s="33">
        <v>2025</v>
      </c>
    </row>
    <row r="674" spans="1:14">
      <c r="A674" s="33">
        <v>673</v>
      </c>
      <c r="B674" s="33" t="s">
        <v>52</v>
      </c>
      <c r="C674" s="122" t="s">
        <v>62</v>
      </c>
      <c r="D674" s="33" t="s">
        <v>60</v>
      </c>
      <c r="E674" s="33" t="s">
        <v>80</v>
      </c>
      <c r="F674" s="33"/>
      <c r="G674" s="33" t="s">
        <v>289</v>
      </c>
      <c r="H674" s="135" t="s">
        <v>797</v>
      </c>
      <c r="I674" s="70">
        <v>2700</v>
      </c>
      <c r="J674" s="33" t="s">
        <v>654</v>
      </c>
      <c r="K674" s="65">
        <v>46011</v>
      </c>
      <c r="L674" s="33">
        <v>2025404898</v>
      </c>
      <c r="M674" s="33" t="s">
        <v>222</v>
      </c>
      <c r="N674" s="33">
        <v>2025</v>
      </c>
    </row>
    <row r="675" spans="1:14">
      <c r="A675" s="33">
        <v>674</v>
      </c>
      <c r="B675" s="33" t="s">
        <v>54</v>
      </c>
      <c r="C675" s="33" t="s">
        <v>55</v>
      </c>
      <c r="D675" s="33" t="s">
        <v>60</v>
      </c>
      <c r="E675" s="33" t="s">
        <v>80</v>
      </c>
      <c r="F675" s="33"/>
      <c r="G675" s="33" t="s">
        <v>231</v>
      </c>
      <c r="H675" s="135" t="s">
        <v>797</v>
      </c>
      <c r="I675" s="70">
        <v>1950</v>
      </c>
      <c r="J675" s="33" t="s">
        <v>655</v>
      </c>
      <c r="K675" s="65">
        <v>46000</v>
      </c>
      <c r="L675" s="33">
        <v>2025404901</v>
      </c>
      <c r="M675" s="33" t="s">
        <v>222</v>
      </c>
      <c r="N675" s="33">
        <v>2025</v>
      </c>
    </row>
    <row r="676" spans="1:14">
      <c r="A676" s="33">
        <v>675</v>
      </c>
      <c r="B676" s="33" t="s">
        <v>17</v>
      </c>
      <c r="C676" s="33" t="s">
        <v>18</v>
      </c>
      <c r="D676" s="33" t="s">
        <v>60</v>
      </c>
      <c r="E676" s="33" t="s">
        <v>80</v>
      </c>
      <c r="F676" s="33"/>
      <c r="G676" s="33" t="s">
        <v>618</v>
      </c>
      <c r="H676" s="135" t="s">
        <v>797</v>
      </c>
      <c r="I676" s="70">
        <v>2175</v>
      </c>
      <c r="J676" s="33" t="s">
        <v>656</v>
      </c>
      <c r="K676" s="65">
        <v>46004</v>
      </c>
      <c r="L676" s="33">
        <v>2025404819</v>
      </c>
      <c r="M676" s="33" t="s">
        <v>222</v>
      </c>
      <c r="N676" s="33">
        <v>2025</v>
      </c>
    </row>
    <row r="677" spans="1:14">
      <c r="A677" s="33">
        <v>676</v>
      </c>
      <c r="B677" s="33" t="s">
        <v>52</v>
      </c>
      <c r="C677" s="122" t="s">
        <v>62</v>
      </c>
      <c r="D677" s="33" t="s">
        <v>60</v>
      </c>
      <c r="E677" s="33" t="s">
        <v>80</v>
      </c>
      <c r="F677" s="33"/>
      <c r="G677" s="33" t="s">
        <v>231</v>
      </c>
      <c r="H677" s="135" t="s">
        <v>797</v>
      </c>
      <c r="I677" s="70">
        <v>3600</v>
      </c>
      <c r="J677" s="33" t="s">
        <v>657</v>
      </c>
      <c r="K677" s="65">
        <v>46015</v>
      </c>
      <c r="L677" s="33">
        <v>2025404888</v>
      </c>
      <c r="M677" s="33" t="s">
        <v>222</v>
      </c>
      <c r="N677" s="33">
        <v>2025</v>
      </c>
    </row>
    <row r="678" spans="1:14">
      <c r="A678" s="33">
        <v>677</v>
      </c>
      <c r="B678" s="33" t="s">
        <v>17</v>
      </c>
      <c r="C678" s="33" t="s">
        <v>18</v>
      </c>
      <c r="D678" s="33" t="s">
        <v>60</v>
      </c>
      <c r="E678" s="33" t="s">
        <v>80</v>
      </c>
      <c r="F678" s="33"/>
      <c r="G678" s="33" t="s">
        <v>231</v>
      </c>
      <c r="H678" s="135" t="s">
        <v>797</v>
      </c>
      <c r="I678" s="70">
        <v>400</v>
      </c>
      <c r="J678" s="33" t="s">
        <v>658</v>
      </c>
      <c r="K678" s="65">
        <v>46006</v>
      </c>
      <c r="L678" s="33">
        <v>2025404922</v>
      </c>
      <c r="M678" s="33" t="s">
        <v>222</v>
      </c>
      <c r="N678" s="33">
        <v>2025</v>
      </c>
    </row>
    <row r="679" spans="1:14">
      <c r="A679" s="33">
        <v>678</v>
      </c>
      <c r="B679" s="33" t="s">
        <v>52</v>
      </c>
      <c r="C679" s="122" t="s">
        <v>62</v>
      </c>
      <c r="D679" s="33" t="s">
        <v>60</v>
      </c>
      <c r="E679" s="33" t="s">
        <v>80</v>
      </c>
      <c r="F679" s="33"/>
      <c r="G679" s="33" t="s">
        <v>616</v>
      </c>
      <c r="H679" s="135" t="s">
        <v>797</v>
      </c>
      <c r="I679" s="70">
        <v>840</v>
      </c>
      <c r="J679" s="33" t="s">
        <v>659</v>
      </c>
      <c r="K679" s="65">
        <v>46028</v>
      </c>
      <c r="L679" s="33">
        <v>2025404886</v>
      </c>
      <c r="M679" s="33" t="s">
        <v>222</v>
      </c>
      <c r="N679" s="33">
        <v>2025</v>
      </c>
    </row>
    <row r="680" spans="1:14">
      <c r="A680" s="33">
        <v>679</v>
      </c>
      <c r="B680" s="33" t="s">
        <v>54</v>
      </c>
      <c r="C680" s="33" t="s">
        <v>55</v>
      </c>
      <c r="D680" s="33" t="s">
        <v>60</v>
      </c>
      <c r="E680" s="33" t="s">
        <v>80</v>
      </c>
      <c r="F680" s="33"/>
      <c r="G680" s="33" t="s">
        <v>619</v>
      </c>
      <c r="H680" s="135" t="s">
        <v>797</v>
      </c>
      <c r="I680" s="70">
        <v>3595.2</v>
      </c>
      <c r="J680" s="33" t="s">
        <v>660</v>
      </c>
      <c r="K680" s="65">
        <v>46004</v>
      </c>
      <c r="L680" s="33">
        <v>2026400059</v>
      </c>
      <c r="M680" s="33" t="s">
        <v>222</v>
      </c>
      <c r="N680" s="33">
        <v>2025</v>
      </c>
    </row>
    <row r="681" spans="1:14">
      <c r="A681" s="33">
        <v>680</v>
      </c>
      <c r="B681" s="33" t="s">
        <v>58</v>
      </c>
      <c r="C681" s="33" t="s">
        <v>59</v>
      </c>
      <c r="D681" s="33" t="s">
        <v>60</v>
      </c>
      <c r="E681" s="33" t="s">
        <v>80</v>
      </c>
      <c r="F681" s="33"/>
      <c r="G681" s="33" t="s">
        <v>620</v>
      </c>
      <c r="H681" s="135" t="s">
        <v>797</v>
      </c>
      <c r="I681" s="70">
        <v>816.64</v>
      </c>
      <c r="J681" s="33" t="s">
        <v>661</v>
      </c>
      <c r="K681" s="65">
        <v>46005</v>
      </c>
      <c r="L681" s="33">
        <v>2025404260</v>
      </c>
      <c r="M681" s="33" t="s">
        <v>222</v>
      </c>
      <c r="N681" s="33">
        <v>2025</v>
      </c>
    </row>
    <row r="682" spans="1:14">
      <c r="A682" s="33">
        <v>681</v>
      </c>
      <c r="B682" s="33" t="s">
        <v>42</v>
      </c>
      <c r="C682" s="33" t="s">
        <v>50</v>
      </c>
      <c r="D682" s="33" t="s">
        <v>60</v>
      </c>
      <c r="E682" s="33" t="s">
        <v>80</v>
      </c>
      <c r="F682" s="33"/>
      <c r="G682" s="33" t="s">
        <v>193</v>
      </c>
      <c r="H682" s="135" t="s">
        <v>797</v>
      </c>
      <c r="I682" s="70">
        <v>1971.0344827586207</v>
      </c>
      <c r="J682" s="33" t="s">
        <v>758</v>
      </c>
      <c r="K682" s="65">
        <v>46022</v>
      </c>
      <c r="L682" s="33">
        <v>2026400120</v>
      </c>
      <c r="M682" s="33" t="s">
        <v>222</v>
      </c>
      <c r="N682" s="33">
        <v>2025</v>
      </c>
    </row>
    <row r="683" spans="1:14">
      <c r="A683" s="33">
        <v>682</v>
      </c>
      <c r="B683" s="33" t="s">
        <v>42</v>
      </c>
      <c r="C683" s="33" t="s">
        <v>50</v>
      </c>
      <c r="D683" s="33" t="s">
        <v>60</v>
      </c>
      <c r="E683" s="33" t="s">
        <v>80</v>
      </c>
      <c r="F683" s="33"/>
      <c r="G683" s="33" t="s">
        <v>193</v>
      </c>
      <c r="H683" s="134" t="s">
        <v>797</v>
      </c>
      <c r="I683" s="70">
        <v>964.82758620689651</v>
      </c>
      <c r="J683" s="33" t="s">
        <v>759</v>
      </c>
      <c r="K683" s="65">
        <v>46022</v>
      </c>
      <c r="L683" s="33">
        <v>2026400120</v>
      </c>
      <c r="M683" s="33" t="s">
        <v>222</v>
      </c>
      <c r="N683" s="33">
        <v>2025</v>
      </c>
    </row>
    <row r="684" spans="1:14">
      <c r="A684" s="33">
        <v>683</v>
      </c>
      <c r="B684" s="33" t="s">
        <v>54</v>
      </c>
      <c r="C684" s="33" t="s">
        <v>55</v>
      </c>
      <c r="D684" s="33" t="s">
        <v>60</v>
      </c>
      <c r="E684" s="33" t="s">
        <v>80</v>
      </c>
      <c r="F684" s="33"/>
      <c r="G684" s="33" t="s">
        <v>288</v>
      </c>
      <c r="H684" s="133" t="s">
        <v>797</v>
      </c>
      <c r="I684" s="70">
        <v>344.82758620689657</v>
      </c>
      <c r="J684" s="33" t="s">
        <v>760</v>
      </c>
      <c r="K684" s="65">
        <v>46002</v>
      </c>
      <c r="L684" s="33">
        <v>2026400051</v>
      </c>
      <c r="M684" s="33" t="s">
        <v>222</v>
      </c>
      <c r="N684" s="33">
        <v>2025</v>
      </c>
    </row>
    <row r="685" spans="1:14">
      <c r="A685" s="33">
        <v>684</v>
      </c>
      <c r="B685" s="33" t="s">
        <v>52</v>
      </c>
      <c r="C685" s="122" t="s">
        <v>62</v>
      </c>
      <c r="D685" s="33" t="s">
        <v>60</v>
      </c>
      <c r="E685" s="33" t="s">
        <v>80</v>
      </c>
      <c r="F685" s="33"/>
      <c r="G685" s="33" t="s">
        <v>288</v>
      </c>
      <c r="H685" s="132" t="s">
        <v>797</v>
      </c>
      <c r="I685" s="70">
        <v>241.37931034482759</v>
      </c>
      <c r="J685" s="33" t="s">
        <v>761</v>
      </c>
      <c r="K685" s="65">
        <v>46012</v>
      </c>
      <c r="L685" s="33">
        <v>2026400046</v>
      </c>
      <c r="M685" s="33" t="s">
        <v>222</v>
      </c>
      <c r="N685" s="33">
        <v>2025</v>
      </c>
    </row>
    <row r="686" spans="1:14">
      <c r="A686" s="33">
        <v>685</v>
      </c>
      <c r="B686" s="33" t="s">
        <v>54</v>
      </c>
      <c r="C686" s="33" t="s">
        <v>55</v>
      </c>
      <c r="D686" s="33" t="s">
        <v>60</v>
      </c>
      <c r="E686" s="33" t="s">
        <v>80</v>
      </c>
      <c r="F686" s="33"/>
      <c r="G686" s="33" t="s">
        <v>288</v>
      </c>
      <c r="H686" s="130" t="s">
        <v>797</v>
      </c>
      <c r="I686" s="70">
        <v>241.37931034482759</v>
      </c>
      <c r="J686" s="33" t="s">
        <v>762</v>
      </c>
      <c r="K686" s="65">
        <v>46014</v>
      </c>
      <c r="L686" s="33">
        <v>2026400081</v>
      </c>
      <c r="M686" s="33" t="s">
        <v>222</v>
      </c>
      <c r="N686" s="33">
        <v>2025</v>
      </c>
    </row>
    <row r="687" spans="1:14">
      <c r="A687" s="33">
        <v>686</v>
      </c>
      <c r="B687" s="129" t="s">
        <v>54</v>
      </c>
      <c r="C687" s="129" t="s">
        <v>95</v>
      </c>
      <c r="D687" s="33" t="s">
        <v>60</v>
      </c>
      <c r="E687" s="129" t="s">
        <v>71</v>
      </c>
      <c r="F687" s="33"/>
      <c r="G687" s="33" t="s">
        <v>340</v>
      </c>
      <c r="H687" s="33" t="s">
        <v>128</v>
      </c>
      <c r="I687" s="70">
        <v>20928.972752043599</v>
      </c>
      <c r="J687" s="33" t="s">
        <v>772</v>
      </c>
      <c r="K687" s="65" t="s">
        <v>791</v>
      </c>
      <c r="L687" s="33">
        <v>2025402998</v>
      </c>
      <c r="M687" s="33" t="s">
        <v>222</v>
      </c>
      <c r="N687" s="33">
        <v>2025</v>
      </c>
    </row>
    <row r="688" spans="1:14">
      <c r="A688" s="33">
        <v>687</v>
      </c>
      <c r="B688" s="129" t="s">
        <v>42</v>
      </c>
      <c r="C688" s="33" t="s">
        <v>49</v>
      </c>
      <c r="D688" s="33" t="s">
        <v>60</v>
      </c>
      <c r="E688" s="129" t="s">
        <v>71</v>
      </c>
      <c r="F688" s="33"/>
      <c r="G688" s="33" t="s">
        <v>340</v>
      </c>
      <c r="H688" s="33" t="s">
        <v>128</v>
      </c>
      <c r="I688" s="70">
        <v>12189.00272479564</v>
      </c>
      <c r="J688" s="33" t="s">
        <v>773</v>
      </c>
      <c r="K688" s="65" t="s">
        <v>791</v>
      </c>
      <c r="L688" s="33">
        <v>2025403000</v>
      </c>
      <c r="M688" s="33" t="s">
        <v>222</v>
      </c>
      <c r="N688" s="33">
        <v>2025</v>
      </c>
    </row>
    <row r="689" spans="1:14">
      <c r="A689" s="33">
        <v>688</v>
      </c>
      <c r="B689" s="129" t="s">
        <v>52</v>
      </c>
      <c r="C689" s="129" t="s">
        <v>62</v>
      </c>
      <c r="D689" s="33" t="s">
        <v>60</v>
      </c>
      <c r="E689" s="129" t="s">
        <v>71</v>
      </c>
      <c r="F689" s="33"/>
      <c r="G689" s="33" t="s">
        <v>340</v>
      </c>
      <c r="H689" s="33" t="s">
        <v>128</v>
      </c>
      <c r="I689" s="70">
        <v>623.43324250681201</v>
      </c>
      <c r="J689" s="33" t="s">
        <v>774</v>
      </c>
      <c r="K689" s="65" t="s">
        <v>791</v>
      </c>
      <c r="L689" s="129" t="s">
        <v>14</v>
      </c>
      <c r="M689" s="33" t="s">
        <v>222</v>
      </c>
      <c r="N689" s="33">
        <v>2025</v>
      </c>
    </row>
    <row r="690" spans="1:14">
      <c r="A690" s="33">
        <v>689</v>
      </c>
      <c r="B690" s="129" t="s">
        <v>54</v>
      </c>
      <c r="C690" s="33" t="s">
        <v>95</v>
      </c>
      <c r="D690" s="33" t="s">
        <v>60</v>
      </c>
      <c r="E690" s="129" t="s">
        <v>71</v>
      </c>
      <c r="F690" s="33"/>
      <c r="G690" s="33" t="s">
        <v>340</v>
      </c>
      <c r="H690" s="33" t="s">
        <v>128</v>
      </c>
      <c r="I690" s="70">
        <v>27214.376021798365</v>
      </c>
      <c r="J690" s="33" t="s">
        <v>775</v>
      </c>
      <c r="K690" s="65" t="s">
        <v>791</v>
      </c>
      <c r="L690" s="33">
        <v>2025403317</v>
      </c>
      <c r="M690" s="33" t="s">
        <v>222</v>
      </c>
      <c r="N690" s="33">
        <v>2025</v>
      </c>
    </row>
    <row r="691" spans="1:14">
      <c r="A691" s="33">
        <v>690</v>
      </c>
      <c r="B691" s="129" t="s">
        <v>54</v>
      </c>
      <c r="C691" s="33" t="s">
        <v>95</v>
      </c>
      <c r="D691" s="33" t="s">
        <v>60</v>
      </c>
      <c r="E691" s="129" t="s">
        <v>71</v>
      </c>
      <c r="F691" s="33"/>
      <c r="G691" s="33" t="s">
        <v>340</v>
      </c>
      <c r="H691" s="33" t="s">
        <v>128</v>
      </c>
      <c r="I691" s="70">
        <v>76635.967302452322</v>
      </c>
      <c r="J691" s="33" t="s">
        <v>776</v>
      </c>
      <c r="K691" s="65" t="s">
        <v>791</v>
      </c>
      <c r="L691" s="33">
        <v>2025403316</v>
      </c>
      <c r="M691" s="33" t="s">
        <v>222</v>
      </c>
      <c r="N691" s="33">
        <v>2025</v>
      </c>
    </row>
    <row r="692" spans="1:14">
      <c r="A692" s="33">
        <v>691</v>
      </c>
      <c r="B692" s="129" t="s">
        <v>17</v>
      </c>
      <c r="C692" s="33" t="s">
        <v>798</v>
      </c>
      <c r="D692" s="33" t="s">
        <v>60</v>
      </c>
      <c r="E692" s="129" t="s">
        <v>71</v>
      </c>
      <c r="F692" s="33"/>
      <c r="G692" s="33" t="s">
        <v>340</v>
      </c>
      <c r="H692" s="33" t="s">
        <v>128</v>
      </c>
      <c r="I692" s="70">
        <v>12000</v>
      </c>
      <c r="J692" s="33" t="s">
        <v>777</v>
      </c>
      <c r="K692" s="65" t="s">
        <v>791</v>
      </c>
      <c r="L692" s="129" t="s">
        <v>14</v>
      </c>
      <c r="M692" s="33" t="s">
        <v>222</v>
      </c>
      <c r="N692" s="33">
        <v>2025</v>
      </c>
    </row>
    <row r="693" spans="1:14">
      <c r="A693" s="33">
        <v>692</v>
      </c>
      <c r="B693" s="129" t="s">
        <v>52</v>
      </c>
      <c r="C693" s="33" t="s">
        <v>62</v>
      </c>
      <c r="D693" s="33" t="s">
        <v>60</v>
      </c>
      <c r="E693" s="129" t="s">
        <v>71</v>
      </c>
      <c r="F693" s="33"/>
      <c r="G693" s="33" t="s">
        <v>340</v>
      </c>
      <c r="H693" s="33" t="s">
        <v>128</v>
      </c>
      <c r="I693" s="70">
        <v>4037.0572207084469</v>
      </c>
      <c r="J693" s="33" t="s">
        <v>778</v>
      </c>
      <c r="K693" s="65" t="s">
        <v>791</v>
      </c>
      <c r="L693" s="33">
        <v>2025404041</v>
      </c>
      <c r="M693" s="33" t="s">
        <v>222</v>
      </c>
      <c r="N693" s="33">
        <v>2025</v>
      </c>
    </row>
    <row r="694" spans="1:14">
      <c r="A694" s="33">
        <v>693</v>
      </c>
      <c r="B694" s="129" t="s">
        <v>54</v>
      </c>
      <c r="C694" s="33" t="s">
        <v>95</v>
      </c>
      <c r="D694" s="33" t="s">
        <v>60</v>
      </c>
      <c r="E694" s="129" t="s">
        <v>71</v>
      </c>
      <c r="F694" s="33"/>
      <c r="G694" s="33" t="s">
        <v>340</v>
      </c>
      <c r="H694" s="33" t="s">
        <v>128</v>
      </c>
      <c r="I694" s="70">
        <v>14742.5068119891</v>
      </c>
      <c r="J694" s="33" t="s">
        <v>779</v>
      </c>
      <c r="K694" s="65" t="s">
        <v>791</v>
      </c>
      <c r="L694" s="129" t="s">
        <v>14</v>
      </c>
      <c r="M694" s="33" t="s">
        <v>222</v>
      </c>
      <c r="N694" s="33">
        <v>2025</v>
      </c>
    </row>
    <row r="695" spans="1:14">
      <c r="A695" s="33">
        <v>694</v>
      </c>
      <c r="B695" s="129" t="s">
        <v>42</v>
      </c>
      <c r="C695" s="33" t="s">
        <v>47</v>
      </c>
      <c r="D695" s="33" t="s">
        <v>60</v>
      </c>
      <c r="E695" s="129" t="s">
        <v>71</v>
      </c>
      <c r="F695" s="33"/>
      <c r="G695" s="33" t="s">
        <v>340</v>
      </c>
      <c r="H695" s="33" t="s">
        <v>128</v>
      </c>
      <c r="I695" s="70">
        <v>23185.831062670299</v>
      </c>
      <c r="J695" s="33" t="s">
        <v>780</v>
      </c>
      <c r="K695" s="65" t="s">
        <v>791</v>
      </c>
      <c r="L695" s="33">
        <v>2025404040</v>
      </c>
      <c r="M695" s="33" t="s">
        <v>222</v>
      </c>
      <c r="N695" s="33">
        <v>2025</v>
      </c>
    </row>
    <row r="696" spans="1:14">
      <c r="A696" s="33">
        <v>695</v>
      </c>
      <c r="B696" s="129" t="s">
        <v>52</v>
      </c>
      <c r="C696" s="129" t="s">
        <v>62</v>
      </c>
      <c r="D696" s="33" t="s">
        <v>60</v>
      </c>
      <c r="E696" s="129" t="s">
        <v>71</v>
      </c>
      <c r="F696" s="33"/>
      <c r="G696" s="33" t="s">
        <v>340</v>
      </c>
      <c r="H696" s="33" t="s">
        <v>128</v>
      </c>
      <c r="I696" s="70">
        <v>12237.057220708448</v>
      </c>
      <c r="J696" s="33" t="s">
        <v>781</v>
      </c>
      <c r="K696" s="65" t="s">
        <v>791</v>
      </c>
      <c r="L696" s="129" t="s">
        <v>14</v>
      </c>
      <c r="M696" s="33" t="s">
        <v>222</v>
      </c>
      <c r="N696" s="33">
        <v>2025</v>
      </c>
    </row>
    <row r="697" spans="1:14">
      <c r="A697" s="33">
        <v>696</v>
      </c>
      <c r="B697" s="129" t="s">
        <v>17</v>
      </c>
      <c r="C697" s="33" t="s">
        <v>798</v>
      </c>
      <c r="D697" s="33" t="s">
        <v>60</v>
      </c>
      <c r="E697" s="129" t="s">
        <v>71</v>
      </c>
      <c r="F697" s="33"/>
      <c r="G697" s="33" t="s">
        <v>340</v>
      </c>
      <c r="H697" s="33" t="s">
        <v>128</v>
      </c>
      <c r="I697" s="70">
        <v>1853.4141689373296</v>
      </c>
      <c r="J697" s="33" t="s">
        <v>782</v>
      </c>
      <c r="K697" s="65" t="s">
        <v>791</v>
      </c>
      <c r="L697" s="33">
        <v>2025404039</v>
      </c>
      <c r="M697" s="33" t="s">
        <v>222</v>
      </c>
      <c r="N697" s="33">
        <v>2025</v>
      </c>
    </row>
    <row r="698" spans="1:14">
      <c r="A698" s="33">
        <v>697</v>
      </c>
      <c r="B698" s="129" t="s">
        <v>42</v>
      </c>
      <c r="C698" s="33" t="s">
        <v>49</v>
      </c>
      <c r="D698" s="33" t="s">
        <v>60</v>
      </c>
      <c r="E698" s="129" t="s">
        <v>71</v>
      </c>
      <c r="F698" s="33"/>
      <c r="G698" s="33" t="s">
        <v>340</v>
      </c>
      <c r="H698" s="33" t="s">
        <v>128</v>
      </c>
      <c r="I698" s="70">
        <v>10592.261580381472</v>
      </c>
      <c r="J698" s="33" t="s">
        <v>783</v>
      </c>
      <c r="K698" s="65" t="s">
        <v>791</v>
      </c>
      <c r="L698" s="129" t="s">
        <v>14</v>
      </c>
      <c r="M698" s="33" t="s">
        <v>222</v>
      </c>
      <c r="N698" s="33">
        <v>2025</v>
      </c>
    </row>
    <row r="699" spans="1:14">
      <c r="A699" s="33">
        <v>698</v>
      </c>
      <c r="B699" s="129" t="s">
        <v>52</v>
      </c>
      <c r="C699" s="129" t="s">
        <v>62</v>
      </c>
      <c r="D699" s="33" t="s">
        <v>60</v>
      </c>
      <c r="E699" s="129" t="s">
        <v>71</v>
      </c>
      <c r="F699" s="33"/>
      <c r="G699" s="33" t="s">
        <v>340</v>
      </c>
      <c r="H699" s="33" t="s">
        <v>128</v>
      </c>
      <c r="I699" s="70">
        <v>10659.945504087194</v>
      </c>
      <c r="J699" s="33" t="s">
        <v>784</v>
      </c>
      <c r="K699" s="65" t="s">
        <v>791</v>
      </c>
      <c r="L699" s="33">
        <v>2025404329</v>
      </c>
      <c r="M699" s="33" t="s">
        <v>222</v>
      </c>
      <c r="N699" s="33">
        <v>2025</v>
      </c>
    </row>
    <row r="700" spans="1:14">
      <c r="A700" s="33">
        <v>699</v>
      </c>
      <c r="B700" s="129" t="s">
        <v>54</v>
      </c>
      <c r="C700" s="33" t="s">
        <v>95</v>
      </c>
      <c r="D700" s="33" t="s">
        <v>60</v>
      </c>
      <c r="E700" s="129" t="s">
        <v>71</v>
      </c>
      <c r="F700" s="33"/>
      <c r="G700" s="33" t="s">
        <v>340</v>
      </c>
      <c r="H700" s="33" t="s">
        <v>128</v>
      </c>
      <c r="I700" s="70">
        <v>20358.93188010899</v>
      </c>
      <c r="J700" s="33" t="s">
        <v>785</v>
      </c>
      <c r="K700" s="65" t="s">
        <v>792</v>
      </c>
      <c r="L700" s="129" t="s">
        <v>14</v>
      </c>
      <c r="M700" s="33" t="s">
        <v>222</v>
      </c>
      <c r="N700" s="33">
        <v>2025</v>
      </c>
    </row>
    <row r="701" spans="1:14">
      <c r="A701" s="33">
        <v>700</v>
      </c>
      <c r="B701" s="129" t="s">
        <v>54</v>
      </c>
      <c r="C701" s="33" t="s">
        <v>95</v>
      </c>
      <c r="D701" s="33" t="s">
        <v>60</v>
      </c>
      <c r="E701" s="129" t="s">
        <v>71</v>
      </c>
      <c r="F701" s="33"/>
      <c r="G701" s="33" t="s">
        <v>340</v>
      </c>
      <c r="H701" s="33" t="s">
        <v>128</v>
      </c>
      <c r="I701" s="70">
        <v>18773.841961852861</v>
      </c>
      <c r="J701" s="33" t="s">
        <v>786</v>
      </c>
      <c r="K701" s="65" t="s">
        <v>792</v>
      </c>
      <c r="L701" s="33">
        <v>2025404810</v>
      </c>
      <c r="M701" s="33" t="s">
        <v>222</v>
      </c>
      <c r="N701" s="33">
        <v>2025</v>
      </c>
    </row>
    <row r="702" spans="1:14">
      <c r="A702" s="33">
        <v>701</v>
      </c>
      <c r="B702" s="129" t="s">
        <v>52</v>
      </c>
      <c r="C702" s="129" t="s">
        <v>62</v>
      </c>
      <c r="D702" s="33" t="s">
        <v>60</v>
      </c>
      <c r="E702" s="129" t="s">
        <v>71</v>
      </c>
      <c r="F702" s="33"/>
      <c r="G702" s="33" t="s">
        <v>340</v>
      </c>
      <c r="H702" s="33" t="s">
        <v>128</v>
      </c>
      <c r="I702" s="70">
        <v>19060.272479564032</v>
      </c>
      <c r="J702" s="33" t="s">
        <v>787</v>
      </c>
      <c r="K702" s="65" t="s">
        <v>793</v>
      </c>
      <c r="L702" s="129" t="s">
        <v>14</v>
      </c>
      <c r="M702" s="33" t="s">
        <v>222</v>
      </c>
      <c r="N702" s="33">
        <v>2025</v>
      </c>
    </row>
    <row r="703" spans="1:14">
      <c r="A703" s="33">
        <v>702</v>
      </c>
      <c r="B703" s="129" t="s">
        <v>52</v>
      </c>
      <c r="C703" s="129" t="s">
        <v>62</v>
      </c>
      <c r="D703" s="33" t="s">
        <v>60</v>
      </c>
      <c r="E703" s="129" t="s">
        <v>71</v>
      </c>
      <c r="F703" s="33"/>
      <c r="G703" s="33" t="s">
        <v>340</v>
      </c>
      <c r="H703" s="33" t="s">
        <v>128</v>
      </c>
      <c r="I703" s="70">
        <v>14702.452316076295</v>
      </c>
      <c r="J703" s="33" t="s">
        <v>788</v>
      </c>
      <c r="K703" s="65" t="s">
        <v>793</v>
      </c>
      <c r="L703" s="33">
        <v>2025403309</v>
      </c>
      <c r="M703" s="33" t="s">
        <v>222</v>
      </c>
      <c r="N703" s="33">
        <v>2025</v>
      </c>
    </row>
    <row r="704" spans="1:14">
      <c r="A704" s="33">
        <v>703</v>
      </c>
      <c r="B704" s="129" t="s">
        <v>52</v>
      </c>
      <c r="C704" s="129" t="s">
        <v>62</v>
      </c>
      <c r="D704" s="33" t="s">
        <v>60</v>
      </c>
      <c r="E704" s="129" t="s">
        <v>71</v>
      </c>
      <c r="F704" s="33"/>
      <c r="G704" s="33" t="s">
        <v>340</v>
      </c>
      <c r="H704" s="33" t="s">
        <v>128</v>
      </c>
      <c r="I704" s="70">
        <v>10159.782016348774</v>
      </c>
      <c r="J704" s="33" t="s">
        <v>789</v>
      </c>
      <c r="K704" s="65" t="s">
        <v>793</v>
      </c>
      <c r="L704" s="33">
        <v>2025403002</v>
      </c>
      <c r="M704" s="33" t="s">
        <v>222</v>
      </c>
      <c r="N704" s="33">
        <v>2025</v>
      </c>
    </row>
    <row r="705" spans="1:14">
      <c r="A705" s="33">
        <v>704</v>
      </c>
      <c r="B705" s="131" t="s">
        <v>17</v>
      </c>
      <c r="C705" s="60" t="s">
        <v>798</v>
      </c>
      <c r="D705" s="33" t="s">
        <v>60</v>
      </c>
      <c r="E705" s="129" t="s">
        <v>71</v>
      </c>
      <c r="G705" s="33" t="s">
        <v>340</v>
      </c>
      <c r="H705" s="33" t="s">
        <v>128</v>
      </c>
      <c r="I705" s="60">
        <v>15626.449591280654</v>
      </c>
      <c r="J705" s="60" t="s">
        <v>790</v>
      </c>
      <c r="K705" s="60" t="s">
        <v>794</v>
      </c>
      <c r="L705" s="60">
        <v>2025403864</v>
      </c>
      <c r="M705" s="33" t="s">
        <v>222</v>
      </c>
      <c r="N705" s="33">
        <v>2025</v>
      </c>
    </row>
    <row r="706" spans="1:14">
      <c r="A706" s="33">
        <v>705</v>
      </c>
      <c r="B706" s="33" t="s">
        <v>54</v>
      </c>
      <c r="C706" s="33" t="s">
        <v>55</v>
      </c>
      <c r="D706" s="33" t="s">
        <v>60</v>
      </c>
      <c r="E706" s="33" t="s">
        <v>80</v>
      </c>
      <c r="F706" s="33"/>
      <c r="G706" s="33" t="s">
        <v>231</v>
      </c>
      <c r="H706" s="33"/>
      <c r="I706" s="70">
        <v>50</v>
      </c>
      <c r="J706" s="33" t="s">
        <v>763</v>
      </c>
      <c r="K706" s="65">
        <v>46016</v>
      </c>
      <c r="L706" s="33">
        <v>2026400121</v>
      </c>
      <c r="M706" s="33" t="s">
        <v>222</v>
      </c>
      <c r="N706" s="33">
        <v>2025</v>
      </c>
    </row>
    <row r="707" spans="1:14">
      <c r="A707" s="33">
        <v>706</v>
      </c>
      <c r="B707" s="33" t="s">
        <v>58</v>
      </c>
      <c r="C707" s="33" t="s">
        <v>59</v>
      </c>
      <c r="D707" s="33" t="s">
        <v>60</v>
      </c>
      <c r="E707" s="33" t="s">
        <v>80</v>
      </c>
      <c r="F707" s="33"/>
      <c r="G707" s="33" t="s">
        <v>64</v>
      </c>
      <c r="H707" s="33" t="s">
        <v>740</v>
      </c>
      <c r="I707" s="67">
        <v>758.62068965517244</v>
      </c>
      <c r="J707" s="33" t="s">
        <v>68</v>
      </c>
      <c r="K707" s="65">
        <v>45759</v>
      </c>
      <c r="L707" s="94" t="s">
        <v>14</v>
      </c>
      <c r="M707" s="94" t="s">
        <v>222</v>
      </c>
      <c r="N707" s="33">
        <v>2025</v>
      </c>
    </row>
    <row r="708" spans="1:14">
      <c r="A708" s="33">
        <v>707</v>
      </c>
      <c r="B708" s="33" t="s">
        <v>58</v>
      </c>
      <c r="C708" s="33" t="s">
        <v>59</v>
      </c>
      <c r="D708" s="33" t="s">
        <v>60</v>
      </c>
      <c r="E708" s="33" t="s">
        <v>80</v>
      </c>
      <c r="F708" s="33"/>
      <c r="G708" s="33" t="s">
        <v>64</v>
      </c>
      <c r="H708" s="66" t="s">
        <v>741</v>
      </c>
      <c r="I708" s="67">
        <v>448.27586206896552</v>
      </c>
      <c r="J708" s="66" t="s">
        <v>68</v>
      </c>
      <c r="K708" s="65" t="s">
        <v>678</v>
      </c>
      <c r="L708" s="94" t="s">
        <v>14</v>
      </c>
      <c r="M708" s="94" t="s">
        <v>222</v>
      </c>
      <c r="N708" s="33">
        <v>2025</v>
      </c>
    </row>
    <row r="709" spans="1:14">
      <c r="A709" s="33">
        <v>708</v>
      </c>
      <c r="B709" s="33" t="s">
        <v>58</v>
      </c>
      <c r="C709" s="33" t="s">
        <v>59</v>
      </c>
      <c r="D709" s="33" t="s">
        <v>60</v>
      </c>
      <c r="E709" s="33" t="s">
        <v>80</v>
      </c>
      <c r="F709" s="33"/>
      <c r="G709" s="33" t="s">
        <v>64</v>
      </c>
      <c r="H709" s="66" t="s">
        <v>742</v>
      </c>
      <c r="I709" s="67">
        <v>179.31034482758622</v>
      </c>
      <c r="J709" s="66" t="s">
        <v>68</v>
      </c>
      <c r="K709" s="65" t="s">
        <v>687</v>
      </c>
      <c r="L709" s="94" t="s">
        <v>14</v>
      </c>
      <c r="M709" s="94" t="s">
        <v>222</v>
      </c>
      <c r="N709" s="33">
        <v>2025</v>
      </c>
    </row>
    <row r="710" spans="1:14">
      <c r="A710" s="33">
        <v>709</v>
      </c>
      <c r="B710" s="33" t="s">
        <v>58</v>
      </c>
      <c r="C710" s="33" t="s">
        <v>59</v>
      </c>
      <c r="D710" s="33" t="s">
        <v>60</v>
      </c>
      <c r="E710" s="33" t="s">
        <v>80</v>
      </c>
      <c r="F710" s="33"/>
      <c r="G710" s="33" t="s">
        <v>64</v>
      </c>
      <c r="H710" s="33" t="s">
        <v>268</v>
      </c>
      <c r="I710" s="70">
        <v>1100</v>
      </c>
      <c r="J710" s="33" t="s">
        <v>68</v>
      </c>
      <c r="K710" s="65" t="s">
        <v>674</v>
      </c>
      <c r="L710" s="94" t="s">
        <v>14</v>
      </c>
      <c r="M710" s="94" t="s">
        <v>222</v>
      </c>
      <c r="N710" s="33">
        <v>2025</v>
      </c>
    </row>
    <row r="711" spans="1:14">
      <c r="A711" s="33">
        <v>710</v>
      </c>
      <c r="B711" s="33" t="s">
        <v>58</v>
      </c>
      <c r="C711" s="33" t="s">
        <v>59</v>
      </c>
      <c r="D711" s="33" t="s">
        <v>60</v>
      </c>
      <c r="E711" s="33" t="s">
        <v>80</v>
      </c>
      <c r="F711" s="33"/>
      <c r="G711" s="33" t="s">
        <v>64</v>
      </c>
      <c r="H711" s="33" t="s">
        <v>268</v>
      </c>
      <c r="I711" s="70">
        <v>1548.2758620689656</v>
      </c>
      <c r="J711" s="33" t="s">
        <v>68</v>
      </c>
      <c r="K711" s="65" t="s">
        <v>681</v>
      </c>
      <c r="L711" s="94" t="s">
        <v>14</v>
      </c>
      <c r="M711" s="94" t="s">
        <v>222</v>
      </c>
      <c r="N711" s="33">
        <v>2025</v>
      </c>
    </row>
    <row r="712" spans="1:14">
      <c r="A712" s="33">
        <v>711</v>
      </c>
      <c r="B712" s="33" t="s">
        <v>58</v>
      </c>
      <c r="C712" s="33" t="s">
        <v>59</v>
      </c>
      <c r="D712" s="33" t="s">
        <v>60</v>
      </c>
      <c r="E712" s="33" t="s">
        <v>80</v>
      </c>
      <c r="F712" s="33"/>
      <c r="G712" s="33" t="s">
        <v>64</v>
      </c>
      <c r="H712" s="33" t="s">
        <v>743</v>
      </c>
      <c r="I712" s="70">
        <v>4055.1724137931033</v>
      </c>
      <c r="J712" s="33" t="s">
        <v>68</v>
      </c>
      <c r="K712" s="65" t="s">
        <v>679</v>
      </c>
      <c r="L712" s="94" t="s">
        <v>14</v>
      </c>
      <c r="M712" s="94" t="s">
        <v>222</v>
      </c>
      <c r="N712" s="33">
        <v>2025</v>
      </c>
    </row>
    <row r="713" spans="1:14">
      <c r="A713" s="33">
        <v>712</v>
      </c>
      <c r="B713" s="33" t="s">
        <v>669</v>
      </c>
      <c r="C713" s="33" t="s">
        <v>670</v>
      </c>
      <c r="D713" s="33" t="s">
        <v>60</v>
      </c>
      <c r="E713" s="33" t="s">
        <v>256</v>
      </c>
      <c r="F713" s="33"/>
      <c r="G713" s="33" t="s">
        <v>64</v>
      </c>
      <c r="H713" s="33" t="s">
        <v>749</v>
      </c>
      <c r="I713" s="70">
        <v>412.41379310344826</v>
      </c>
      <c r="J713" s="33" t="s">
        <v>68</v>
      </c>
      <c r="K713" s="65" t="s">
        <v>679</v>
      </c>
      <c r="L713" s="94" t="s">
        <v>14</v>
      </c>
      <c r="M713" s="94" t="s">
        <v>222</v>
      </c>
      <c r="N713" s="33">
        <v>2025</v>
      </c>
    </row>
    <row r="714" spans="1:14">
      <c r="A714" s="33">
        <v>713</v>
      </c>
      <c r="B714" s="33" t="s">
        <v>58</v>
      </c>
      <c r="C714" s="33" t="s">
        <v>59</v>
      </c>
      <c r="D714" s="33" t="s">
        <v>60</v>
      </c>
      <c r="E714" s="33" t="s">
        <v>256</v>
      </c>
      <c r="F714" s="33"/>
      <c r="G714" s="33" t="s">
        <v>64</v>
      </c>
      <c r="H714" s="33" t="s">
        <v>155</v>
      </c>
      <c r="I714" s="70">
        <v>2437.9310344827586</v>
      </c>
      <c r="J714" s="33" t="s">
        <v>68</v>
      </c>
      <c r="K714" s="65">
        <v>45728</v>
      </c>
      <c r="L714" s="94" t="s">
        <v>14</v>
      </c>
      <c r="M714" s="94" t="s">
        <v>222</v>
      </c>
      <c r="N714" s="33">
        <v>2025</v>
      </c>
    </row>
    <row r="715" spans="1:14">
      <c r="A715" s="33">
        <v>714</v>
      </c>
      <c r="B715" s="33" t="s">
        <v>58</v>
      </c>
      <c r="C715" s="33" t="s">
        <v>59</v>
      </c>
      <c r="D715" s="33" t="s">
        <v>60</v>
      </c>
      <c r="E715" s="33" t="s">
        <v>256</v>
      </c>
      <c r="F715" s="33"/>
      <c r="G715" s="33" t="s">
        <v>64</v>
      </c>
      <c r="H715" s="33" t="s">
        <v>750</v>
      </c>
      <c r="I715" s="70">
        <v>162.06896551724137</v>
      </c>
      <c r="J715" s="33" t="s">
        <v>68</v>
      </c>
      <c r="K715" s="65">
        <v>45881</v>
      </c>
      <c r="L715" s="94" t="s">
        <v>14</v>
      </c>
      <c r="M715" s="94" t="s">
        <v>222</v>
      </c>
      <c r="N715" s="33">
        <v>2025</v>
      </c>
    </row>
    <row r="716" spans="1:14">
      <c r="A716" s="33">
        <v>715</v>
      </c>
      <c r="B716" s="33" t="s">
        <v>58</v>
      </c>
      <c r="C716" s="33" t="s">
        <v>59</v>
      </c>
      <c r="D716" s="33" t="s">
        <v>60</v>
      </c>
      <c r="E716" s="33" t="s">
        <v>256</v>
      </c>
      <c r="F716" s="33"/>
      <c r="G716" s="33" t="s">
        <v>64</v>
      </c>
      <c r="H716" s="33" t="s">
        <v>750</v>
      </c>
      <c r="I716" s="70">
        <v>742.24137931034488</v>
      </c>
      <c r="J716" s="33" t="s">
        <v>68</v>
      </c>
      <c r="K716" s="65">
        <v>45942</v>
      </c>
      <c r="L716" s="94" t="s">
        <v>14</v>
      </c>
      <c r="M716" s="94" t="s">
        <v>222</v>
      </c>
      <c r="N716" s="33">
        <v>2025</v>
      </c>
    </row>
    <row r="717" spans="1:14">
      <c r="A717" s="33">
        <v>716</v>
      </c>
      <c r="B717" s="33" t="s">
        <v>58</v>
      </c>
      <c r="C717" s="33" t="s">
        <v>59</v>
      </c>
      <c r="D717" s="33" t="s">
        <v>60</v>
      </c>
      <c r="E717" s="33" t="s">
        <v>256</v>
      </c>
      <c r="F717" s="33"/>
      <c r="G717" s="33" t="s">
        <v>64</v>
      </c>
      <c r="H717" s="33" t="s">
        <v>750</v>
      </c>
      <c r="I717" s="70">
        <v>789.65517241379314</v>
      </c>
      <c r="J717" s="33" t="s">
        <v>68</v>
      </c>
      <c r="K717" s="65" t="s">
        <v>689</v>
      </c>
      <c r="L717" s="94" t="s">
        <v>14</v>
      </c>
      <c r="M717" s="94" t="s">
        <v>222</v>
      </c>
      <c r="N717" s="33">
        <v>2025</v>
      </c>
    </row>
    <row r="718" spans="1:14">
      <c r="A718" s="33">
        <v>717</v>
      </c>
      <c r="B718" s="33" t="s">
        <v>58</v>
      </c>
      <c r="C718" s="33" t="s">
        <v>59</v>
      </c>
      <c r="D718" s="33" t="s">
        <v>60</v>
      </c>
      <c r="E718" s="33" t="s">
        <v>256</v>
      </c>
      <c r="F718" s="33"/>
      <c r="G718" s="33" t="s">
        <v>64</v>
      </c>
      <c r="H718" s="33" t="s">
        <v>751</v>
      </c>
      <c r="I718" s="70">
        <v>706.20689655172418</v>
      </c>
      <c r="J718" s="33" t="s">
        <v>68</v>
      </c>
      <c r="K718" s="65">
        <v>45850</v>
      </c>
      <c r="L718" s="94" t="s">
        <v>14</v>
      </c>
      <c r="M718" s="94" t="s">
        <v>222</v>
      </c>
      <c r="N718" s="33">
        <v>2025</v>
      </c>
    </row>
    <row r="719" spans="1:14">
      <c r="A719" s="33">
        <v>718</v>
      </c>
      <c r="B719" s="33" t="s">
        <v>58</v>
      </c>
      <c r="C719" s="33" t="s">
        <v>59</v>
      </c>
      <c r="D719" s="33" t="s">
        <v>60</v>
      </c>
      <c r="E719" s="33" t="s">
        <v>256</v>
      </c>
      <c r="F719" s="33"/>
      <c r="G719" s="33" t="s">
        <v>64</v>
      </c>
      <c r="H719" s="33" t="s">
        <v>752</v>
      </c>
      <c r="I719" s="70">
        <v>276.55172413793105</v>
      </c>
      <c r="J719" s="33" t="s">
        <v>68</v>
      </c>
      <c r="K719" s="65">
        <v>45850</v>
      </c>
      <c r="L719" s="94" t="s">
        <v>14</v>
      </c>
      <c r="M719" s="94" t="s">
        <v>222</v>
      </c>
      <c r="N719" s="33">
        <v>2025</v>
      </c>
    </row>
    <row r="720" spans="1:14">
      <c r="A720" s="33">
        <v>719</v>
      </c>
      <c r="B720" s="33" t="s">
        <v>58</v>
      </c>
      <c r="C720" s="33" t="s">
        <v>59</v>
      </c>
      <c r="D720" s="33" t="s">
        <v>60</v>
      </c>
      <c r="E720" s="33" t="s">
        <v>256</v>
      </c>
      <c r="F720" s="33"/>
      <c r="G720" s="33" t="s">
        <v>64</v>
      </c>
      <c r="H720" s="33" t="s">
        <v>753</v>
      </c>
      <c r="I720" s="70">
        <v>689.65517241379314</v>
      </c>
      <c r="J720" s="33" t="s">
        <v>68</v>
      </c>
      <c r="K720" s="65" t="s">
        <v>687</v>
      </c>
      <c r="L720" s="94" t="s">
        <v>14</v>
      </c>
      <c r="M720" s="94" t="s">
        <v>222</v>
      </c>
      <c r="N720" s="33">
        <v>2025</v>
      </c>
    </row>
    <row r="721" spans="1:14">
      <c r="A721" s="33">
        <v>720</v>
      </c>
      <c r="B721" s="33" t="s">
        <v>58</v>
      </c>
      <c r="C721" s="33" t="s">
        <v>59</v>
      </c>
      <c r="D721" s="33" t="s">
        <v>60</v>
      </c>
      <c r="E721" s="33" t="s">
        <v>256</v>
      </c>
      <c r="F721" s="33"/>
      <c r="G721" s="33" t="s">
        <v>64</v>
      </c>
      <c r="H721" s="33" t="s">
        <v>754</v>
      </c>
      <c r="I721" s="70">
        <v>207.58620689655172</v>
      </c>
      <c r="J721" s="33" t="s">
        <v>68</v>
      </c>
      <c r="K721" s="65" t="s">
        <v>679</v>
      </c>
      <c r="L721" s="94" t="s">
        <v>14</v>
      </c>
      <c r="M721" s="94" t="s">
        <v>222</v>
      </c>
      <c r="N721" s="33">
        <v>2025</v>
      </c>
    </row>
    <row r="722" spans="1:14">
      <c r="A722" s="33">
        <v>721</v>
      </c>
      <c r="B722" s="33" t="s">
        <v>58</v>
      </c>
      <c r="C722" s="33" t="s">
        <v>59</v>
      </c>
      <c r="D722" s="33" t="s">
        <v>60</v>
      </c>
      <c r="E722" s="33" t="s">
        <v>256</v>
      </c>
      <c r="F722" s="33"/>
      <c r="G722" s="33" t="s">
        <v>64</v>
      </c>
      <c r="H722" s="33" t="s">
        <v>750</v>
      </c>
      <c r="I722" s="70">
        <v>124.13793103448276</v>
      </c>
      <c r="J722" s="33">
        <v>2266</v>
      </c>
      <c r="K722" s="65">
        <v>45700</v>
      </c>
      <c r="L722" s="94" t="s">
        <v>14</v>
      </c>
      <c r="M722" s="94" t="s">
        <v>222</v>
      </c>
      <c r="N722" s="33">
        <v>2025</v>
      </c>
    </row>
  </sheetData>
  <autoFilter ref="A1:N722" xr:uid="{00000000-0001-0000-0100-000000000000}">
    <sortState xmlns:xlrd2="http://schemas.microsoft.com/office/spreadsheetml/2017/richdata2" ref="A2:N718">
      <sortCondition ref="E1:E669"/>
    </sortState>
  </autoFilter>
  <conditionalFormatting sqref="L2:L27">
    <cfRule type="duplicateValues" dxfId="13" priority="263"/>
  </conditionalFormatting>
  <conditionalFormatting sqref="L28:L34">
    <cfRule type="duplicateValues" dxfId="12" priority="215"/>
  </conditionalFormatting>
  <conditionalFormatting sqref="L35:L117">
    <cfRule type="duplicateValues" dxfId="11" priority="273"/>
  </conditionalFormatting>
  <conditionalFormatting sqref="L118:L122">
    <cfRule type="duplicateValues" dxfId="10" priority="6"/>
  </conditionalFormatting>
  <conditionalFormatting sqref="L123:L124">
    <cfRule type="duplicateValues" dxfId="9" priority="5"/>
  </conditionalFormatting>
  <conditionalFormatting sqref="L125:L130">
    <cfRule type="duplicateValues" dxfId="8" priority="2"/>
  </conditionalFormatting>
  <conditionalFormatting sqref="L131:L136">
    <cfRule type="duplicateValues" dxfId="7" priority="1"/>
  </conditionalFormatting>
  <conditionalFormatting sqref="L137:L144 L2:L27">
    <cfRule type="duplicateValues" dxfId="6" priority="269"/>
  </conditionalFormatting>
  <conditionalFormatting sqref="L145:L261 L448:L531">
    <cfRule type="duplicateValues" dxfId="5" priority="267"/>
  </conditionalFormatting>
  <conditionalFormatting sqref="L262:L447">
    <cfRule type="duplicateValues" dxfId="4" priority="3"/>
  </conditionalFormatting>
  <dataValidations count="2">
    <dataValidation type="list" allowBlank="1" showInputMessage="1" showErrorMessage="1" sqref="C150:C153 C234 I262:I447 C508 C203:C205 C480:C481 C245 C249:C250 C466 C323:C327 C519 C525:C527 C216:C219 C312:C314 C317:C321 C448:C450 C530 C137:C146 C111:C125 C458:C464 C183:C188 C162:C165 C262:C284 C167 C148 C94:C109 C155:C160 C169:C181 C190:C201 C207:C214 C221:C232 C452:C456 C300:C310 C286:C294 C296:C298" xr:uid="{00000000-0002-0000-0100-000001000000}">
      <formula1>INDIRECT(B94)</formula1>
    </dataValidation>
    <dataValidation type="list" allowBlank="1" showInputMessage="1" showErrorMessage="1" sqref="C75:C93 C5:C34 C131:C136 C285 C37:C54 C57:C73" xr:uid="{00000000-0002-0000-0100-000004000000}">
      <formula1>Level_2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100-000000000000}">
          <x14:formula1>
            <xm:f>List!$P$2:$P$11</xm:f>
          </x14:formula1>
          <xm:sqref>B524:B530 B521 B448:B463 B508:B509 B512 B465:B487 B3 B149:B159 B161 B137:B146 B163:B178 B180:B181 B183:B200 B202:B203 B205:B219 B221:B223 B225:B234 B245 B249 B257 B54 B519 B94:B125 B262:B284 B286:B327</xm:sqref>
        </x14:dataValidation>
        <x14:dataValidation type="list" allowBlank="1" showInputMessage="1" showErrorMessage="1" xr:uid="{00000000-0002-0000-0100-000002000000}">
          <x14:formula1>
            <xm:f>List!$C$2:$C$3</xm:f>
          </x14:formula1>
          <xm:sqref>D249:D531 D137:D247 D2:D4 D94:D96 D98:D112 D115:D124</xm:sqref>
        </x14:dataValidation>
        <x14:dataValidation type="list" allowBlank="1" showInputMessage="1" showErrorMessage="1" xr:uid="{00000000-0002-0000-0100-000003000000}">
          <x14:formula1>
            <xm:f>List!$E$2:$E$32</xm:f>
          </x14:formula1>
          <xm:sqref>E486:E523 H246:H248 E137:E248 E262:E447 E94:E124</xm:sqref>
        </x14:dataValidation>
        <x14:dataValidation type="list" allowBlank="1" showInputMessage="1" showErrorMessage="1" xr:uid="{00000000-0002-0000-0100-000007000000}">
          <x14:formula1>
            <xm:f>List!$H$2:$H$13</xm:f>
          </x14:formula1>
          <xm:sqref>M262:M530 M137:M257 M2:M124</xm:sqref>
        </x14:dataValidation>
        <x14:dataValidation type="list" allowBlank="1" showInputMessage="1" showErrorMessage="1" xr:uid="{00000000-0002-0000-0100-000008000000}">
          <x14:formula1>
            <xm:f>List!$J$2:$J$4</xm:f>
          </x14:formula1>
          <xm:sqref>N262:N531 N137:N257 N2:N124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0.59999389629810485"/>
  </sheetPr>
  <dimension ref="A1:N285"/>
  <sheetViews>
    <sheetView topLeftCell="C16" workbookViewId="0">
      <selection activeCell="B2" sqref="B2:N35"/>
    </sheetView>
  </sheetViews>
  <sheetFormatPr defaultColWidth="9" defaultRowHeight="14.5"/>
  <cols>
    <col min="1" max="1" width="5.36328125" customWidth="1"/>
    <col min="2" max="2" width="10.54296875" customWidth="1"/>
    <col min="3" max="3" width="10.6328125" customWidth="1"/>
    <col min="4" max="4" width="9" customWidth="1"/>
    <col min="5" max="5" width="24.81640625" customWidth="1"/>
    <col min="6" max="6" width="10.1796875" customWidth="1"/>
    <col min="7" max="7" width="7" customWidth="1"/>
    <col min="8" max="8" width="33" bestFit="1" customWidth="1"/>
    <col min="9" max="9" width="13.81640625" bestFit="1" customWidth="1"/>
    <col min="10" max="10" width="10.08984375" customWidth="1"/>
    <col min="11" max="11" width="11.1796875" customWidth="1"/>
    <col min="12" max="12" width="10.54296875" customWidth="1"/>
    <col min="13" max="13" width="6.54296875" customWidth="1"/>
    <col min="14" max="14" width="4.81640625" customWidth="1"/>
  </cols>
  <sheetData>
    <row r="1" spans="1:14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16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</row>
    <row r="2" spans="1:14">
      <c r="A2" s="4">
        <v>1</v>
      </c>
      <c r="B2" s="4" t="s">
        <v>17</v>
      </c>
      <c r="C2" s="4" t="s">
        <v>18</v>
      </c>
      <c r="D2" s="4" t="s">
        <v>60</v>
      </c>
      <c r="E2" s="4" t="s">
        <v>20</v>
      </c>
      <c r="F2" s="4"/>
      <c r="G2" s="4" t="s">
        <v>21</v>
      </c>
      <c r="H2" s="4" t="s">
        <v>300</v>
      </c>
      <c r="I2" s="42">
        <v>102612</v>
      </c>
      <c r="J2" s="4" t="s">
        <v>14</v>
      </c>
      <c r="K2" s="4" t="s">
        <v>14</v>
      </c>
      <c r="L2" s="4" t="s">
        <v>14</v>
      </c>
      <c r="M2" s="83" t="s">
        <v>222</v>
      </c>
      <c r="N2" s="4">
        <v>2025</v>
      </c>
    </row>
    <row r="3" spans="1:14">
      <c r="A3" s="4">
        <v>2</v>
      </c>
      <c r="B3" s="4" t="s">
        <v>17</v>
      </c>
      <c r="C3" s="4" t="s">
        <v>74</v>
      </c>
      <c r="D3" s="4" t="s">
        <v>60</v>
      </c>
      <c r="E3" s="4" t="s">
        <v>20</v>
      </c>
      <c r="F3" s="4"/>
      <c r="G3" s="4" t="s">
        <v>21</v>
      </c>
      <c r="H3" s="4" t="s">
        <v>300</v>
      </c>
      <c r="I3" s="42">
        <v>15601</v>
      </c>
      <c r="J3" s="4" t="s">
        <v>14</v>
      </c>
      <c r="K3" s="4" t="s">
        <v>14</v>
      </c>
      <c r="L3" s="4" t="s">
        <v>14</v>
      </c>
      <c r="M3" s="83" t="s">
        <v>222</v>
      </c>
      <c r="N3" s="4">
        <v>2025</v>
      </c>
    </row>
    <row r="4" spans="1:14">
      <c r="A4" s="4">
        <v>3</v>
      </c>
      <c r="B4" s="4" t="s">
        <v>17</v>
      </c>
      <c r="C4" s="4" t="s">
        <v>22</v>
      </c>
      <c r="D4" s="4" t="s">
        <v>60</v>
      </c>
      <c r="E4" s="4" t="s">
        <v>20</v>
      </c>
      <c r="F4" s="4"/>
      <c r="G4" s="4" t="s">
        <v>21</v>
      </c>
      <c r="H4" s="4" t="s">
        <v>300</v>
      </c>
      <c r="I4" s="42">
        <v>115204</v>
      </c>
      <c r="J4" s="4" t="s">
        <v>14</v>
      </c>
      <c r="K4" s="4" t="s">
        <v>14</v>
      </c>
      <c r="L4" s="4" t="s">
        <v>14</v>
      </c>
      <c r="M4" s="83" t="s">
        <v>222</v>
      </c>
      <c r="N4" s="4">
        <v>2025</v>
      </c>
    </row>
    <row r="5" spans="1:14">
      <c r="A5" s="4">
        <v>4</v>
      </c>
      <c r="B5" s="4" t="s">
        <v>17</v>
      </c>
      <c r="C5" s="4" t="s">
        <v>92</v>
      </c>
      <c r="D5" s="4" t="s">
        <v>60</v>
      </c>
      <c r="E5" s="4" t="s">
        <v>20</v>
      </c>
      <c r="F5" s="4"/>
      <c r="G5" s="4" t="s">
        <v>21</v>
      </c>
      <c r="H5" s="4" t="s">
        <v>300</v>
      </c>
      <c r="I5" s="42">
        <v>37874</v>
      </c>
      <c r="J5" s="4" t="s">
        <v>14</v>
      </c>
      <c r="K5" s="4" t="s">
        <v>14</v>
      </c>
      <c r="L5" s="4" t="s">
        <v>14</v>
      </c>
      <c r="M5" s="83" t="s">
        <v>222</v>
      </c>
      <c r="N5" s="4">
        <v>2025</v>
      </c>
    </row>
    <row r="6" spans="1:14">
      <c r="A6" s="4">
        <v>5</v>
      </c>
      <c r="B6" s="4" t="s">
        <v>17</v>
      </c>
      <c r="C6" s="4" t="s">
        <v>23</v>
      </c>
      <c r="D6" s="4" t="s">
        <v>60</v>
      </c>
      <c r="E6" s="4" t="s">
        <v>20</v>
      </c>
      <c r="F6" s="4"/>
      <c r="G6" s="4" t="s">
        <v>21</v>
      </c>
      <c r="H6" s="4" t="s">
        <v>300</v>
      </c>
      <c r="I6" s="42">
        <v>532</v>
      </c>
      <c r="J6" s="4" t="s">
        <v>14</v>
      </c>
      <c r="K6" s="4" t="s">
        <v>14</v>
      </c>
      <c r="L6" s="4" t="s">
        <v>14</v>
      </c>
      <c r="M6" s="83" t="s">
        <v>222</v>
      </c>
      <c r="N6" s="4">
        <v>2025</v>
      </c>
    </row>
    <row r="7" spans="1:14">
      <c r="A7" s="4">
        <v>6</v>
      </c>
      <c r="B7" s="4" t="s">
        <v>17</v>
      </c>
      <c r="C7" s="4" t="s">
        <v>24</v>
      </c>
      <c r="D7" s="4" t="s">
        <v>60</v>
      </c>
      <c r="E7" s="4" t="s">
        <v>20</v>
      </c>
      <c r="F7" s="4"/>
      <c r="G7" s="4" t="s">
        <v>21</v>
      </c>
      <c r="H7" s="4" t="s">
        <v>300</v>
      </c>
      <c r="I7" s="42">
        <v>49261</v>
      </c>
      <c r="J7" s="4" t="s">
        <v>14</v>
      </c>
      <c r="K7" s="4" t="s">
        <v>14</v>
      </c>
      <c r="L7" s="4" t="s">
        <v>14</v>
      </c>
      <c r="M7" s="83" t="s">
        <v>222</v>
      </c>
      <c r="N7" s="4">
        <v>2025</v>
      </c>
    </row>
    <row r="8" spans="1:14">
      <c r="A8" s="4">
        <v>7</v>
      </c>
      <c r="B8" s="4" t="s">
        <v>17</v>
      </c>
      <c r="C8" s="4" t="s">
        <v>25</v>
      </c>
      <c r="D8" s="4" t="s">
        <v>60</v>
      </c>
      <c r="E8" s="4" t="s">
        <v>20</v>
      </c>
      <c r="F8" s="4"/>
      <c r="G8" s="4" t="s">
        <v>21</v>
      </c>
      <c r="H8" s="4" t="s">
        <v>300</v>
      </c>
      <c r="I8" s="42">
        <v>211374</v>
      </c>
      <c r="J8" s="4" t="s">
        <v>14</v>
      </c>
      <c r="K8" s="4" t="s">
        <v>14</v>
      </c>
      <c r="L8" s="4" t="s">
        <v>14</v>
      </c>
      <c r="M8" s="83" t="s">
        <v>222</v>
      </c>
      <c r="N8" s="4">
        <v>2025</v>
      </c>
    </row>
    <row r="9" spans="1:14">
      <c r="A9" s="4">
        <v>8</v>
      </c>
      <c r="B9" s="125" t="s">
        <v>27</v>
      </c>
      <c r="C9" s="4" t="s">
        <v>28</v>
      </c>
      <c r="D9" s="4" t="s">
        <v>60</v>
      </c>
      <c r="E9" s="4" t="s">
        <v>20</v>
      </c>
      <c r="F9" s="4"/>
      <c r="G9" s="4" t="s">
        <v>21</v>
      </c>
      <c r="H9" s="4" t="s">
        <v>300</v>
      </c>
      <c r="I9" s="42">
        <v>19864</v>
      </c>
      <c r="J9" s="4" t="s">
        <v>14</v>
      </c>
      <c r="K9" s="4" t="s">
        <v>14</v>
      </c>
      <c r="L9" s="4" t="s">
        <v>14</v>
      </c>
      <c r="M9" s="83" t="s">
        <v>222</v>
      </c>
      <c r="N9" s="4">
        <v>2025</v>
      </c>
    </row>
    <row r="10" spans="1:14">
      <c r="A10" s="4">
        <v>9</v>
      </c>
      <c r="B10" s="125" t="s">
        <v>54</v>
      </c>
      <c r="C10" s="4" t="s">
        <v>55</v>
      </c>
      <c r="D10" s="4" t="s">
        <v>60</v>
      </c>
      <c r="E10" s="108" t="s">
        <v>20</v>
      </c>
      <c r="F10" s="4"/>
      <c r="G10" s="4" t="s">
        <v>21</v>
      </c>
      <c r="H10" s="4" t="s">
        <v>300</v>
      </c>
      <c r="I10" s="42">
        <v>94120</v>
      </c>
      <c r="J10" s="4" t="s">
        <v>14</v>
      </c>
      <c r="K10" s="4" t="s">
        <v>14</v>
      </c>
      <c r="L10" s="4" t="s">
        <v>14</v>
      </c>
      <c r="M10" s="83" t="s">
        <v>222</v>
      </c>
      <c r="N10" s="4">
        <v>2025</v>
      </c>
    </row>
    <row r="11" spans="1:14">
      <c r="A11" s="4">
        <v>10</v>
      </c>
      <c r="B11" s="125" t="s">
        <v>58</v>
      </c>
      <c r="C11" s="4" t="s">
        <v>59</v>
      </c>
      <c r="D11" s="4" t="s">
        <v>60</v>
      </c>
      <c r="E11" s="4" t="s">
        <v>20</v>
      </c>
      <c r="F11" s="4"/>
      <c r="G11" s="4" t="s">
        <v>21</v>
      </c>
      <c r="H11" s="4" t="s">
        <v>300</v>
      </c>
      <c r="I11" s="42">
        <v>96595</v>
      </c>
      <c r="J11" s="4" t="s">
        <v>14</v>
      </c>
      <c r="K11" s="4" t="s">
        <v>14</v>
      </c>
      <c r="L11" s="4" t="s">
        <v>14</v>
      </c>
      <c r="M11" s="83" t="s">
        <v>222</v>
      </c>
      <c r="N11" s="4">
        <v>2025</v>
      </c>
    </row>
    <row r="12" spans="1:14">
      <c r="A12" s="4">
        <v>11</v>
      </c>
      <c r="B12" s="4" t="s">
        <v>29</v>
      </c>
      <c r="C12" s="4" t="s">
        <v>30</v>
      </c>
      <c r="D12" s="4" t="s">
        <v>60</v>
      </c>
      <c r="E12" s="4" t="s">
        <v>20</v>
      </c>
      <c r="F12" s="4"/>
      <c r="G12" s="4" t="s">
        <v>21</v>
      </c>
      <c r="H12" s="4" t="s">
        <v>300</v>
      </c>
      <c r="I12" s="42">
        <v>436</v>
      </c>
      <c r="J12" s="4" t="s">
        <v>14</v>
      </c>
      <c r="K12" s="4" t="s">
        <v>14</v>
      </c>
      <c r="L12" s="4" t="s">
        <v>14</v>
      </c>
      <c r="M12" s="83" t="s">
        <v>222</v>
      </c>
      <c r="N12" s="4">
        <v>2025</v>
      </c>
    </row>
    <row r="13" spans="1:14">
      <c r="A13" s="4">
        <v>12</v>
      </c>
      <c r="B13" s="4" t="s">
        <v>95</v>
      </c>
      <c r="C13" s="4" t="s">
        <v>95</v>
      </c>
      <c r="D13" s="4" t="s">
        <v>60</v>
      </c>
      <c r="E13" s="4" t="s">
        <v>20</v>
      </c>
      <c r="F13" s="4"/>
      <c r="G13" s="4" t="s">
        <v>21</v>
      </c>
      <c r="H13" s="4" t="s">
        <v>300</v>
      </c>
      <c r="I13" s="42">
        <v>64063</v>
      </c>
      <c r="J13" s="4" t="s">
        <v>14</v>
      </c>
      <c r="K13" s="4" t="s">
        <v>14</v>
      </c>
      <c r="L13" s="4" t="s">
        <v>14</v>
      </c>
      <c r="M13" s="83" t="s">
        <v>222</v>
      </c>
      <c r="N13" s="4">
        <v>2025</v>
      </c>
    </row>
    <row r="14" spans="1:14">
      <c r="A14" s="4">
        <v>13</v>
      </c>
      <c r="B14" s="108" t="s">
        <v>33</v>
      </c>
      <c r="C14" s="4" t="s">
        <v>34</v>
      </c>
      <c r="D14" s="4" t="s">
        <v>60</v>
      </c>
      <c r="E14" s="35" t="s">
        <v>20</v>
      </c>
      <c r="F14" s="4"/>
      <c r="G14" s="4" t="s">
        <v>21</v>
      </c>
      <c r="H14" s="4" t="s">
        <v>300</v>
      </c>
      <c r="I14" s="42">
        <v>57617</v>
      </c>
      <c r="J14" s="4" t="s">
        <v>14</v>
      </c>
      <c r="K14" s="4" t="s">
        <v>14</v>
      </c>
      <c r="L14" s="4" t="s">
        <v>14</v>
      </c>
      <c r="M14" s="83" t="s">
        <v>222</v>
      </c>
      <c r="N14" s="4">
        <v>2025</v>
      </c>
    </row>
    <row r="15" spans="1:14">
      <c r="A15" s="4">
        <v>14</v>
      </c>
      <c r="B15" s="4" t="s">
        <v>35</v>
      </c>
      <c r="C15" s="4" t="s">
        <v>304</v>
      </c>
      <c r="D15" s="4" t="s">
        <v>60</v>
      </c>
      <c r="E15" s="4" t="s">
        <v>20</v>
      </c>
      <c r="F15" s="4"/>
      <c r="G15" s="4" t="s">
        <v>21</v>
      </c>
      <c r="H15" s="4" t="s">
        <v>300</v>
      </c>
      <c r="I15" s="42">
        <v>1217</v>
      </c>
      <c r="J15" s="4" t="s">
        <v>14</v>
      </c>
      <c r="K15" s="4" t="s">
        <v>14</v>
      </c>
      <c r="L15" s="4" t="s">
        <v>14</v>
      </c>
      <c r="M15" s="83" t="s">
        <v>222</v>
      </c>
      <c r="N15" s="4">
        <v>2025</v>
      </c>
    </row>
    <row r="16" spans="1:14">
      <c r="A16" s="4">
        <v>15</v>
      </c>
      <c r="B16" s="4" t="s">
        <v>35</v>
      </c>
      <c r="C16" s="4" t="s">
        <v>36</v>
      </c>
      <c r="D16" s="4" t="s">
        <v>60</v>
      </c>
      <c r="E16" s="4" t="s">
        <v>20</v>
      </c>
      <c r="F16" s="4"/>
      <c r="G16" s="4" t="s">
        <v>21</v>
      </c>
      <c r="H16" s="4" t="s">
        <v>300</v>
      </c>
      <c r="I16" s="42">
        <v>41827</v>
      </c>
      <c r="J16" s="4" t="s">
        <v>14</v>
      </c>
      <c r="K16" s="4" t="s">
        <v>14</v>
      </c>
      <c r="L16" s="4" t="s">
        <v>14</v>
      </c>
      <c r="M16" s="83" t="s">
        <v>222</v>
      </c>
      <c r="N16" s="4">
        <v>2025</v>
      </c>
    </row>
    <row r="17" spans="1:14">
      <c r="A17" s="4">
        <v>16</v>
      </c>
      <c r="B17" s="4" t="s">
        <v>35</v>
      </c>
      <c r="C17" s="4" t="s">
        <v>37</v>
      </c>
      <c r="D17" s="4" t="s">
        <v>60</v>
      </c>
      <c r="E17" s="4" t="s">
        <v>20</v>
      </c>
      <c r="F17" s="4"/>
      <c r="G17" s="4" t="s">
        <v>21</v>
      </c>
      <c r="H17" s="4" t="s">
        <v>300</v>
      </c>
      <c r="I17" s="42">
        <v>120508</v>
      </c>
      <c r="J17" s="4" t="s">
        <v>14</v>
      </c>
      <c r="K17" s="4" t="s">
        <v>14</v>
      </c>
      <c r="L17" s="4" t="s">
        <v>14</v>
      </c>
      <c r="M17" s="83" t="s">
        <v>222</v>
      </c>
      <c r="N17" s="4">
        <v>2025</v>
      </c>
    </row>
    <row r="18" spans="1:14">
      <c r="A18" s="4">
        <v>17</v>
      </c>
      <c r="B18" s="4" t="s">
        <v>35</v>
      </c>
      <c r="C18" s="4" t="s">
        <v>41</v>
      </c>
      <c r="D18" s="4" t="s">
        <v>60</v>
      </c>
      <c r="E18" s="4" t="s">
        <v>20</v>
      </c>
      <c r="F18" s="4"/>
      <c r="G18" s="4" t="s">
        <v>21</v>
      </c>
      <c r="H18" s="4" t="s">
        <v>300</v>
      </c>
      <c r="I18" s="42">
        <v>14185</v>
      </c>
      <c r="J18" s="4" t="s">
        <v>14</v>
      </c>
      <c r="K18" s="4" t="s">
        <v>14</v>
      </c>
      <c r="L18" s="4" t="s">
        <v>14</v>
      </c>
      <c r="M18" s="83" t="s">
        <v>222</v>
      </c>
      <c r="N18" s="4">
        <v>2025</v>
      </c>
    </row>
    <row r="19" spans="1:14">
      <c r="A19" s="4">
        <v>18</v>
      </c>
      <c r="B19" s="35" t="s">
        <v>42</v>
      </c>
      <c r="C19" s="4" t="s">
        <v>43</v>
      </c>
      <c r="D19" s="4" t="s">
        <v>60</v>
      </c>
      <c r="E19" s="4" t="s">
        <v>20</v>
      </c>
      <c r="F19" s="4"/>
      <c r="G19" s="4" t="s">
        <v>21</v>
      </c>
      <c r="H19" s="4" t="s">
        <v>300</v>
      </c>
      <c r="I19" s="42">
        <v>55393</v>
      </c>
      <c r="J19" s="4" t="s">
        <v>14</v>
      </c>
      <c r="K19" s="4" t="s">
        <v>14</v>
      </c>
      <c r="L19" s="4" t="s">
        <v>14</v>
      </c>
      <c r="M19" s="83" t="s">
        <v>222</v>
      </c>
      <c r="N19" s="4">
        <v>2025</v>
      </c>
    </row>
    <row r="20" spans="1:14">
      <c r="A20" s="4">
        <v>19</v>
      </c>
      <c r="B20" s="4" t="s">
        <v>42</v>
      </c>
      <c r="C20" s="4" t="s">
        <v>44</v>
      </c>
      <c r="D20" s="4" t="s">
        <v>60</v>
      </c>
      <c r="E20" s="4" t="s">
        <v>20</v>
      </c>
      <c r="F20" s="4"/>
      <c r="G20" s="4" t="s">
        <v>21</v>
      </c>
      <c r="H20" s="4" t="s">
        <v>300</v>
      </c>
      <c r="I20" s="42">
        <v>29274</v>
      </c>
      <c r="J20" s="4" t="s">
        <v>14</v>
      </c>
      <c r="K20" s="4" t="s">
        <v>14</v>
      </c>
      <c r="L20" s="4" t="s">
        <v>14</v>
      </c>
      <c r="M20" s="83" t="s">
        <v>222</v>
      </c>
      <c r="N20" s="4">
        <v>2025</v>
      </c>
    </row>
    <row r="21" spans="1:14">
      <c r="A21" s="4">
        <v>20</v>
      </c>
      <c r="B21" s="4" t="s">
        <v>42</v>
      </c>
      <c r="C21" s="4" t="s">
        <v>45</v>
      </c>
      <c r="D21" s="4" t="s">
        <v>60</v>
      </c>
      <c r="E21" s="4" t="s">
        <v>20</v>
      </c>
      <c r="F21" s="4"/>
      <c r="G21" s="4" t="s">
        <v>21</v>
      </c>
      <c r="H21" s="4" t="s">
        <v>300</v>
      </c>
      <c r="I21" s="42">
        <v>71133</v>
      </c>
      <c r="J21" s="4" t="s">
        <v>14</v>
      </c>
      <c r="K21" s="4" t="s">
        <v>14</v>
      </c>
      <c r="L21" s="4" t="s">
        <v>14</v>
      </c>
      <c r="M21" s="83" t="s">
        <v>222</v>
      </c>
      <c r="N21" s="4">
        <v>2025</v>
      </c>
    </row>
    <row r="22" spans="1:14">
      <c r="A22" s="4">
        <v>21</v>
      </c>
      <c r="B22" s="4" t="s">
        <v>42</v>
      </c>
      <c r="C22" s="4" t="s">
        <v>46</v>
      </c>
      <c r="D22" s="4" t="s">
        <v>60</v>
      </c>
      <c r="E22" s="4" t="s">
        <v>20</v>
      </c>
      <c r="F22" s="4"/>
      <c r="G22" s="4" t="s">
        <v>21</v>
      </c>
      <c r="H22" s="4" t="s">
        <v>300</v>
      </c>
      <c r="I22" s="42">
        <v>16135</v>
      </c>
      <c r="J22" s="4" t="s">
        <v>14</v>
      </c>
      <c r="K22" s="4" t="s">
        <v>14</v>
      </c>
      <c r="L22" s="4" t="s">
        <v>14</v>
      </c>
      <c r="M22" s="83" t="s">
        <v>222</v>
      </c>
      <c r="N22" s="4">
        <v>2025</v>
      </c>
    </row>
    <row r="23" spans="1:14">
      <c r="A23" s="4">
        <v>22</v>
      </c>
      <c r="B23" s="4" t="s">
        <v>42</v>
      </c>
      <c r="C23" s="4" t="s">
        <v>305</v>
      </c>
      <c r="D23" s="4" t="s">
        <v>60</v>
      </c>
      <c r="E23" s="4" t="s">
        <v>20</v>
      </c>
      <c r="F23" s="4"/>
      <c r="G23" s="4" t="s">
        <v>21</v>
      </c>
      <c r="H23" s="4" t="s">
        <v>300</v>
      </c>
      <c r="I23" s="42">
        <v>1801</v>
      </c>
      <c r="J23" s="4" t="s">
        <v>14</v>
      </c>
      <c r="K23" s="4" t="s">
        <v>14</v>
      </c>
      <c r="L23" s="4" t="s">
        <v>14</v>
      </c>
      <c r="M23" s="83" t="s">
        <v>222</v>
      </c>
      <c r="N23" s="4">
        <v>2025</v>
      </c>
    </row>
    <row r="24" spans="1:14">
      <c r="A24" s="4">
        <v>23</v>
      </c>
      <c r="B24" s="4" t="s">
        <v>42</v>
      </c>
      <c r="C24" s="4" t="s">
        <v>47</v>
      </c>
      <c r="D24" s="4" t="s">
        <v>60</v>
      </c>
      <c r="E24" s="4" t="s">
        <v>20</v>
      </c>
      <c r="F24" s="4"/>
      <c r="G24" s="4" t="s">
        <v>21</v>
      </c>
      <c r="H24" s="4" t="s">
        <v>300</v>
      </c>
      <c r="I24" s="42">
        <v>62658</v>
      </c>
      <c r="J24" s="4" t="s">
        <v>14</v>
      </c>
      <c r="K24" s="4" t="s">
        <v>14</v>
      </c>
      <c r="L24" s="4" t="s">
        <v>14</v>
      </c>
      <c r="M24" s="83" t="s">
        <v>222</v>
      </c>
      <c r="N24" s="4">
        <v>2025</v>
      </c>
    </row>
    <row r="25" spans="1:14">
      <c r="A25" s="4">
        <v>24</v>
      </c>
      <c r="B25" s="4" t="s">
        <v>42</v>
      </c>
      <c r="C25" s="4" t="s">
        <v>48</v>
      </c>
      <c r="D25" s="4" t="s">
        <v>60</v>
      </c>
      <c r="E25" s="4" t="s">
        <v>20</v>
      </c>
      <c r="F25" s="4"/>
      <c r="G25" s="4" t="s">
        <v>21</v>
      </c>
      <c r="H25" s="4" t="s">
        <v>300</v>
      </c>
      <c r="I25" s="42">
        <v>76374</v>
      </c>
      <c r="J25" s="4" t="s">
        <v>14</v>
      </c>
      <c r="K25" s="4" t="s">
        <v>14</v>
      </c>
      <c r="L25" s="4" t="s">
        <v>14</v>
      </c>
      <c r="M25" s="83" t="s">
        <v>222</v>
      </c>
      <c r="N25" s="4">
        <v>2025</v>
      </c>
    </row>
    <row r="26" spans="1:14">
      <c r="A26" s="4">
        <v>25</v>
      </c>
      <c r="B26" s="4" t="s">
        <v>42</v>
      </c>
      <c r="C26" t="s">
        <v>49</v>
      </c>
      <c r="D26" s="4" t="s">
        <v>60</v>
      </c>
      <c r="E26" s="4" t="s">
        <v>20</v>
      </c>
      <c r="F26" s="4"/>
      <c r="G26" s="4" t="s">
        <v>21</v>
      </c>
      <c r="H26" s="4" t="s">
        <v>300</v>
      </c>
      <c r="I26" s="36">
        <v>25928</v>
      </c>
      <c r="J26" s="4" t="s">
        <v>14</v>
      </c>
      <c r="K26" s="4" t="s">
        <v>14</v>
      </c>
      <c r="L26" s="4" t="s">
        <v>14</v>
      </c>
      <c r="M26" s="83" t="s">
        <v>222</v>
      </c>
      <c r="N26" s="4">
        <v>2025</v>
      </c>
    </row>
    <row r="27" spans="1:14">
      <c r="A27" s="4">
        <v>26</v>
      </c>
      <c r="B27" s="4" t="s">
        <v>42</v>
      </c>
      <c r="C27" t="s">
        <v>50</v>
      </c>
      <c r="D27" s="4" t="s">
        <v>60</v>
      </c>
      <c r="E27" s="4" t="s">
        <v>20</v>
      </c>
      <c r="F27" s="4"/>
      <c r="G27" s="4" t="s">
        <v>21</v>
      </c>
      <c r="H27" s="4" t="s">
        <v>300</v>
      </c>
      <c r="I27" s="36">
        <v>265250</v>
      </c>
      <c r="J27" s="4" t="s">
        <v>14</v>
      </c>
      <c r="K27" s="4" t="s">
        <v>14</v>
      </c>
      <c r="L27" s="4" t="s">
        <v>14</v>
      </c>
      <c r="M27" s="83" t="s">
        <v>222</v>
      </c>
      <c r="N27" s="4">
        <v>2025</v>
      </c>
    </row>
    <row r="28" spans="1:14">
      <c r="A28" s="4">
        <v>27</v>
      </c>
      <c r="B28" s="4" t="s">
        <v>42</v>
      </c>
      <c r="C28" t="s">
        <v>51</v>
      </c>
      <c r="D28" s="4" t="s">
        <v>60</v>
      </c>
      <c r="E28" s="4" t="s">
        <v>20</v>
      </c>
      <c r="F28" s="4"/>
      <c r="G28" s="4" t="s">
        <v>21</v>
      </c>
      <c r="H28" s="4" t="s">
        <v>300</v>
      </c>
      <c r="I28" s="36">
        <v>24688</v>
      </c>
      <c r="J28" s="4" t="s">
        <v>14</v>
      </c>
      <c r="K28" s="4" t="s">
        <v>14</v>
      </c>
      <c r="L28" s="4" t="s">
        <v>14</v>
      </c>
      <c r="M28" s="83" t="s">
        <v>222</v>
      </c>
      <c r="N28" s="4">
        <v>2025</v>
      </c>
    </row>
    <row r="29" spans="1:14">
      <c r="A29" s="4">
        <v>28</v>
      </c>
      <c r="B29" s="4" t="s">
        <v>42</v>
      </c>
      <c r="C29" t="s">
        <v>73</v>
      </c>
      <c r="D29" s="4" t="s">
        <v>60</v>
      </c>
      <c r="E29" s="4" t="s">
        <v>20</v>
      </c>
      <c r="F29" s="4"/>
      <c r="G29" s="4" t="s">
        <v>21</v>
      </c>
      <c r="H29" s="4" t="s">
        <v>300</v>
      </c>
      <c r="I29" s="36">
        <v>5421</v>
      </c>
      <c r="J29" s="4" t="s">
        <v>14</v>
      </c>
      <c r="K29" s="4" t="s">
        <v>14</v>
      </c>
      <c r="L29" s="4" t="s">
        <v>14</v>
      </c>
      <c r="M29" s="83" t="s">
        <v>222</v>
      </c>
      <c r="N29" s="4">
        <v>2025</v>
      </c>
    </row>
    <row r="30" spans="1:14">
      <c r="A30" s="4">
        <v>29</v>
      </c>
      <c r="B30" s="4" t="s">
        <v>52</v>
      </c>
      <c r="C30" t="s">
        <v>53</v>
      </c>
      <c r="D30" s="4" t="s">
        <v>60</v>
      </c>
      <c r="E30" s="4" t="s">
        <v>20</v>
      </c>
      <c r="F30" s="4"/>
      <c r="G30" s="4" t="s">
        <v>21</v>
      </c>
      <c r="H30" s="4" t="s">
        <v>300</v>
      </c>
      <c r="I30" s="36">
        <v>366703</v>
      </c>
      <c r="J30" s="4" t="s">
        <v>14</v>
      </c>
      <c r="K30" s="4" t="s">
        <v>14</v>
      </c>
      <c r="L30" s="4" t="s">
        <v>14</v>
      </c>
      <c r="M30" s="83" t="s">
        <v>222</v>
      </c>
      <c r="N30" s="4">
        <v>2025</v>
      </c>
    </row>
    <row r="31" spans="1:14">
      <c r="A31" s="4">
        <v>30</v>
      </c>
      <c r="B31" s="35" t="s">
        <v>58</v>
      </c>
      <c r="C31" s="4" t="s">
        <v>59</v>
      </c>
      <c r="D31" s="4" t="s">
        <v>60</v>
      </c>
      <c r="E31" s="4" t="s">
        <v>20</v>
      </c>
      <c r="F31" s="4"/>
      <c r="G31" s="4" t="s">
        <v>21</v>
      </c>
      <c r="H31" s="83" t="s">
        <v>299</v>
      </c>
      <c r="I31" s="54">
        <v>9500</v>
      </c>
      <c r="J31" s="4" t="s">
        <v>14</v>
      </c>
      <c r="K31" s="4" t="s">
        <v>14</v>
      </c>
      <c r="L31" s="4" t="s">
        <v>14</v>
      </c>
      <c r="M31" s="83" t="s">
        <v>222</v>
      </c>
      <c r="N31" s="4">
        <v>2025</v>
      </c>
    </row>
    <row r="32" spans="1:14">
      <c r="A32" s="4">
        <v>31</v>
      </c>
      <c r="B32" s="50" t="s">
        <v>274</v>
      </c>
      <c r="C32" s="4" t="s">
        <v>55</v>
      </c>
      <c r="D32" s="4" t="s">
        <v>19</v>
      </c>
      <c r="E32" s="4" t="s">
        <v>20</v>
      </c>
      <c r="F32" s="4"/>
      <c r="G32" s="49" t="s">
        <v>21</v>
      </c>
      <c r="H32" s="49" t="s">
        <v>301</v>
      </c>
      <c r="I32" s="54">
        <f>29592000/1430</f>
        <v>20693.706293706295</v>
      </c>
      <c r="J32" s="4" t="s">
        <v>14</v>
      </c>
      <c r="K32" s="4" t="s">
        <v>14</v>
      </c>
      <c r="L32" s="4" t="s">
        <v>14</v>
      </c>
      <c r="M32" s="83" t="s">
        <v>222</v>
      </c>
      <c r="N32" s="4">
        <v>2025</v>
      </c>
    </row>
    <row r="33" spans="1:14">
      <c r="A33" s="4">
        <v>32</v>
      </c>
      <c r="B33" s="4" t="s">
        <v>33</v>
      </c>
      <c r="C33" s="4" t="s">
        <v>34</v>
      </c>
      <c r="D33" s="4" t="s">
        <v>19</v>
      </c>
      <c r="E33" s="4" t="s">
        <v>20</v>
      </c>
      <c r="F33" s="4"/>
      <c r="G33" s="4" t="s">
        <v>21</v>
      </c>
      <c r="H33" s="4" t="s">
        <v>302</v>
      </c>
      <c r="I33" s="54">
        <v>18068</v>
      </c>
      <c r="J33" s="4" t="s">
        <v>14</v>
      </c>
      <c r="K33" s="4" t="s">
        <v>14</v>
      </c>
      <c r="L33" s="4" t="s">
        <v>14</v>
      </c>
      <c r="M33" s="83" t="s">
        <v>222</v>
      </c>
      <c r="N33" s="4">
        <v>2025</v>
      </c>
    </row>
    <row r="34" spans="1:14">
      <c r="A34" s="4">
        <v>33</v>
      </c>
      <c r="B34" s="107" t="s">
        <v>17</v>
      </c>
      <c r="C34" s="107" t="s">
        <v>25</v>
      </c>
      <c r="D34" s="4" t="s">
        <v>60</v>
      </c>
      <c r="E34" s="4" t="s">
        <v>20</v>
      </c>
      <c r="F34" s="4"/>
      <c r="G34" s="4" t="s">
        <v>21</v>
      </c>
      <c r="H34" s="4" t="s">
        <v>756</v>
      </c>
      <c r="I34" s="28">
        <f>15850000/1460</f>
        <v>10856.164383561643</v>
      </c>
      <c r="J34" s="4" t="s">
        <v>14</v>
      </c>
      <c r="K34" s="4" t="s">
        <v>14</v>
      </c>
      <c r="L34" s="4" t="s">
        <v>14</v>
      </c>
      <c r="M34" s="83" t="s">
        <v>222</v>
      </c>
      <c r="N34" s="4">
        <v>2025</v>
      </c>
    </row>
    <row r="35" spans="1:14">
      <c r="A35" s="4">
        <v>34</v>
      </c>
      <c r="B35" s="107" t="s">
        <v>17</v>
      </c>
      <c r="C35" s="107" t="s">
        <v>22</v>
      </c>
      <c r="D35" s="4" t="s">
        <v>60</v>
      </c>
      <c r="E35" s="4" t="s">
        <v>20</v>
      </c>
      <c r="F35" s="4"/>
      <c r="G35" s="4" t="s">
        <v>21</v>
      </c>
      <c r="H35" s="4" t="s">
        <v>756</v>
      </c>
      <c r="I35" s="28">
        <f>9300000/1460</f>
        <v>6369.8630136986303</v>
      </c>
      <c r="J35" s="4" t="s">
        <v>14</v>
      </c>
      <c r="K35" s="4" t="s">
        <v>14</v>
      </c>
      <c r="L35" s="4" t="s">
        <v>14</v>
      </c>
      <c r="M35" s="83" t="s">
        <v>222</v>
      </c>
      <c r="N35" s="4">
        <v>2025</v>
      </c>
    </row>
    <row r="36" spans="1:14">
      <c r="A36" s="4"/>
    </row>
    <row r="37" spans="1:14">
      <c r="A37" s="4"/>
    </row>
    <row r="38" spans="1:14">
      <c r="A38" s="4"/>
    </row>
    <row r="39" spans="1:14">
      <c r="A39" s="4"/>
      <c r="B39" s="4"/>
      <c r="C39" s="4"/>
      <c r="D39" s="4"/>
      <c r="E39" s="4"/>
      <c r="F39" s="4"/>
      <c r="G39" s="4"/>
      <c r="H39" s="4"/>
      <c r="I39" s="28"/>
      <c r="J39" s="4"/>
      <c r="K39" s="4"/>
      <c r="L39" s="4"/>
      <c r="M39" s="4"/>
      <c r="N39" s="4"/>
    </row>
    <row r="40" spans="1:14">
      <c r="A40" s="4"/>
      <c r="B40" s="4"/>
      <c r="C40" s="4"/>
      <c r="D40" s="4"/>
      <c r="E40" s="4"/>
      <c r="F40" s="4"/>
      <c r="G40" s="4"/>
      <c r="H40" s="4"/>
      <c r="I40" s="28"/>
      <c r="J40" s="4"/>
      <c r="K40" s="4"/>
      <c r="L40" s="4"/>
      <c r="M40" s="4"/>
      <c r="N40" s="4"/>
    </row>
    <row r="41" spans="1:14">
      <c r="A41" s="4"/>
      <c r="B41" s="4"/>
      <c r="C41" s="4"/>
      <c r="D41" s="4"/>
      <c r="E41" s="4"/>
      <c r="F41" s="4"/>
      <c r="G41" s="4"/>
      <c r="H41" s="4"/>
      <c r="I41" s="28"/>
      <c r="J41" s="4"/>
      <c r="K41" s="4"/>
      <c r="L41" s="4"/>
      <c r="M41" s="4"/>
      <c r="N41" s="4"/>
    </row>
    <row r="42" spans="1:14">
      <c r="A42" s="4"/>
      <c r="B42" s="4"/>
      <c r="C42" s="4"/>
      <c r="D42" s="4"/>
      <c r="E42" s="4"/>
      <c r="F42" s="4"/>
      <c r="G42" s="4"/>
      <c r="H42" s="4"/>
      <c r="I42" s="28"/>
      <c r="J42" s="4"/>
      <c r="K42" s="4"/>
      <c r="L42" s="4"/>
      <c r="M42" s="4"/>
      <c r="N42" s="4"/>
    </row>
    <row r="43" spans="1:14">
      <c r="A43" s="4"/>
      <c r="B43" s="4"/>
      <c r="C43" s="4"/>
      <c r="D43" s="4"/>
      <c r="E43" s="4"/>
      <c r="F43" s="4"/>
      <c r="G43" s="4"/>
      <c r="H43" s="4"/>
      <c r="I43" s="28"/>
      <c r="J43" s="4"/>
      <c r="K43" s="4"/>
      <c r="L43" s="4"/>
      <c r="M43" s="4"/>
      <c r="N43" s="4"/>
    </row>
    <row r="44" spans="1:14">
      <c r="A44" s="4"/>
      <c r="B44" s="4"/>
      <c r="C44" s="4"/>
      <c r="D44" s="4"/>
      <c r="E44" s="4"/>
      <c r="F44" s="4"/>
      <c r="G44" s="4"/>
      <c r="H44" s="4"/>
      <c r="I44" s="28"/>
      <c r="J44" s="4"/>
      <c r="K44" s="4"/>
      <c r="L44" s="4"/>
      <c r="M44" s="4"/>
      <c r="N44" s="4"/>
    </row>
    <row r="45" spans="1:14">
      <c r="A45" s="4"/>
      <c r="B45" s="4"/>
      <c r="C45" s="4"/>
      <c r="D45" s="4"/>
      <c r="E45" s="4"/>
      <c r="F45" s="4"/>
      <c r="G45" s="4"/>
      <c r="H45" s="4"/>
      <c r="I45" s="28"/>
      <c r="J45" s="4"/>
      <c r="K45" s="4"/>
      <c r="L45" s="4"/>
      <c r="M45" s="4"/>
      <c r="N45" s="4"/>
    </row>
    <row r="46" spans="1:14">
      <c r="A46" s="4"/>
      <c r="B46" s="4"/>
      <c r="C46" s="4"/>
      <c r="D46" s="4"/>
      <c r="E46" s="4"/>
      <c r="F46" s="4"/>
      <c r="G46" s="4"/>
      <c r="H46" s="4"/>
      <c r="I46" s="28"/>
      <c r="J46" s="4"/>
      <c r="K46" s="4"/>
      <c r="L46" s="4"/>
      <c r="M46" s="4"/>
      <c r="N46" s="4"/>
    </row>
    <row r="47" spans="1:14">
      <c r="A47" s="4"/>
      <c r="B47" s="4"/>
      <c r="C47" s="4"/>
      <c r="D47" s="4"/>
      <c r="E47" s="4"/>
      <c r="F47" s="4"/>
      <c r="G47" s="4"/>
      <c r="H47" s="4"/>
      <c r="I47" s="28"/>
      <c r="J47" s="4"/>
      <c r="K47" s="4"/>
      <c r="L47" s="4"/>
      <c r="M47" s="4"/>
      <c r="N47" s="4"/>
    </row>
    <row r="48" spans="1:14">
      <c r="A48" s="4"/>
      <c r="B48" s="4"/>
      <c r="C48" s="4"/>
      <c r="D48" s="4"/>
      <c r="E48" s="4"/>
      <c r="F48" s="4"/>
      <c r="G48" s="4"/>
      <c r="H48" s="4"/>
      <c r="I48" s="28"/>
      <c r="J48" s="4"/>
      <c r="K48" s="4"/>
      <c r="L48" s="4"/>
      <c r="M48" s="4"/>
      <c r="N48" s="4"/>
    </row>
    <row r="49" spans="1:14">
      <c r="A49" s="4"/>
      <c r="B49" s="4"/>
      <c r="C49" s="4"/>
      <c r="D49" s="4"/>
      <c r="E49" s="4"/>
      <c r="F49" s="4"/>
      <c r="G49" s="4"/>
      <c r="H49" s="4"/>
      <c r="I49" s="28"/>
      <c r="J49" s="4"/>
      <c r="K49" s="4"/>
      <c r="L49" s="4"/>
      <c r="M49" s="4"/>
      <c r="N49" s="4"/>
    </row>
    <row r="50" spans="1:14">
      <c r="A50" s="4"/>
      <c r="B50" s="4"/>
      <c r="C50" s="4"/>
      <c r="D50" s="4"/>
      <c r="E50" s="4"/>
      <c r="F50" s="4"/>
      <c r="G50" s="4"/>
      <c r="H50" s="4"/>
      <c r="I50" s="28"/>
      <c r="J50" s="4"/>
      <c r="K50" s="4"/>
      <c r="L50" s="4"/>
      <c r="M50" s="4"/>
      <c r="N50" s="4"/>
    </row>
    <row r="51" spans="1:14">
      <c r="A51" s="4"/>
      <c r="B51" s="4"/>
      <c r="C51" s="4"/>
      <c r="D51" s="4"/>
      <c r="E51" s="4"/>
      <c r="F51" s="4"/>
      <c r="G51" s="4"/>
      <c r="H51" s="4"/>
      <c r="I51" s="28"/>
      <c r="J51" s="4"/>
      <c r="K51" s="4"/>
      <c r="L51" s="4"/>
      <c r="M51" s="4"/>
      <c r="N51" s="4"/>
    </row>
    <row r="52" spans="1:14">
      <c r="A52" s="4"/>
      <c r="B52" s="4"/>
      <c r="C52" s="4"/>
      <c r="D52" s="4"/>
      <c r="E52" s="4"/>
      <c r="F52" s="4"/>
      <c r="G52" s="4"/>
      <c r="H52" s="4"/>
      <c r="I52" s="28"/>
      <c r="J52" s="4"/>
      <c r="K52" s="4"/>
      <c r="L52" s="4"/>
      <c r="M52" s="4"/>
      <c r="N52" s="4"/>
    </row>
    <row r="53" spans="1:14">
      <c r="A53" s="4"/>
      <c r="B53" s="4"/>
      <c r="C53" s="4"/>
      <c r="D53" s="4"/>
      <c r="E53" s="4"/>
      <c r="F53" s="4"/>
      <c r="G53" s="4"/>
      <c r="H53" s="4"/>
      <c r="I53" s="28"/>
      <c r="J53" s="4"/>
      <c r="K53" s="4"/>
      <c r="L53" s="4"/>
      <c r="M53" s="4"/>
      <c r="N53" s="4"/>
    </row>
    <row r="54" spans="1:14">
      <c r="A54" s="4"/>
      <c r="B54" s="4"/>
      <c r="C54" s="4"/>
      <c r="D54" s="4"/>
      <c r="E54" s="4"/>
      <c r="F54" s="4"/>
      <c r="G54" s="4"/>
      <c r="H54" s="4"/>
      <c r="I54" s="28"/>
      <c r="J54" s="4"/>
      <c r="K54" s="4"/>
      <c r="L54" s="4"/>
      <c r="M54" s="4"/>
      <c r="N54" s="4"/>
    </row>
    <row r="55" spans="1:14">
      <c r="A55" s="4"/>
      <c r="B55" s="4"/>
      <c r="C55" s="4"/>
      <c r="D55" s="4"/>
      <c r="E55" s="4"/>
      <c r="F55" s="4"/>
      <c r="G55" s="4"/>
      <c r="H55" s="4"/>
      <c r="I55" s="28"/>
      <c r="J55" s="4"/>
      <c r="K55" s="4"/>
      <c r="L55" s="4"/>
      <c r="M55" s="4"/>
      <c r="N55" s="4"/>
    </row>
    <row r="56" spans="1:14">
      <c r="A56" s="4"/>
      <c r="B56" s="4"/>
      <c r="C56" s="4"/>
      <c r="D56" s="4"/>
      <c r="E56" s="4"/>
      <c r="F56" s="4"/>
      <c r="G56" s="4"/>
      <c r="H56" s="4"/>
      <c r="I56" s="28"/>
      <c r="J56" s="4"/>
      <c r="K56" s="4"/>
      <c r="L56" s="4"/>
      <c r="M56" s="4"/>
      <c r="N56" s="4"/>
    </row>
    <row r="57" spans="1:14">
      <c r="A57" s="4"/>
      <c r="B57" s="4"/>
      <c r="C57" s="4"/>
      <c r="D57" s="4"/>
      <c r="E57" s="4"/>
      <c r="F57" s="4"/>
      <c r="G57" s="4"/>
      <c r="H57" s="4"/>
      <c r="I57" s="28"/>
      <c r="J57" s="4"/>
      <c r="K57" s="4"/>
      <c r="L57" s="4"/>
      <c r="M57" s="4"/>
      <c r="N57" s="4"/>
    </row>
    <row r="58" spans="1:14">
      <c r="A58" s="4"/>
      <c r="B58" s="4"/>
      <c r="C58" s="4"/>
      <c r="D58" s="4"/>
      <c r="E58" s="4"/>
      <c r="F58" s="4"/>
      <c r="G58" s="4"/>
      <c r="H58" s="4"/>
      <c r="I58" s="28"/>
      <c r="J58" s="4"/>
      <c r="K58" s="4"/>
      <c r="L58" s="4"/>
      <c r="M58" s="4"/>
      <c r="N58" s="4"/>
    </row>
    <row r="59" spans="1:14">
      <c r="A59" s="4"/>
      <c r="B59" s="4"/>
      <c r="C59" s="4"/>
      <c r="D59" s="4"/>
      <c r="E59" s="4"/>
      <c r="F59" s="4"/>
      <c r="G59" s="4"/>
      <c r="H59" s="4"/>
      <c r="I59" s="28"/>
      <c r="J59" s="4"/>
      <c r="K59" s="4"/>
      <c r="L59" s="4"/>
      <c r="M59" s="4"/>
      <c r="N59" s="4"/>
    </row>
    <row r="60" spans="1:14">
      <c r="A60" s="4"/>
      <c r="B60" s="4"/>
      <c r="C60" s="4"/>
      <c r="D60" s="4"/>
      <c r="E60" s="4"/>
      <c r="F60" s="4"/>
      <c r="G60" s="4"/>
      <c r="H60" s="4"/>
      <c r="I60" s="28"/>
      <c r="J60" s="4"/>
      <c r="K60" s="4"/>
      <c r="L60" s="4"/>
      <c r="M60" s="4"/>
      <c r="N60" s="4"/>
    </row>
    <row r="61" spans="1:14">
      <c r="A61" s="4"/>
      <c r="B61" s="4"/>
      <c r="C61" s="4"/>
      <c r="D61" s="4"/>
      <c r="E61" s="4"/>
      <c r="F61" s="4"/>
      <c r="G61" s="4"/>
      <c r="H61" s="4"/>
      <c r="I61" s="28"/>
      <c r="J61" s="4"/>
      <c r="K61" s="4"/>
      <c r="L61" s="4"/>
      <c r="M61" s="4"/>
      <c r="N61" s="4"/>
    </row>
    <row r="62" spans="1:14">
      <c r="A62" s="4"/>
      <c r="B62" s="4"/>
      <c r="C62" s="4"/>
      <c r="D62" s="4"/>
      <c r="E62" s="4"/>
      <c r="F62" s="4"/>
      <c r="G62" s="4"/>
      <c r="H62" s="4"/>
      <c r="I62" s="28"/>
      <c r="J62" s="4"/>
      <c r="K62" s="4"/>
      <c r="L62" s="4"/>
      <c r="M62" s="4"/>
      <c r="N62" s="4"/>
    </row>
    <row r="63" spans="1:14">
      <c r="A63" s="4"/>
      <c r="B63" s="4"/>
      <c r="C63" s="4"/>
      <c r="D63" s="4"/>
      <c r="E63" s="4"/>
      <c r="F63" s="4"/>
      <c r="G63" s="4"/>
      <c r="H63" s="4"/>
      <c r="I63" s="28"/>
      <c r="J63" s="4"/>
      <c r="K63" s="4"/>
      <c r="L63" s="4"/>
      <c r="M63" s="4"/>
      <c r="N63" s="4"/>
    </row>
    <row r="64" spans="1:14">
      <c r="A64" s="4"/>
      <c r="B64" s="4"/>
      <c r="C64" s="4"/>
      <c r="D64" s="4"/>
      <c r="E64" s="4"/>
      <c r="F64" s="4"/>
      <c r="G64" s="4"/>
      <c r="H64" s="4"/>
      <c r="I64" s="28"/>
      <c r="J64" s="4"/>
      <c r="K64" s="4"/>
      <c r="L64" s="4"/>
      <c r="M64" s="4"/>
      <c r="N64" s="4"/>
    </row>
    <row r="65" spans="1:14">
      <c r="A65" s="4"/>
      <c r="B65" s="4"/>
      <c r="C65" s="4"/>
      <c r="D65" s="4"/>
      <c r="E65" s="4"/>
      <c r="F65" s="4"/>
      <c r="G65" s="4"/>
      <c r="H65" s="4"/>
      <c r="I65" s="28"/>
      <c r="J65" s="4"/>
      <c r="K65" s="4"/>
      <c r="L65" s="4"/>
      <c r="M65" s="4"/>
      <c r="N65" s="4"/>
    </row>
    <row r="66" spans="1:14">
      <c r="A66" s="4"/>
      <c r="B66" s="4"/>
      <c r="C66" s="4"/>
      <c r="D66" s="4"/>
      <c r="E66" s="4"/>
      <c r="F66" s="4"/>
      <c r="G66" s="4"/>
      <c r="H66" s="4"/>
      <c r="I66" s="28"/>
      <c r="J66" s="4"/>
      <c r="K66" s="4"/>
      <c r="L66" s="4"/>
      <c r="M66" s="4"/>
      <c r="N66" s="4"/>
    </row>
    <row r="67" spans="1:14">
      <c r="A67" s="4"/>
      <c r="B67" s="4"/>
      <c r="C67" s="4"/>
      <c r="D67" s="4"/>
      <c r="E67" s="4"/>
      <c r="F67" s="4"/>
      <c r="G67" s="4"/>
      <c r="H67" s="4"/>
      <c r="I67" s="28"/>
      <c r="J67" s="4"/>
      <c r="K67" s="4"/>
      <c r="L67" s="4"/>
      <c r="M67" s="4"/>
      <c r="N67" s="4"/>
    </row>
    <row r="68" spans="1:14">
      <c r="A68" s="4"/>
      <c r="B68" s="4"/>
      <c r="C68" s="4"/>
      <c r="D68" s="4"/>
      <c r="E68" s="4"/>
      <c r="F68" s="4"/>
      <c r="G68" s="4"/>
      <c r="H68" s="4"/>
      <c r="I68" s="28"/>
      <c r="J68" s="4"/>
      <c r="K68" s="4"/>
      <c r="L68" s="4"/>
      <c r="M68" s="4"/>
      <c r="N68" s="4"/>
    </row>
    <row r="69" spans="1:14">
      <c r="A69" s="4"/>
      <c r="B69" s="4"/>
      <c r="C69" s="4"/>
      <c r="D69" s="4"/>
      <c r="E69" s="4"/>
      <c r="F69" s="4"/>
      <c r="G69" s="4"/>
      <c r="H69" s="4"/>
      <c r="I69" s="28"/>
      <c r="J69" s="4"/>
      <c r="K69" s="4"/>
      <c r="L69" s="4"/>
      <c r="M69" s="4"/>
      <c r="N69" s="4"/>
    </row>
    <row r="70" spans="1:14">
      <c r="A70" s="4"/>
      <c r="B70" s="4"/>
      <c r="C70" s="4"/>
      <c r="D70" s="4"/>
      <c r="E70" s="4"/>
      <c r="F70" s="4"/>
      <c r="G70" s="4"/>
      <c r="H70" s="4"/>
      <c r="I70" s="28"/>
      <c r="J70" s="4"/>
      <c r="K70" s="4"/>
      <c r="L70" s="4"/>
      <c r="M70" s="4"/>
      <c r="N70" s="4"/>
    </row>
    <row r="71" spans="1:14">
      <c r="A71" s="4"/>
      <c r="B71" s="4"/>
      <c r="C71" s="4"/>
      <c r="D71" s="4"/>
      <c r="E71" s="4"/>
      <c r="F71" s="4"/>
      <c r="G71" s="4"/>
      <c r="H71" s="4"/>
      <c r="I71" s="28"/>
      <c r="J71" s="4"/>
      <c r="K71" s="4"/>
      <c r="L71" s="4"/>
      <c r="M71" s="4"/>
      <c r="N71" s="4"/>
    </row>
    <row r="72" spans="1:14">
      <c r="A72" s="4"/>
      <c r="B72" s="4"/>
      <c r="C72" s="4"/>
      <c r="D72" s="4"/>
      <c r="E72" s="4"/>
      <c r="F72" s="4"/>
      <c r="G72" s="4"/>
      <c r="H72" s="4"/>
      <c r="I72" s="28"/>
      <c r="J72" s="4"/>
      <c r="K72" s="4"/>
      <c r="L72" s="4"/>
      <c r="M72" s="4"/>
      <c r="N72" s="4"/>
    </row>
    <row r="73" spans="1:14">
      <c r="A73" s="4"/>
      <c r="B73" s="4"/>
      <c r="C73" s="4"/>
      <c r="D73" s="4"/>
      <c r="E73" s="4"/>
      <c r="F73" s="4"/>
      <c r="G73" s="4"/>
      <c r="H73" s="4"/>
      <c r="I73" s="28"/>
      <c r="J73" s="4"/>
      <c r="K73" s="4"/>
      <c r="L73" s="4"/>
      <c r="M73" s="4"/>
      <c r="N73" s="4"/>
    </row>
    <row r="74" spans="1:14">
      <c r="A74" s="4"/>
      <c r="B74" s="4"/>
      <c r="C74" s="4"/>
      <c r="D74" s="4"/>
      <c r="E74" s="4"/>
      <c r="F74" s="4"/>
      <c r="G74" s="4"/>
      <c r="H74" s="4"/>
      <c r="I74" s="28"/>
      <c r="J74" s="4"/>
      <c r="K74" s="4"/>
      <c r="L74" s="4"/>
      <c r="M74" s="4"/>
      <c r="N74" s="4"/>
    </row>
    <row r="75" spans="1:14">
      <c r="A75" s="4"/>
      <c r="B75" s="4"/>
      <c r="C75" s="4"/>
      <c r="D75" s="4"/>
      <c r="E75" s="4"/>
      <c r="F75" s="4"/>
      <c r="G75" s="4"/>
      <c r="H75" s="4"/>
      <c r="I75" s="28"/>
      <c r="J75" s="4"/>
      <c r="K75" s="4"/>
      <c r="L75" s="4"/>
      <c r="M75" s="4"/>
      <c r="N75" s="4"/>
    </row>
    <row r="76" spans="1:14">
      <c r="A76" s="4"/>
      <c r="B76" s="4"/>
      <c r="C76" s="4"/>
      <c r="D76" s="4"/>
      <c r="E76" s="4"/>
      <c r="F76" s="4"/>
      <c r="G76" s="4"/>
      <c r="H76" s="4"/>
      <c r="I76" s="28"/>
      <c r="J76" s="4"/>
      <c r="K76" s="4"/>
      <c r="L76" s="4"/>
      <c r="M76" s="4"/>
      <c r="N76" s="4"/>
    </row>
    <row r="77" spans="1:14">
      <c r="A77" s="4"/>
      <c r="B77" s="4"/>
      <c r="C77" s="4"/>
      <c r="D77" s="4"/>
      <c r="E77" s="4"/>
      <c r="F77" s="4"/>
      <c r="G77" s="4"/>
      <c r="H77" s="4"/>
      <c r="I77" s="28"/>
      <c r="J77" s="4"/>
      <c r="K77" s="4"/>
      <c r="L77" s="4"/>
      <c r="M77" s="4"/>
      <c r="N77" s="4"/>
    </row>
    <row r="78" spans="1:14">
      <c r="A78" s="4"/>
      <c r="B78" s="4"/>
      <c r="C78" s="4"/>
      <c r="D78" s="4"/>
      <c r="E78" s="4"/>
      <c r="F78" s="4"/>
      <c r="G78" s="4"/>
      <c r="H78" s="4"/>
      <c r="I78" s="28"/>
      <c r="J78" s="4"/>
      <c r="K78" s="4"/>
      <c r="L78" s="4"/>
      <c r="M78" s="4"/>
      <c r="N78" s="4"/>
    </row>
    <row r="79" spans="1:14">
      <c r="A79" s="4"/>
      <c r="B79" s="4"/>
      <c r="C79" s="4"/>
      <c r="D79" s="4"/>
      <c r="E79" s="4"/>
      <c r="F79" s="4"/>
      <c r="G79" s="4"/>
      <c r="H79" s="4"/>
      <c r="I79" s="28"/>
      <c r="J79" s="4"/>
      <c r="K79" s="4"/>
      <c r="L79" s="4"/>
      <c r="M79" s="4"/>
      <c r="N79" s="4"/>
    </row>
    <row r="80" spans="1:14">
      <c r="A80" s="4"/>
      <c r="B80" s="4"/>
      <c r="C80" s="4"/>
      <c r="D80" s="4"/>
      <c r="E80" s="4"/>
      <c r="F80" s="4"/>
      <c r="G80" s="4"/>
      <c r="H80" s="4"/>
      <c r="I80" s="28"/>
      <c r="J80" s="4"/>
      <c r="K80" s="4"/>
      <c r="L80" s="4"/>
      <c r="M80" s="4"/>
      <c r="N80" s="4"/>
    </row>
    <row r="81" spans="1:14">
      <c r="A81" s="4"/>
      <c r="B81" s="4"/>
      <c r="C81" s="4"/>
      <c r="D81" s="4"/>
      <c r="E81" s="4"/>
      <c r="F81" s="4"/>
      <c r="G81" s="4"/>
      <c r="H81" s="4"/>
      <c r="I81" s="28"/>
      <c r="J81" s="4"/>
      <c r="K81" s="4"/>
      <c r="L81" s="4"/>
      <c r="M81" s="4"/>
      <c r="N81" s="4"/>
    </row>
    <row r="82" spans="1:14">
      <c r="A82" s="4"/>
      <c r="B82" s="4"/>
      <c r="C82" s="4"/>
      <c r="D82" s="4"/>
      <c r="E82" s="4"/>
      <c r="F82" s="4"/>
      <c r="G82" s="4"/>
      <c r="H82" s="4"/>
      <c r="I82" s="28"/>
      <c r="J82" s="4"/>
      <c r="K82" s="4"/>
      <c r="L82" s="4"/>
      <c r="M82" s="4"/>
      <c r="N82" s="4"/>
    </row>
    <row r="83" spans="1:14">
      <c r="A83" s="4"/>
      <c r="B83" s="4"/>
      <c r="C83" s="4"/>
      <c r="D83" s="4"/>
      <c r="E83" s="4"/>
      <c r="F83" s="4"/>
      <c r="G83" s="4"/>
      <c r="H83" s="4"/>
      <c r="I83" s="28"/>
      <c r="J83" s="4"/>
      <c r="K83" s="4"/>
      <c r="L83" s="4"/>
      <c r="M83" s="4"/>
      <c r="N83" s="4"/>
    </row>
    <row r="84" spans="1:14">
      <c r="A84" s="4"/>
      <c r="B84" s="4"/>
      <c r="C84" s="4"/>
      <c r="D84" s="4"/>
      <c r="E84" s="4"/>
      <c r="F84" s="4"/>
      <c r="G84" s="4"/>
      <c r="H84" s="4"/>
      <c r="I84" s="28"/>
      <c r="J84" s="4"/>
      <c r="K84" s="4"/>
      <c r="L84" s="4"/>
      <c r="M84" s="4"/>
      <c r="N84" s="4"/>
    </row>
    <row r="85" spans="1:14">
      <c r="A85" s="4"/>
      <c r="B85" s="4"/>
      <c r="C85" s="4"/>
      <c r="D85" s="4"/>
      <c r="E85" s="4"/>
      <c r="F85" s="4"/>
      <c r="G85" s="4"/>
      <c r="H85" s="4"/>
      <c r="I85" s="28"/>
      <c r="J85" s="4"/>
      <c r="K85" s="4"/>
      <c r="L85" s="4"/>
      <c r="M85" s="4"/>
      <c r="N85" s="4"/>
    </row>
    <row r="86" spans="1:14">
      <c r="A86" s="4"/>
      <c r="B86" s="4"/>
      <c r="C86" s="4"/>
      <c r="D86" s="4"/>
      <c r="E86" s="4"/>
      <c r="F86" s="4"/>
      <c r="G86" s="4"/>
      <c r="H86" s="4"/>
      <c r="I86" s="28"/>
      <c r="J86" s="4"/>
      <c r="K86" s="4"/>
      <c r="L86" s="4"/>
      <c r="M86" s="4"/>
      <c r="N86" s="4"/>
    </row>
    <row r="87" spans="1:14">
      <c r="A87" s="4"/>
      <c r="B87" s="4"/>
      <c r="C87" s="4"/>
      <c r="D87" s="4"/>
      <c r="E87" s="4"/>
      <c r="F87" s="4"/>
      <c r="G87" s="4"/>
      <c r="H87" s="4"/>
      <c r="I87" s="28"/>
      <c r="J87" s="4"/>
      <c r="K87" s="4"/>
      <c r="L87" s="4"/>
      <c r="M87" s="4"/>
      <c r="N87" s="4"/>
    </row>
    <row r="88" spans="1:14">
      <c r="A88" s="4"/>
      <c r="B88" s="4"/>
      <c r="C88" s="4"/>
      <c r="D88" s="4"/>
      <c r="E88" s="4"/>
      <c r="F88" s="4"/>
      <c r="G88" s="4"/>
      <c r="H88" s="4"/>
      <c r="I88" s="28"/>
      <c r="J88" s="4"/>
      <c r="K88" s="4"/>
      <c r="L88" s="4"/>
      <c r="M88" s="4"/>
      <c r="N88" s="4"/>
    </row>
    <row r="89" spans="1:14">
      <c r="A89" s="4"/>
      <c r="B89" s="4"/>
      <c r="C89" s="4"/>
      <c r="D89" s="4"/>
      <c r="E89" s="4"/>
      <c r="F89" s="4"/>
      <c r="G89" s="4"/>
      <c r="H89" s="4"/>
      <c r="I89" s="28"/>
      <c r="J89" s="4"/>
      <c r="K89" s="4"/>
      <c r="L89" s="4"/>
      <c r="M89" s="4"/>
      <c r="N89" s="4"/>
    </row>
    <row r="90" spans="1:14">
      <c r="A90" s="4"/>
      <c r="B90" s="4"/>
      <c r="C90" s="4"/>
      <c r="D90" s="4"/>
      <c r="E90" s="4"/>
      <c r="F90" s="4"/>
      <c r="G90" s="4"/>
      <c r="H90" s="4"/>
      <c r="I90" s="28"/>
      <c r="J90" s="4"/>
      <c r="K90" s="4"/>
      <c r="L90" s="4"/>
      <c r="M90" s="4"/>
      <c r="N90" s="4"/>
    </row>
    <row r="91" spans="1:14">
      <c r="A91" s="4"/>
      <c r="B91" s="4"/>
      <c r="C91" s="4"/>
      <c r="D91" s="4"/>
      <c r="E91" s="4"/>
      <c r="F91" s="4"/>
      <c r="G91" s="4"/>
      <c r="H91" s="4"/>
      <c r="I91" s="28"/>
      <c r="J91" s="4"/>
      <c r="K91" s="4"/>
      <c r="L91" s="4"/>
      <c r="M91" s="4"/>
      <c r="N91" s="4"/>
    </row>
    <row r="92" spans="1:14">
      <c r="A92" s="4"/>
      <c r="B92" s="4"/>
      <c r="C92" s="4"/>
      <c r="D92" s="4"/>
      <c r="E92" s="4"/>
      <c r="F92" s="4"/>
      <c r="G92" s="4"/>
      <c r="H92" s="4"/>
      <c r="I92" s="28"/>
      <c r="J92" s="4"/>
      <c r="K92" s="4"/>
      <c r="L92" s="4"/>
      <c r="M92" s="4"/>
      <c r="N92" s="4"/>
    </row>
    <row r="93" spans="1:14">
      <c r="A93" s="4"/>
      <c r="B93" s="4"/>
      <c r="C93" s="4"/>
      <c r="D93" s="4"/>
      <c r="E93" s="4"/>
      <c r="F93" s="4"/>
      <c r="G93" s="4"/>
      <c r="H93" s="4"/>
      <c r="I93" s="28"/>
      <c r="J93" s="4"/>
      <c r="K93" s="4"/>
      <c r="L93" s="4"/>
      <c r="M93" s="4"/>
      <c r="N93" s="4"/>
    </row>
    <row r="94" spans="1:14">
      <c r="A94" s="4"/>
      <c r="B94" s="4"/>
      <c r="C94" s="4"/>
      <c r="D94" s="4"/>
      <c r="E94" s="4"/>
      <c r="F94" s="4"/>
      <c r="G94" s="4"/>
      <c r="H94" s="4"/>
      <c r="I94" s="28"/>
      <c r="J94" s="4"/>
      <c r="K94" s="4"/>
      <c r="L94" s="4"/>
      <c r="M94" s="4"/>
      <c r="N94" s="4"/>
    </row>
    <row r="95" spans="1:14">
      <c r="A95" s="4"/>
      <c r="B95" s="4"/>
      <c r="C95" s="4"/>
      <c r="D95" s="4"/>
      <c r="E95" s="4"/>
      <c r="F95" s="4"/>
      <c r="G95" s="4"/>
      <c r="H95" s="4"/>
      <c r="I95" s="28"/>
      <c r="J95" s="4"/>
      <c r="K95" s="4"/>
      <c r="L95" s="4"/>
      <c r="M95" s="4"/>
      <c r="N95" s="4"/>
    </row>
    <row r="96" spans="1:14">
      <c r="A96" s="4"/>
      <c r="B96" s="4"/>
      <c r="C96" s="4"/>
      <c r="D96" s="4"/>
      <c r="E96" s="4"/>
      <c r="F96" s="4"/>
      <c r="G96" s="4"/>
      <c r="H96" s="4"/>
      <c r="I96" s="28"/>
      <c r="J96" s="4"/>
      <c r="K96" s="4"/>
      <c r="L96" s="4"/>
      <c r="M96" s="4"/>
      <c r="N96" s="4"/>
    </row>
    <row r="97" spans="1:14">
      <c r="A97" s="4"/>
      <c r="B97" s="4"/>
      <c r="C97" s="4"/>
      <c r="D97" s="4"/>
      <c r="E97" s="4"/>
      <c r="F97" s="4"/>
      <c r="G97" s="4"/>
      <c r="H97" s="4"/>
      <c r="I97" s="28"/>
      <c r="J97" s="4"/>
      <c r="K97" s="4"/>
      <c r="L97" s="4"/>
      <c r="M97" s="4"/>
      <c r="N97" s="4"/>
    </row>
    <row r="98" spans="1:14">
      <c r="A98" s="4"/>
      <c r="B98" s="4"/>
      <c r="C98" s="4"/>
      <c r="D98" s="4"/>
      <c r="E98" s="4"/>
      <c r="F98" s="4"/>
      <c r="G98" s="4"/>
      <c r="H98" s="4"/>
      <c r="I98" s="28"/>
      <c r="J98" s="4"/>
      <c r="K98" s="4"/>
      <c r="L98" s="4"/>
      <c r="M98" s="4"/>
      <c r="N98" s="4"/>
    </row>
    <row r="99" spans="1:14">
      <c r="A99" s="4"/>
      <c r="B99" s="4"/>
      <c r="C99" s="4"/>
      <c r="D99" s="4"/>
      <c r="E99" s="4"/>
      <c r="F99" s="4"/>
      <c r="G99" s="4"/>
      <c r="H99" s="4"/>
      <c r="I99" s="28"/>
      <c r="J99" s="4"/>
      <c r="K99" s="4"/>
      <c r="L99" s="4"/>
      <c r="M99" s="4"/>
      <c r="N99" s="4"/>
    </row>
    <row r="100" spans="1:14">
      <c r="A100" s="4"/>
      <c r="B100" s="4"/>
      <c r="C100" s="4"/>
      <c r="D100" s="4"/>
      <c r="E100" s="4"/>
      <c r="F100" s="4"/>
      <c r="G100" s="4"/>
      <c r="H100" s="4"/>
      <c r="I100" s="28"/>
      <c r="J100" s="4"/>
      <c r="K100" s="4"/>
      <c r="L100" s="4"/>
      <c r="M100" s="4"/>
      <c r="N100" s="4"/>
    </row>
    <row r="101" spans="1:14">
      <c r="A101" s="4"/>
      <c r="B101" s="4"/>
      <c r="C101" s="4"/>
      <c r="D101" s="4"/>
      <c r="E101" s="4"/>
      <c r="F101" s="4"/>
      <c r="G101" s="4"/>
      <c r="H101" s="4"/>
      <c r="I101" s="28"/>
      <c r="J101" s="4"/>
      <c r="K101" s="4"/>
      <c r="L101" s="4"/>
      <c r="M101" s="4"/>
      <c r="N101" s="4"/>
    </row>
    <row r="102" spans="1:14">
      <c r="A102" s="4"/>
      <c r="B102" s="4"/>
      <c r="C102" s="4"/>
      <c r="D102" s="4"/>
      <c r="E102" s="4"/>
      <c r="F102" s="4"/>
      <c r="G102" s="4"/>
      <c r="H102" s="4"/>
      <c r="I102" s="28"/>
      <c r="J102" s="4"/>
      <c r="K102" s="4"/>
      <c r="L102" s="4"/>
      <c r="M102" s="4"/>
      <c r="N102" s="4"/>
    </row>
    <row r="103" spans="1:14">
      <c r="A103" s="4"/>
      <c r="B103" s="4"/>
      <c r="C103" s="4"/>
      <c r="D103" s="4"/>
      <c r="E103" s="4"/>
      <c r="F103" s="4"/>
      <c r="G103" s="4"/>
      <c r="H103" s="4"/>
      <c r="I103" s="28"/>
      <c r="J103" s="4"/>
      <c r="K103" s="4"/>
      <c r="L103" s="4"/>
      <c r="M103" s="4"/>
      <c r="N103" s="4"/>
    </row>
    <row r="104" spans="1:14">
      <c r="A104" s="4"/>
      <c r="B104" s="4"/>
      <c r="C104" s="4"/>
      <c r="D104" s="4"/>
      <c r="E104" s="4"/>
      <c r="F104" s="4"/>
      <c r="G104" s="4"/>
      <c r="H104" s="4"/>
      <c r="I104" s="28"/>
      <c r="J104" s="4"/>
      <c r="K104" s="4"/>
      <c r="L104" s="4"/>
      <c r="M104" s="4"/>
      <c r="N104" s="4"/>
    </row>
    <row r="105" spans="1:14">
      <c r="A105" s="4"/>
      <c r="B105" s="4"/>
      <c r="C105" s="4"/>
      <c r="D105" s="4"/>
      <c r="E105" s="4"/>
      <c r="F105" s="4"/>
      <c r="G105" s="4"/>
      <c r="H105" s="4"/>
      <c r="I105" s="28"/>
      <c r="J105" s="4"/>
      <c r="K105" s="4"/>
      <c r="L105" s="4"/>
      <c r="M105" s="4"/>
      <c r="N105" s="4"/>
    </row>
    <row r="106" spans="1:14">
      <c r="A106" s="4"/>
      <c r="B106" s="4"/>
      <c r="C106" s="4"/>
      <c r="D106" s="4"/>
      <c r="E106" s="4"/>
      <c r="F106" s="4"/>
      <c r="G106" s="4"/>
      <c r="H106" s="4"/>
      <c r="I106" s="28"/>
      <c r="J106" s="4"/>
      <c r="K106" s="4"/>
      <c r="L106" s="4"/>
      <c r="M106" s="4"/>
      <c r="N106" s="4"/>
    </row>
    <row r="107" spans="1:14">
      <c r="A107" s="4"/>
      <c r="B107" s="4"/>
      <c r="C107" s="4"/>
      <c r="D107" s="4"/>
      <c r="E107" s="4"/>
      <c r="F107" s="4"/>
      <c r="G107" s="4"/>
      <c r="H107" s="4"/>
      <c r="I107" s="28"/>
      <c r="J107" s="4"/>
      <c r="K107" s="4"/>
      <c r="L107" s="4"/>
      <c r="M107" s="4"/>
      <c r="N107" s="4"/>
    </row>
    <row r="108" spans="1:14">
      <c r="A108" s="4"/>
      <c r="B108" s="4"/>
      <c r="C108" s="4"/>
      <c r="D108" s="4"/>
      <c r="E108" s="4"/>
      <c r="F108" s="4"/>
      <c r="G108" s="4"/>
      <c r="H108" s="4"/>
      <c r="I108" s="28"/>
      <c r="J108" s="4"/>
      <c r="K108" s="4"/>
      <c r="L108" s="4"/>
      <c r="M108" s="4"/>
      <c r="N108" s="4"/>
    </row>
    <row r="109" spans="1:14">
      <c r="A109" s="4"/>
      <c r="B109" s="4"/>
      <c r="C109" s="4"/>
      <c r="D109" s="4"/>
      <c r="E109" s="4"/>
      <c r="F109" s="4"/>
      <c r="G109" s="4"/>
      <c r="H109" s="4"/>
      <c r="I109" s="28"/>
      <c r="J109" s="4"/>
      <c r="K109" s="4"/>
      <c r="L109" s="4"/>
      <c r="M109" s="4"/>
      <c r="N109" s="4"/>
    </row>
    <row r="110" spans="1:14">
      <c r="A110" s="4"/>
      <c r="B110" s="4"/>
      <c r="C110" s="4"/>
      <c r="D110" s="4"/>
      <c r="E110" s="4"/>
      <c r="F110" s="4"/>
      <c r="G110" s="4"/>
      <c r="H110" s="4"/>
      <c r="I110" s="28"/>
      <c r="J110" s="4"/>
      <c r="K110" s="4"/>
      <c r="L110" s="4"/>
      <c r="M110" s="4"/>
      <c r="N110" s="4"/>
    </row>
    <row r="111" spans="1:14">
      <c r="A111" s="4"/>
      <c r="B111" s="4"/>
      <c r="C111" s="4"/>
      <c r="D111" s="4"/>
      <c r="E111" s="4"/>
      <c r="F111" s="4"/>
      <c r="G111" s="4"/>
      <c r="H111" s="4"/>
      <c r="I111" s="28"/>
      <c r="J111" s="4"/>
      <c r="K111" s="4"/>
      <c r="L111" s="4"/>
      <c r="M111" s="4"/>
      <c r="N111" s="4"/>
    </row>
    <row r="112" spans="1:14">
      <c r="A112" s="4"/>
      <c r="B112" s="4"/>
      <c r="C112" s="4"/>
      <c r="D112" s="4"/>
      <c r="E112" s="4"/>
      <c r="F112" s="4"/>
      <c r="G112" s="4"/>
      <c r="H112" s="4"/>
      <c r="I112" s="28"/>
      <c r="J112" s="4"/>
      <c r="K112" s="4"/>
      <c r="L112" s="4"/>
      <c r="M112" s="4"/>
      <c r="N112" s="4"/>
    </row>
    <row r="113" spans="1:14">
      <c r="A113" s="4"/>
      <c r="B113" s="4"/>
      <c r="C113" s="4"/>
      <c r="D113" s="4"/>
      <c r="E113" s="4"/>
      <c r="F113" s="4"/>
      <c r="G113" s="4"/>
      <c r="H113" s="4"/>
      <c r="I113" s="28"/>
      <c r="J113" s="4"/>
      <c r="K113" s="4"/>
      <c r="L113" s="4"/>
      <c r="M113" s="4"/>
      <c r="N113" s="4"/>
    </row>
    <row r="114" spans="1:14">
      <c r="A114" s="4"/>
      <c r="B114" s="4"/>
      <c r="C114" s="4"/>
      <c r="D114" s="4"/>
      <c r="E114" s="4"/>
      <c r="F114" s="4"/>
      <c r="G114" s="4"/>
      <c r="H114" s="4"/>
      <c r="I114" s="28"/>
      <c r="J114" s="4"/>
      <c r="K114" s="4"/>
      <c r="L114" s="4"/>
      <c r="M114" s="4"/>
      <c r="N114" s="4"/>
    </row>
    <row r="115" spans="1:14">
      <c r="A115" s="4"/>
      <c r="B115" s="4"/>
      <c r="C115" s="4"/>
      <c r="D115" s="4"/>
      <c r="E115" s="4"/>
      <c r="F115" s="4"/>
      <c r="G115" s="4"/>
      <c r="H115" s="4"/>
      <c r="I115" s="28"/>
      <c r="J115" s="4"/>
      <c r="K115" s="4"/>
      <c r="L115" s="4"/>
      <c r="M115" s="4"/>
      <c r="N115" s="4"/>
    </row>
    <row r="116" spans="1:14">
      <c r="A116" s="4"/>
      <c r="B116" s="4"/>
      <c r="C116" s="4"/>
      <c r="D116" s="4"/>
      <c r="E116" s="4"/>
      <c r="F116" s="4"/>
      <c r="G116" s="4"/>
      <c r="H116" s="4"/>
      <c r="I116" s="28"/>
      <c r="J116" s="4"/>
      <c r="K116" s="4"/>
      <c r="L116" s="4"/>
      <c r="M116" s="4"/>
      <c r="N116" s="4"/>
    </row>
    <row r="117" spans="1:14">
      <c r="A117" s="4"/>
      <c r="B117" s="4"/>
      <c r="C117" s="4"/>
      <c r="D117" s="4"/>
      <c r="E117" s="4"/>
      <c r="F117" s="4"/>
      <c r="G117" s="4"/>
      <c r="H117" s="4"/>
      <c r="I117" s="28"/>
      <c r="J117" s="4"/>
      <c r="K117" s="4"/>
      <c r="L117" s="4"/>
      <c r="M117" s="4"/>
      <c r="N117" s="4"/>
    </row>
    <row r="118" spans="1:14">
      <c r="A118" s="4"/>
      <c r="B118" s="4"/>
      <c r="C118" s="4"/>
      <c r="D118" s="4"/>
      <c r="E118" s="4"/>
      <c r="F118" s="4"/>
      <c r="G118" s="4"/>
      <c r="H118" s="4"/>
      <c r="I118" s="28"/>
      <c r="J118" s="4"/>
      <c r="K118" s="4"/>
      <c r="L118" s="4"/>
      <c r="M118" s="4"/>
      <c r="N118" s="4"/>
    </row>
    <row r="119" spans="1:14">
      <c r="A119" s="4"/>
      <c r="B119" s="4"/>
      <c r="C119" s="4"/>
      <c r="D119" s="4"/>
      <c r="E119" s="4"/>
      <c r="F119" s="4"/>
      <c r="G119" s="4"/>
      <c r="H119" s="4"/>
      <c r="I119" s="28"/>
      <c r="J119" s="4"/>
      <c r="K119" s="4"/>
      <c r="L119" s="4"/>
      <c r="M119" s="4"/>
      <c r="N119" s="4"/>
    </row>
    <row r="120" spans="1:14">
      <c r="A120" s="4"/>
      <c r="B120" s="4"/>
      <c r="C120" s="4"/>
      <c r="D120" s="4"/>
      <c r="E120" s="4"/>
      <c r="F120" s="4"/>
      <c r="G120" s="4"/>
      <c r="H120" s="4"/>
      <c r="I120" s="28"/>
      <c r="J120" s="4"/>
      <c r="K120" s="4"/>
      <c r="L120" s="4"/>
      <c r="M120" s="4"/>
      <c r="N120" s="4"/>
    </row>
    <row r="121" spans="1:14">
      <c r="A121" s="4"/>
      <c r="B121" s="4"/>
      <c r="C121" s="4"/>
      <c r="D121" s="4"/>
      <c r="E121" s="4"/>
      <c r="F121" s="4"/>
      <c r="G121" s="4"/>
      <c r="H121" s="4"/>
      <c r="I121" s="28"/>
      <c r="J121" s="4"/>
      <c r="K121" s="4"/>
      <c r="L121" s="4"/>
      <c r="M121" s="4"/>
      <c r="N121" s="4"/>
    </row>
    <row r="122" spans="1:14">
      <c r="A122" s="4"/>
      <c r="B122" s="4"/>
      <c r="C122" s="4"/>
      <c r="D122" s="4"/>
      <c r="E122" s="4"/>
      <c r="F122" s="4"/>
      <c r="G122" s="4"/>
      <c r="H122" s="4"/>
      <c r="I122" s="28"/>
      <c r="J122" s="4"/>
      <c r="K122" s="4"/>
      <c r="L122" s="4"/>
      <c r="M122" s="4"/>
      <c r="N122" s="4"/>
    </row>
    <row r="123" spans="1:14">
      <c r="A123" s="4"/>
      <c r="B123" s="4"/>
      <c r="C123" s="4"/>
      <c r="D123" s="4"/>
      <c r="E123" s="4"/>
      <c r="F123" s="4"/>
      <c r="G123" s="4"/>
      <c r="H123" s="4"/>
      <c r="I123" s="28"/>
      <c r="J123" s="4"/>
      <c r="K123" s="4"/>
      <c r="L123" s="4"/>
      <c r="M123" s="4"/>
      <c r="N123" s="4"/>
    </row>
    <row r="124" spans="1:14">
      <c r="A124" s="4"/>
      <c r="B124" s="4"/>
      <c r="C124" s="4"/>
      <c r="D124" s="4"/>
      <c r="E124" s="4"/>
      <c r="F124" s="4"/>
      <c r="G124" s="4"/>
      <c r="H124" s="4"/>
      <c r="I124" s="28"/>
      <c r="J124" s="4"/>
      <c r="K124" s="4"/>
      <c r="L124" s="4"/>
      <c r="M124" s="4"/>
      <c r="N124" s="4"/>
    </row>
    <row r="125" spans="1:14">
      <c r="A125" s="4"/>
      <c r="B125" s="4"/>
      <c r="C125" s="4"/>
      <c r="D125" s="4"/>
      <c r="E125" s="4"/>
      <c r="F125" s="4"/>
      <c r="G125" s="4"/>
      <c r="H125" s="4"/>
      <c r="I125" s="28"/>
      <c r="J125" s="4"/>
      <c r="K125" s="4"/>
      <c r="L125" s="4"/>
      <c r="M125" s="4"/>
      <c r="N125" s="4"/>
    </row>
    <row r="126" spans="1:14">
      <c r="A126" s="4"/>
      <c r="B126" s="4"/>
      <c r="C126" s="4"/>
      <c r="D126" s="4"/>
      <c r="E126" s="4"/>
      <c r="F126" s="4"/>
      <c r="G126" s="4"/>
      <c r="H126" s="4"/>
      <c r="I126" s="28"/>
      <c r="J126" s="4"/>
      <c r="K126" s="4"/>
      <c r="L126" s="4"/>
      <c r="M126" s="4"/>
      <c r="N126" s="4"/>
    </row>
    <row r="127" spans="1:14">
      <c r="A127" s="4"/>
      <c r="B127" s="4"/>
      <c r="C127" s="4"/>
      <c r="D127" s="4"/>
      <c r="E127" s="4"/>
      <c r="F127" s="4"/>
      <c r="G127" s="4"/>
      <c r="H127" s="4"/>
      <c r="I127" s="28"/>
      <c r="J127" s="4"/>
      <c r="K127" s="4"/>
      <c r="L127" s="4"/>
      <c r="M127" s="4"/>
      <c r="N127" s="4"/>
    </row>
    <row r="128" spans="1:14">
      <c r="A128" s="4"/>
      <c r="B128" s="4"/>
      <c r="C128" s="4"/>
      <c r="D128" s="4"/>
      <c r="E128" s="4"/>
      <c r="F128" s="4"/>
      <c r="G128" s="4"/>
      <c r="H128" s="4"/>
      <c r="I128" s="28"/>
      <c r="J128" s="4"/>
      <c r="K128" s="4"/>
      <c r="L128" s="4"/>
      <c r="M128" s="4"/>
      <c r="N128" s="4"/>
    </row>
    <row r="129" spans="1:14">
      <c r="A129" s="4"/>
      <c r="B129" s="4"/>
      <c r="C129" s="4"/>
      <c r="D129" s="4"/>
      <c r="E129" s="4"/>
      <c r="F129" s="4"/>
      <c r="G129" s="4"/>
      <c r="H129" s="4"/>
      <c r="I129" s="28"/>
      <c r="J129" s="4"/>
      <c r="K129" s="4"/>
      <c r="L129" s="4"/>
      <c r="M129" s="4"/>
      <c r="N129" s="4"/>
    </row>
    <row r="130" spans="1:14">
      <c r="A130" s="4"/>
      <c r="B130" s="4"/>
      <c r="C130" s="4"/>
      <c r="D130" s="4"/>
      <c r="E130" s="4"/>
      <c r="F130" s="4"/>
      <c r="G130" s="4"/>
      <c r="H130" s="4"/>
      <c r="I130" s="28"/>
      <c r="J130" s="4"/>
      <c r="K130" s="4"/>
      <c r="L130" s="4"/>
      <c r="M130" s="4"/>
      <c r="N130" s="4"/>
    </row>
    <row r="131" spans="1:14">
      <c r="A131" s="4"/>
      <c r="B131" s="4"/>
      <c r="C131" s="4"/>
      <c r="D131" s="4"/>
      <c r="E131" s="4"/>
      <c r="F131" s="4"/>
      <c r="G131" s="4"/>
      <c r="H131" s="4"/>
      <c r="I131" s="28"/>
      <c r="J131" s="4"/>
      <c r="K131" s="4"/>
      <c r="L131" s="4"/>
      <c r="M131" s="4"/>
      <c r="N131" s="4"/>
    </row>
    <row r="132" spans="1:14">
      <c r="A132" s="4"/>
      <c r="B132" s="4"/>
      <c r="C132" s="4"/>
      <c r="D132" s="4"/>
      <c r="E132" s="4"/>
      <c r="F132" s="4"/>
      <c r="G132" s="4"/>
      <c r="H132" s="4"/>
      <c r="I132" s="28"/>
      <c r="J132" s="4"/>
      <c r="K132" s="4"/>
      <c r="L132" s="4"/>
      <c r="M132" s="4"/>
      <c r="N132" s="4"/>
    </row>
    <row r="133" spans="1:14">
      <c r="A133" s="4"/>
      <c r="B133" s="4"/>
      <c r="C133" s="4"/>
      <c r="D133" s="4"/>
      <c r="E133" s="4"/>
      <c r="F133" s="4"/>
      <c r="G133" s="4"/>
      <c r="H133" s="4"/>
      <c r="I133" s="28"/>
      <c r="J133" s="4"/>
      <c r="K133" s="4"/>
      <c r="L133" s="4"/>
      <c r="M133" s="4"/>
      <c r="N133" s="4"/>
    </row>
    <row r="134" spans="1:14">
      <c r="A134" s="4"/>
      <c r="B134" s="4"/>
      <c r="C134" s="4"/>
      <c r="D134" s="4"/>
      <c r="E134" s="4"/>
      <c r="F134" s="4"/>
      <c r="G134" s="4"/>
      <c r="H134" s="4"/>
      <c r="I134" s="28"/>
      <c r="J134" s="4"/>
      <c r="K134" s="4"/>
      <c r="L134" s="4"/>
      <c r="M134" s="4"/>
      <c r="N134" s="4"/>
    </row>
    <row r="135" spans="1:14">
      <c r="A135" s="4"/>
      <c r="B135" s="4"/>
      <c r="C135" s="4"/>
      <c r="D135" s="4"/>
      <c r="E135" s="4"/>
      <c r="F135" s="4"/>
      <c r="G135" s="4"/>
      <c r="H135" s="4"/>
      <c r="I135" s="28"/>
      <c r="J135" s="4"/>
      <c r="K135" s="4"/>
      <c r="L135" s="4"/>
      <c r="M135" s="4"/>
      <c r="N135" s="4"/>
    </row>
    <row r="136" spans="1:14">
      <c r="A136" s="4"/>
      <c r="B136" s="4"/>
      <c r="C136" s="4"/>
      <c r="D136" s="4"/>
      <c r="E136" s="4"/>
      <c r="F136" s="4"/>
      <c r="G136" s="4"/>
      <c r="H136" s="4"/>
      <c r="I136" s="28"/>
      <c r="J136" s="4"/>
      <c r="K136" s="4"/>
      <c r="L136" s="4"/>
      <c r="M136" s="4"/>
      <c r="N136" s="4"/>
    </row>
    <row r="137" spans="1:14">
      <c r="A137" s="4"/>
      <c r="B137" s="4"/>
      <c r="C137" s="4"/>
      <c r="D137" s="4"/>
      <c r="E137" s="4"/>
      <c r="F137" s="4"/>
      <c r="G137" s="4"/>
      <c r="H137" s="4"/>
      <c r="I137" s="28"/>
      <c r="J137" s="4"/>
      <c r="K137" s="4"/>
      <c r="L137" s="4"/>
      <c r="M137" s="4"/>
      <c r="N137" s="4"/>
    </row>
    <row r="138" spans="1:14">
      <c r="A138" s="4"/>
      <c r="B138" s="4"/>
      <c r="C138" s="4"/>
      <c r="D138" s="4"/>
      <c r="E138" s="4"/>
      <c r="F138" s="4"/>
      <c r="G138" s="4"/>
      <c r="H138" s="4"/>
      <c r="I138" s="28"/>
      <c r="J138" s="4"/>
      <c r="K138" s="4"/>
      <c r="L138" s="4"/>
      <c r="M138" s="4"/>
      <c r="N138" s="4"/>
    </row>
    <row r="139" spans="1:14">
      <c r="A139" s="4"/>
      <c r="B139" s="4"/>
      <c r="C139" s="4"/>
      <c r="D139" s="4"/>
      <c r="E139" s="4"/>
      <c r="F139" s="4"/>
      <c r="G139" s="4"/>
      <c r="H139" s="4"/>
      <c r="I139" s="28"/>
      <c r="J139" s="4"/>
      <c r="K139" s="4"/>
      <c r="L139" s="4"/>
      <c r="M139" s="4"/>
      <c r="N139" s="4"/>
    </row>
    <row r="140" spans="1:14">
      <c r="A140" s="4"/>
      <c r="B140" s="4"/>
      <c r="C140" s="4"/>
      <c r="D140" s="4"/>
      <c r="E140" s="4"/>
      <c r="F140" s="4"/>
      <c r="G140" s="4"/>
      <c r="H140" s="4"/>
      <c r="I140" s="28"/>
      <c r="J140" s="4"/>
      <c r="K140" s="4"/>
      <c r="L140" s="4"/>
      <c r="M140" s="4"/>
      <c r="N140" s="4"/>
    </row>
    <row r="141" spans="1:14">
      <c r="A141" s="4"/>
      <c r="B141" s="4"/>
      <c r="C141" s="4"/>
      <c r="D141" s="4"/>
      <c r="E141" s="4"/>
      <c r="F141" s="4"/>
      <c r="G141" s="4"/>
      <c r="H141" s="4"/>
      <c r="I141" s="28"/>
      <c r="J141" s="4"/>
      <c r="K141" s="4"/>
      <c r="L141" s="4"/>
      <c r="M141" s="4"/>
      <c r="N141" s="4"/>
    </row>
    <row r="142" spans="1:14">
      <c r="A142" s="4"/>
      <c r="B142" s="4"/>
      <c r="C142" s="4"/>
      <c r="D142" s="4"/>
      <c r="E142" s="4"/>
      <c r="F142" s="4"/>
      <c r="G142" s="4"/>
      <c r="H142" s="4"/>
      <c r="I142" s="28"/>
      <c r="J142" s="4"/>
      <c r="K142" s="4"/>
      <c r="L142" s="4"/>
      <c r="M142" s="4"/>
      <c r="N142" s="4"/>
    </row>
    <row r="143" spans="1:14">
      <c r="A143" s="4"/>
      <c r="B143" s="4"/>
      <c r="C143" s="4"/>
      <c r="D143" s="4"/>
      <c r="E143" s="4"/>
      <c r="F143" s="4"/>
      <c r="G143" s="4"/>
      <c r="H143" s="4"/>
      <c r="I143" s="28"/>
      <c r="J143" s="4"/>
      <c r="K143" s="4"/>
      <c r="L143" s="4"/>
      <c r="M143" s="4"/>
      <c r="N143" s="4"/>
    </row>
    <row r="144" spans="1:14">
      <c r="A144" s="4"/>
      <c r="B144" s="4"/>
      <c r="C144" s="4"/>
      <c r="D144" s="4"/>
      <c r="E144" s="4"/>
      <c r="F144" s="4"/>
      <c r="G144" s="4"/>
      <c r="H144" s="4"/>
      <c r="I144" s="28"/>
      <c r="J144" s="4"/>
      <c r="K144" s="4"/>
      <c r="L144" s="4"/>
      <c r="M144" s="4"/>
      <c r="N144" s="4"/>
    </row>
    <row r="145" spans="1:14">
      <c r="A145" s="4"/>
      <c r="B145" s="4"/>
      <c r="C145" s="4"/>
      <c r="D145" s="4"/>
      <c r="E145" s="4"/>
      <c r="F145" s="4"/>
      <c r="G145" s="4"/>
      <c r="H145" s="4"/>
      <c r="I145" s="28"/>
      <c r="J145" s="4"/>
      <c r="K145" s="4"/>
      <c r="L145" s="4"/>
      <c r="M145" s="4"/>
      <c r="N145" s="4"/>
    </row>
    <row r="146" spans="1:14">
      <c r="A146" s="4"/>
      <c r="B146" s="4"/>
      <c r="C146" s="4"/>
      <c r="D146" s="4"/>
      <c r="E146" s="4"/>
      <c r="F146" s="4"/>
      <c r="G146" s="4"/>
      <c r="H146" s="4"/>
      <c r="I146" s="28"/>
      <c r="J146" s="4"/>
      <c r="K146" s="4"/>
      <c r="L146" s="4"/>
      <c r="M146" s="4"/>
      <c r="N146" s="4"/>
    </row>
    <row r="147" spans="1:14">
      <c r="A147" s="4"/>
      <c r="B147" s="4"/>
      <c r="C147" s="4"/>
      <c r="D147" s="4"/>
      <c r="E147" s="4"/>
      <c r="F147" s="4"/>
      <c r="G147" s="4"/>
      <c r="H147" s="4"/>
      <c r="I147" s="28"/>
      <c r="J147" s="4"/>
      <c r="K147" s="4"/>
      <c r="L147" s="4"/>
      <c r="M147" s="4"/>
      <c r="N147" s="4"/>
    </row>
    <row r="148" spans="1:14">
      <c r="A148" s="4"/>
      <c r="B148" s="4"/>
      <c r="C148" s="4"/>
      <c r="D148" s="4"/>
      <c r="E148" s="4"/>
      <c r="F148" s="4"/>
      <c r="G148" s="4"/>
      <c r="H148" s="4"/>
      <c r="I148" s="28"/>
      <c r="J148" s="4"/>
      <c r="K148" s="4"/>
      <c r="L148" s="4"/>
      <c r="M148" s="4"/>
      <c r="N148" s="4"/>
    </row>
    <row r="149" spans="1:14">
      <c r="A149" s="4"/>
      <c r="B149" s="4"/>
      <c r="C149" s="4"/>
      <c r="D149" s="4"/>
      <c r="E149" s="4"/>
      <c r="F149" s="4"/>
      <c r="G149" s="4"/>
      <c r="H149" s="4"/>
      <c r="I149" s="28"/>
      <c r="J149" s="4"/>
      <c r="K149" s="4"/>
      <c r="L149" s="4"/>
      <c r="M149" s="4"/>
      <c r="N149" s="4"/>
    </row>
    <row r="150" spans="1:14">
      <c r="A150" s="4"/>
      <c r="B150" s="4"/>
      <c r="C150" s="4"/>
      <c r="D150" s="4"/>
      <c r="E150" s="4"/>
      <c r="F150" s="4"/>
      <c r="G150" s="4"/>
      <c r="H150" s="4"/>
      <c r="I150" s="28"/>
      <c r="J150" s="4"/>
      <c r="K150" s="4"/>
      <c r="L150" s="4"/>
      <c r="M150" s="4"/>
      <c r="N150" s="4"/>
    </row>
    <row r="151" spans="1:14">
      <c r="A151" s="4"/>
      <c r="B151" s="4"/>
      <c r="C151" s="4"/>
      <c r="D151" s="4"/>
      <c r="E151" s="4"/>
      <c r="F151" s="4"/>
      <c r="G151" s="4"/>
      <c r="H151" s="4"/>
      <c r="I151" s="28"/>
      <c r="J151" s="4"/>
      <c r="K151" s="4"/>
      <c r="L151" s="4"/>
      <c r="M151" s="4"/>
      <c r="N151" s="4"/>
    </row>
    <row r="152" spans="1:14">
      <c r="A152" s="4"/>
      <c r="B152" s="4"/>
      <c r="C152" s="4"/>
      <c r="D152" s="4"/>
      <c r="E152" s="4"/>
      <c r="F152" s="4"/>
      <c r="G152" s="4"/>
      <c r="H152" s="4"/>
      <c r="I152" s="28"/>
      <c r="J152" s="4"/>
      <c r="K152" s="4"/>
      <c r="L152" s="4"/>
      <c r="M152" s="4"/>
      <c r="N152" s="4"/>
    </row>
    <row r="153" spans="1:14">
      <c r="A153" s="4"/>
      <c r="B153" s="4"/>
      <c r="C153" s="4"/>
      <c r="D153" s="4"/>
      <c r="E153" s="4"/>
      <c r="F153" s="4"/>
      <c r="G153" s="4"/>
      <c r="H153" s="4"/>
      <c r="I153" s="28"/>
      <c r="J153" s="4"/>
      <c r="K153" s="4"/>
      <c r="L153" s="4"/>
      <c r="M153" s="4"/>
      <c r="N153" s="4"/>
    </row>
    <row r="154" spans="1:14">
      <c r="A154" s="4"/>
      <c r="B154" s="4"/>
      <c r="C154" s="4"/>
      <c r="D154" s="4"/>
      <c r="E154" s="4"/>
      <c r="F154" s="4"/>
      <c r="G154" s="4"/>
      <c r="H154" s="4"/>
      <c r="I154" s="28"/>
      <c r="J154" s="4"/>
      <c r="K154" s="4"/>
      <c r="L154" s="4"/>
      <c r="M154" s="4"/>
      <c r="N154" s="4"/>
    </row>
    <row r="155" spans="1:14">
      <c r="A155" s="4"/>
      <c r="B155" s="4"/>
      <c r="C155" s="4"/>
      <c r="D155" s="4"/>
      <c r="E155" s="4"/>
      <c r="F155" s="4"/>
      <c r="G155" s="4"/>
      <c r="H155" s="4"/>
      <c r="I155" s="28"/>
      <c r="J155" s="4"/>
      <c r="K155" s="4"/>
      <c r="L155" s="4"/>
      <c r="M155" s="4"/>
      <c r="N155" s="4"/>
    </row>
    <row r="156" spans="1:14">
      <c r="A156" s="4"/>
      <c r="B156" s="4"/>
      <c r="C156" s="4"/>
      <c r="D156" s="4"/>
      <c r="E156" s="4"/>
      <c r="F156" s="4"/>
      <c r="G156" s="4"/>
      <c r="H156" s="4"/>
      <c r="I156" s="28"/>
      <c r="J156" s="4"/>
      <c r="K156" s="4"/>
      <c r="L156" s="4"/>
      <c r="M156" s="4"/>
      <c r="N156" s="4"/>
    </row>
    <row r="157" spans="1:14">
      <c r="A157" s="4"/>
      <c r="B157" s="4"/>
      <c r="C157" s="4"/>
      <c r="D157" s="4"/>
      <c r="E157" s="4"/>
      <c r="F157" s="4"/>
      <c r="G157" s="4"/>
      <c r="H157" s="4"/>
      <c r="I157" s="28"/>
      <c r="J157" s="4"/>
      <c r="K157" s="4"/>
      <c r="L157" s="4"/>
      <c r="M157" s="4"/>
      <c r="N157" s="4"/>
    </row>
    <row r="158" spans="1:14">
      <c r="A158" s="4"/>
      <c r="B158" s="4"/>
      <c r="C158" s="4"/>
      <c r="D158" s="4"/>
      <c r="E158" s="4"/>
      <c r="F158" s="4"/>
      <c r="G158" s="4"/>
      <c r="H158" s="4"/>
      <c r="I158" s="28"/>
      <c r="J158" s="4"/>
      <c r="K158" s="4"/>
      <c r="L158" s="4"/>
      <c r="M158" s="4"/>
      <c r="N158" s="4"/>
    </row>
    <row r="159" spans="1:14">
      <c r="A159" s="4"/>
      <c r="B159" s="4"/>
      <c r="C159" s="4"/>
      <c r="D159" s="4"/>
      <c r="E159" s="4"/>
      <c r="F159" s="4"/>
      <c r="G159" s="4"/>
      <c r="H159" s="4"/>
      <c r="I159" s="28"/>
      <c r="J159" s="4"/>
      <c r="K159" s="4"/>
      <c r="L159" s="4"/>
      <c r="M159" s="4"/>
      <c r="N159" s="4"/>
    </row>
    <row r="160" spans="1:14">
      <c r="A160" s="4"/>
      <c r="B160" s="4"/>
      <c r="C160" s="4"/>
      <c r="D160" s="4"/>
      <c r="E160" s="4"/>
      <c r="F160" s="4"/>
      <c r="G160" s="4"/>
      <c r="H160" s="4"/>
      <c r="I160" s="28"/>
      <c r="J160" s="4"/>
      <c r="K160" s="4"/>
      <c r="L160" s="4"/>
      <c r="M160" s="4"/>
      <c r="N160" s="4"/>
    </row>
    <row r="161" spans="1:14">
      <c r="A161" s="4"/>
      <c r="B161" s="4"/>
      <c r="C161" s="4"/>
      <c r="D161" s="4"/>
      <c r="E161" s="4"/>
      <c r="F161" s="4"/>
      <c r="G161" s="4"/>
      <c r="H161" s="4"/>
      <c r="I161" s="28"/>
      <c r="J161" s="4"/>
      <c r="K161" s="4"/>
      <c r="L161" s="4"/>
      <c r="M161" s="4"/>
      <c r="N161" s="4"/>
    </row>
    <row r="162" spans="1:14">
      <c r="A162" s="4"/>
      <c r="B162" s="4"/>
      <c r="C162" s="4"/>
      <c r="D162" s="4"/>
      <c r="E162" s="4"/>
      <c r="F162" s="4"/>
      <c r="G162" s="4"/>
      <c r="H162" s="4"/>
      <c r="I162" s="28"/>
      <c r="J162" s="4"/>
      <c r="K162" s="4"/>
      <c r="L162" s="4"/>
      <c r="M162" s="4"/>
      <c r="N162" s="4"/>
    </row>
    <row r="163" spans="1:14">
      <c r="A163" s="4"/>
      <c r="B163" s="4"/>
      <c r="C163" s="4"/>
      <c r="D163" s="4"/>
      <c r="E163" s="4"/>
      <c r="F163" s="4"/>
      <c r="G163" s="4"/>
      <c r="H163" s="4"/>
      <c r="I163" s="28"/>
      <c r="J163" s="4"/>
      <c r="K163" s="4"/>
      <c r="L163" s="4"/>
      <c r="M163" s="4"/>
      <c r="N163" s="4"/>
    </row>
    <row r="164" spans="1:14">
      <c r="A164" s="4"/>
      <c r="B164" s="4"/>
      <c r="C164" s="4"/>
      <c r="D164" s="4"/>
      <c r="E164" s="4"/>
      <c r="F164" s="4"/>
      <c r="G164" s="4"/>
      <c r="H164" s="4"/>
      <c r="I164" s="28"/>
      <c r="J164" s="4"/>
      <c r="K164" s="4"/>
      <c r="L164" s="4"/>
      <c r="M164" s="4"/>
      <c r="N164" s="4"/>
    </row>
    <row r="165" spans="1:14">
      <c r="A165" s="4"/>
      <c r="B165" s="4"/>
      <c r="C165" s="4"/>
      <c r="D165" s="4"/>
      <c r="E165" s="4"/>
      <c r="F165" s="4"/>
      <c r="G165" s="4"/>
      <c r="H165" s="4"/>
      <c r="I165" s="28"/>
      <c r="J165" s="4"/>
      <c r="K165" s="4"/>
      <c r="L165" s="4"/>
      <c r="M165" s="4"/>
      <c r="N165" s="4"/>
    </row>
    <row r="166" spans="1:14">
      <c r="A166" s="4"/>
      <c r="B166" s="4"/>
      <c r="C166" s="4"/>
      <c r="D166" s="4"/>
      <c r="E166" s="4"/>
      <c r="F166" s="4"/>
      <c r="G166" s="4"/>
      <c r="H166" s="4"/>
      <c r="I166" s="28"/>
      <c r="J166" s="4"/>
      <c r="K166" s="4"/>
      <c r="L166" s="4"/>
      <c r="M166" s="4"/>
      <c r="N166" s="4"/>
    </row>
    <row r="167" spans="1:14">
      <c r="A167" s="4"/>
      <c r="B167" s="4"/>
      <c r="C167" s="4"/>
      <c r="D167" s="4"/>
      <c r="E167" s="4"/>
      <c r="F167" s="4"/>
      <c r="G167" s="4"/>
      <c r="H167" s="4"/>
      <c r="I167" s="28"/>
      <c r="J167" s="4"/>
      <c r="K167" s="4"/>
      <c r="L167" s="4"/>
      <c r="M167" s="4"/>
      <c r="N167" s="4"/>
    </row>
    <row r="168" spans="1:14">
      <c r="A168" s="4"/>
      <c r="B168" s="4"/>
      <c r="C168" s="4"/>
      <c r="D168" s="4"/>
      <c r="E168" s="4"/>
      <c r="F168" s="4"/>
      <c r="G168" s="4"/>
      <c r="H168" s="4"/>
      <c r="I168" s="28"/>
      <c r="J168" s="4"/>
      <c r="K168" s="4"/>
      <c r="L168" s="4"/>
      <c r="M168" s="4"/>
      <c r="N168" s="4"/>
    </row>
    <row r="169" spans="1:14">
      <c r="A169" s="4"/>
      <c r="B169" s="4"/>
      <c r="C169" s="4"/>
      <c r="D169" s="4"/>
      <c r="E169" s="4"/>
      <c r="F169" s="4"/>
      <c r="G169" s="4"/>
      <c r="H169" s="4"/>
      <c r="I169" s="28"/>
      <c r="J169" s="4"/>
      <c r="K169" s="4"/>
      <c r="L169" s="4"/>
      <c r="M169" s="4"/>
      <c r="N169" s="4"/>
    </row>
    <row r="170" spans="1:14">
      <c r="A170" s="4"/>
      <c r="B170" s="4"/>
      <c r="C170" s="4"/>
      <c r="D170" s="4"/>
      <c r="E170" s="4"/>
      <c r="F170" s="4"/>
      <c r="G170" s="4"/>
      <c r="H170" s="4"/>
      <c r="I170" s="28"/>
      <c r="J170" s="4"/>
      <c r="K170" s="4"/>
      <c r="L170" s="4"/>
      <c r="M170" s="4"/>
      <c r="N170" s="4"/>
    </row>
    <row r="171" spans="1:14">
      <c r="A171" s="4"/>
      <c r="B171" s="4"/>
      <c r="C171" s="4"/>
      <c r="D171" s="4"/>
      <c r="E171" s="4"/>
      <c r="F171" s="4"/>
      <c r="G171" s="4"/>
      <c r="H171" s="4"/>
      <c r="I171" s="28"/>
      <c r="J171" s="4"/>
      <c r="K171" s="4"/>
      <c r="L171" s="4"/>
      <c r="M171" s="4"/>
      <c r="N171" s="4"/>
    </row>
    <row r="172" spans="1:14">
      <c r="A172" s="4"/>
      <c r="B172" s="4"/>
      <c r="C172" s="4"/>
      <c r="D172" s="4"/>
      <c r="E172" s="4"/>
      <c r="F172" s="4"/>
      <c r="G172" s="4"/>
      <c r="H172" s="4"/>
      <c r="I172" s="28"/>
      <c r="J172" s="4"/>
      <c r="K172" s="4"/>
      <c r="L172" s="4"/>
      <c r="M172" s="4"/>
      <c r="N172" s="4"/>
    </row>
    <row r="173" spans="1:14">
      <c r="A173" s="4"/>
      <c r="B173" s="4"/>
      <c r="C173" s="4"/>
      <c r="D173" s="4"/>
      <c r="E173" s="4"/>
      <c r="F173" s="4"/>
      <c r="G173" s="4"/>
      <c r="H173" s="4"/>
      <c r="I173" s="28"/>
      <c r="J173" s="4"/>
      <c r="K173" s="4"/>
      <c r="L173" s="4"/>
      <c r="M173" s="4"/>
      <c r="N173" s="4"/>
    </row>
    <row r="174" spans="1:14">
      <c r="A174" s="4"/>
      <c r="B174" s="4"/>
      <c r="C174" s="4"/>
      <c r="D174" s="4"/>
      <c r="E174" s="4"/>
      <c r="F174" s="4"/>
      <c r="G174" s="4"/>
      <c r="H174" s="4"/>
      <c r="I174" s="28"/>
      <c r="J174" s="4"/>
      <c r="K174" s="4"/>
      <c r="L174" s="4"/>
      <c r="M174" s="4"/>
      <c r="N174" s="4"/>
    </row>
    <row r="175" spans="1:14">
      <c r="A175" s="4"/>
      <c r="B175" s="4"/>
      <c r="C175" s="4"/>
      <c r="D175" s="4"/>
      <c r="E175" s="4"/>
      <c r="F175" s="4"/>
      <c r="G175" s="4"/>
      <c r="H175" s="4"/>
      <c r="I175" s="28"/>
      <c r="J175" s="4"/>
      <c r="K175" s="4"/>
      <c r="L175" s="4"/>
      <c r="M175" s="4"/>
      <c r="N175" s="4"/>
    </row>
    <row r="176" spans="1:14">
      <c r="A176" s="4"/>
      <c r="B176" s="4"/>
      <c r="C176" s="4"/>
      <c r="D176" s="4"/>
      <c r="E176" s="4"/>
      <c r="F176" s="4"/>
      <c r="G176" s="4"/>
      <c r="H176" s="4"/>
      <c r="I176" s="28"/>
      <c r="J176" s="4"/>
      <c r="K176" s="4"/>
      <c r="L176" s="4"/>
      <c r="M176" s="4"/>
      <c r="N176" s="4"/>
    </row>
    <row r="177" spans="1:14">
      <c r="A177" s="4"/>
      <c r="B177" s="4"/>
      <c r="C177" s="4"/>
      <c r="D177" s="4"/>
      <c r="E177" s="4"/>
      <c r="F177" s="4"/>
      <c r="G177" s="4"/>
      <c r="H177" s="4"/>
      <c r="I177" s="28"/>
      <c r="J177" s="4"/>
      <c r="K177" s="4"/>
      <c r="L177" s="4"/>
      <c r="M177" s="4"/>
      <c r="N177" s="4"/>
    </row>
    <row r="178" spans="1:14">
      <c r="A178" s="4"/>
      <c r="B178" s="4"/>
      <c r="C178" s="4"/>
      <c r="D178" s="4"/>
      <c r="E178" s="4"/>
      <c r="F178" s="4"/>
      <c r="G178" s="4"/>
      <c r="H178" s="4"/>
      <c r="I178" s="28"/>
      <c r="J178" s="4"/>
      <c r="K178" s="4"/>
      <c r="L178" s="4"/>
      <c r="M178" s="4"/>
      <c r="N178" s="4"/>
    </row>
    <row r="179" spans="1:14">
      <c r="A179" s="4"/>
      <c r="B179" s="4"/>
      <c r="C179" s="4"/>
      <c r="D179" s="4"/>
      <c r="E179" s="4"/>
      <c r="F179" s="4"/>
      <c r="G179" s="4"/>
      <c r="H179" s="4"/>
      <c r="I179" s="28"/>
      <c r="J179" s="4"/>
      <c r="K179" s="4"/>
      <c r="L179" s="4"/>
      <c r="M179" s="4"/>
      <c r="N179" s="4"/>
    </row>
    <row r="180" spans="1:14">
      <c r="A180" s="4"/>
      <c r="B180" s="4"/>
      <c r="C180" s="4"/>
      <c r="D180" s="4"/>
      <c r="E180" s="4"/>
      <c r="F180" s="4"/>
      <c r="G180" s="4"/>
      <c r="H180" s="4"/>
      <c r="I180" s="28"/>
      <c r="J180" s="4"/>
      <c r="K180" s="4"/>
      <c r="L180" s="4"/>
      <c r="M180" s="4"/>
      <c r="N180" s="4"/>
    </row>
    <row r="181" spans="1:14">
      <c r="A181" s="4"/>
      <c r="B181" s="4"/>
      <c r="C181" s="4"/>
      <c r="D181" s="4"/>
      <c r="E181" s="4"/>
      <c r="F181" s="4"/>
      <c r="G181" s="4"/>
      <c r="H181" s="4"/>
      <c r="I181" s="28"/>
      <c r="J181" s="4"/>
      <c r="K181" s="4"/>
      <c r="L181" s="4"/>
      <c r="M181" s="4"/>
      <c r="N181" s="4"/>
    </row>
    <row r="182" spans="1:14">
      <c r="A182" s="4"/>
      <c r="B182" s="4"/>
      <c r="C182" s="4"/>
      <c r="D182" s="4"/>
      <c r="E182" s="4"/>
      <c r="F182" s="4"/>
      <c r="G182" s="4"/>
      <c r="H182" s="4"/>
      <c r="I182" s="28"/>
      <c r="J182" s="4"/>
      <c r="K182" s="4"/>
      <c r="L182" s="4"/>
      <c r="M182" s="4"/>
      <c r="N182" s="4"/>
    </row>
    <row r="183" spans="1:14">
      <c r="A183" s="4"/>
      <c r="B183" s="4"/>
      <c r="C183" s="4"/>
      <c r="D183" s="4"/>
      <c r="E183" s="4"/>
      <c r="F183" s="4"/>
      <c r="G183" s="4"/>
      <c r="H183" s="4"/>
      <c r="I183" s="28"/>
      <c r="J183" s="4"/>
      <c r="K183" s="4"/>
      <c r="L183" s="4"/>
      <c r="M183" s="4"/>
      <c r="N183" s="4"/>
    </row>
    <row r="184" spans="1:14">
      <c r="A184" s="4"/>
      <c r="B184" s="4"/>
      <c r="C184" s="4"/>
      <c r="D184" s="4"/>
      <c r="E184" s="4"/>
      <c r="F184" s="4"/>
      <c r="G184" s="4"/>
      <c r="H184" s="4"/>
      <c r="I184" s="28"/>
      <c r="J184" s="4"/>
      <c r="K184" s="4"/>
      <c r="L184" s="4"/>
      <c r="M184" s="4"/>
      <c r="N184" s="4"/>
    </row>
    <row r="185" spans="1:14">
      <c r="A185" s="4"/>
      <c r="B185" s="4"/>
      <c r="C185" s="4"/>
      <c r="D185" s="4"/>
      <c r="E185" s="4"/>
      <c r="F185" s="4"/>
      <c r="G185" s="4"/>
      <c r="H185" s="4"/>
      <c r="I185" s="28"/>
      <c r="J185" s="4"/>
      <c r="K185" s="4"/>
      <c r="L185" s="4"/>
      <c r="M185" s="4"/>
      <c r="N185" s="4"/>
    </row>
    <row r="186" spans="1:14">
      <c r="A186" s="4"/>
      <c r="B186" s="4"/>
      <c r="C186" s="4"/>
      <c r="D186" s="4"/>
      <c r="E186" s="4"/>
      <c r="F186" s="4"/>
      <c r="G186" s="4"/>
      <c r="H186" s="4"/>
      <c r="I186" s="28"/>
      <c r="J186" s="4"/>
      <c r="K186" s="4"/>
      <c r="L186" s="4"/>
      <c r="M186" s="4"/>
      <c r="N186" s="4"/>
    </row>
    <row r="187" spans="1:14">
      <c r="A187" s="4"/>
      <c r="B187" s="4"/>
      <c r="C187" s="4"/>
      <c r="D187" s="4"/>
      <c r="E187" s="4"/>
      <c r="F187" s="4"/>
      <c r="G187" s="4"/>
      <c r="H187" s="4"/>
      <c r="I187" s="28"/>
      <c r="J187" s="4"/>
      <c r="K187" s="4"/>
      <c r="L187" s="4"/>
      <c r="M187" s="4"/>
      <c r="N187" s="4"/>
    </row>
    <row r="188" spans="1:14">
      <c r="A188" s="4"/>
      <c r="B188" s="4"/>
      <c r="C188" s="4"/>
      <c r="D188" s="4"/>
      <c r="E188" s="4"/>
      <c r="F188" s="4"/>
      <c r="G188" s="4"/>
      <c r="H188" s="4"/>
      <c r="I188" s="28"/>
      <c r="J188" s="4"/>
      <c r="K188" s="4"/>
      <c r="L188" s="4"/>
      <c r="M188" s="4"/>
      <c r="N188" s="4"/>
    </row>
    <row r="189" spans="1:14">
      <c r="A189" s="4"/>
      <c r="B189" s="4"/>
      <c r="C189" s="4"/>
      <c r="D189" s="4"/>
      <c r="E189" s="4"/>
      <c r="F189" s="4"/>
      <c r="G189" s="4"/>
      <c r="H189" s="4"/>
      <c r="I189" s="28"/>
      <c r="J189" s="4"/>
      <c r="K189" s="4"/>
      <c r="L189" s="4"/>
      <c r="M189" s="4"/>
      <c r="N189" s="4"/>
    </row>
    <row r="190" spans="1:14">
      <c r="A190" s="4"/>
      <c r="B190" s="4"/>
      <c r="C190" s="4"/>
      <c r="D190" s="4"/>
      <c r="E190" s="4"/>
      <c r="F190" s="4"/>
      <c r="G190" s="4"/>
      <c r="H190" s="4"/>
      <c r="I190" s="28"/>
      <c r="J190" s="4"/>
      <c r="K190" s="4"/>
      <c r="L190" s="4"/>
      <c r="M190" s="4"/>
      <c r="N190" s="4"/>
    </row>
    <row r="191" spans="1:14">
      <c r="A191" s="4"/>
      <c r="B191" s="4"/>
      <c r="C191" s="4"/>
      <c r="D191" s="4"/>
      <c r="E191" s="4"/>
      <c r="F191" s="4"/>
      <c r="G191" s="4"/>
      <c r="H191" s="4"/>
      <c r="I191" s="28"/>
      <c r="J191" s="4"/>
      <c r="K191" s="4"/>
      <c r="L191" s="4"/>
      <c r="M191" s="4"/>
      <c r="N191" s="4"/>
    </row>
    <row r="192" spans="1:14">
      <c r="A192" s="4"/>
      <c r="B192" s="4"/>
      <c r="C192" s="4"/>
      <c r="D192" s="4"/>
      <c r="E192" s="4"/>
      <c r="F192" s="4"/>
      <c r="G192" s="4"/>
      <c r="H192" s="4"/>
      <c r="I192" s="28"/>
      <c r="J192" s="4"/>
      <c r="K192" s="4"/>
      <c r="L192" s="4"/>
      <c r="M192" s="4"/>
      <c r="N192" s="4"/>
    </row>
    <row r="193" spans="1:14">
      <c r="A193" s="4"/>
      <c r="B193" s="4"/>
      <c r="C193" s="4"/>
      <c r="D193" s="4"/>
      <c r="E193" s="4"/>
      <c r="F193" s="4"/>
      <c r="G193" s="4"/>
      <c r="H193" s="4"/>
      <c r="I193" s="28"/>
      <c r="J193" s="4"/>
      <c r="K193" s="4"/>
      <c r="L193" s="4"/>
      <c r="M193" s="4"/>
      <c r="N193" s="4"/>
    </row>
    <row r="194" spans="1:14">
      <c r="A194" s="4"/>
      <c r="B194" s="4"/>
      <c r="C194" s="4"/>
      <c r="D194" s="4"/>
      <c r="E194" s="4"/>
      <c r="F194" s="4"/>
      <c r="G194" s="4"/>
      <c r="H194" s="4"/>
      <c r="I194" s="28"/>
      <c r="J194" s="4"/>
      <c r="K194" s="4"/>
      <c r="L194" s="4"/>
      <c r="M194" s="4"/>
      <c r="N194" s="4"/>
    </row>
    <row r="195" spans="1:14">
      <c r="A195" s="4"/>
      <c r="B195" s="4"/>
      <c r="C195" s="4"/>
      <c r="D195" s="4"/>
      <c r="E195" s="4"/>
      <c r="F195" s="4"/>
      <c r="G195" s="4"/>
      <c r="H195" s="4"/>
      <c r="I195" s="28"/>
      <c r="J195" s="4"/>
      <c r="K195" s="4"/>
      <c r="L195" s="4"/>
      <c r="M195" s="4"/>
      <c r="N195" s="4"/>
    </row>
    <row r="196" spans="1:14">
      <c r="A196" s="4"/>
      <c r="B196" s="4"/>
      <c r="C196" s="4"/>
      <c r="D196" s="4"/>
      <c r="E196" s="4"/>
      <c r="F196" s="4"/>
      <c r="G196" s="4"/>
      <c r="H196" s="4"/>
      <c r="I196" s="28"/>
      <c r="J196" s="4"/>
      <c r="K196" s="4"/>
      <c r="L196" s="4"/>
      <c r="M196" s="4"/>
      <c r="N196" s="4"/>
    </row>
    <row r="197" spans="1:14">
      <c r="A197" s="4"/>
      <c r="B197" s="4"/>
      <c r="C197" s="4"/>
      <c r="D197" s="4"/>
      <c r="E197" s="4"/>
      <c r="F197" s="4"/>
      <c r="G197" s="4"/>
      <c r="H197" s="4"/>
      <c r="I197" s="28"/>
      <c r="J197" s="4"/>
      <c r="K197" s="4"/>
      <c r="L197" s="4"/>
      <c r="M197" s="4"/>
      <c r="N197" s="4"/>
    </row>
    <row r="198" spans="1:14">
      <c r="A198" s="4"/>
      <c r="B198" s="4"/>
      <c r="C198" s="4"/>
      <c r="D198" s="4"/>
      <c r="E198" s="4"/>
      <c r="F198" s="4"/>
      <c r="G198" s="4"/>
      <c r="H198" s="4"/>
      <c r="I198" s="28"/>
      <c r="J198" s="4"/>
      <c r="K198" s="4"/>
      <c r="L198" s="4"/>
      <c r="M198" s="4"/>
      <c r="N198" s="4"/>
    </row>
    <row r="199" spans="1:14">
      <c r="A199" s="4"/>
      <c r="B199" s="4"/>
      <c r="C199" s="4"/>
      <c r="D199" s="4"/>
      <c r="E199" s="4"/>
      <c r="F199" s="4"/>
      <c r="G199" s="4"/>
      <c r="H199" s="4"/>
      <c r="I199" s="28"/>
      <c r="J199" s="4"/>
      <c r="K199" s="4"/>
      <c r="L199" s="4"/>
      <c r="M199" s="4"/>
      <c r="N199" s="4"/>
    </row>
    <row r="200" spans="1:14">
      <c r="A200" s="4"/>
      <c r="B200" s="4"/>
      <c r="C200" s="4"/>
      <c r="D200" s="4"/>
      <c r="E200" s="4"/>
      <c r="F200" s="4"/>
      <c r="G200" s="4"/>
      <c r="H200" s="4"/>
      <c r="I200" s="28"/>
      <c r="J200" s="4"/>
      <c r="K200" s="4"/>
      <c r="L200" s="4"/>
      <c r="M200" s="4"/>
      <c r="N200" s="4"/>
    </row>
    <row r="201" spans="1:14">
      <c r="A201" s="4"/>
      <c r="B201" s="4"/>
      <c r="C201" s="4"/>
      <c r="D201" s="4"/>
      <c r="E201" s="4"/>
      <c r="F201" s="4"/>
      <c r="G201" s="4"/>
      <c r="H201" s="4"/>
      <c r="I201" s="28"/>
      <c r="J201" s="4"/>
      <c r="K201" s="4"/>
      <c r="L201" s="4"/>
      <c r="M201" s="4"/>
      <c r="N201" s="4"/>
    </row>
    <row r="202" spans="1:14">
      <c r="A202" s="4"/>
      <c r="B202" s="4"/>
      <c r="C202" s="4"/>
      <c r="D202" s="4"/>
      <c r="E202" s="4"/>
      <c r="F202" s="4"/>
      <c r="G202" s="4"/>
      <c r="H202" s="4"/>
      <c r="I202" s="28"/>
      <c r="J202" s="4"/>
      <c r="K202" s="4"/>
      <c r="L202" s="4"/>
      <c r="M202" s="4"/>
      <c r="N202" s="4"/>
    </row>
    <row r="203" spans="1:14">
      <c r="A203" s="4"/>
      <c r="B203" s="4"/>
      <c r="C203" s="4"/>
      <c r="D203" s="4"/>
      <c r="E203" s="4"/>
      <c r="F203" s="4"/>
      <c r="G203" s="4"/>
      <c r="H203" s="4"/>
      <c r="I203" s="28"/>
      <c r="J203" s="4"/>
      <c r="K203" s="4"/>
      <c r="L203" s="4"/>
      <c r="M203" s="4"/>
      <c r="N203" s="4"/>
    </row>
    <row r="204" spans="1:14">
      <c r="A204" s="4"/>
      <c r="B204" s="4"/>
      <c r="C204" s="4"/>
      <c r="D204" s="4"/>
      <c r="E204" s="4"/>
      <c r="F204" s="4"/>
      <c r="G204" s="4"/>
      <c r="H204" s="4"/>
      <c r="I204" s="28"/>
      <c r="J204" s="4"/>
      <c r="K204" s="4"/>
      <c r="L204" s="4"/>
      <c r="M204" s="4"/>
      <c r="N204" s="4"/>
    </row>
    <row r="205" spans="1:14">
      <c r="A205" s="4"/>
      <c r="B205" s="4"/>
      <c r="C205" s="4"/>
      <c r="D205" s="4"/>
      <c r="E205" s="4"/>
      <c r="F205" s="4"/>
      <c r="G205" s="4"/>
      <c r="H205" s="4"/>
      <c r="I205" s="28"/>
      <c r="J205" s="4"/>
      <c r="K205" s="4"/>
      <c r="L205" s="4"/>
      <c r="M205" s="4"/>
      <c r="N205" s="4"/>
    </row>
    <row r="206" spans="1:14">
      <c r="A206" s="4"/>
      <c r="B206" s="4"/>
      <c r="C206" s="4"/>
      <c r="D206" s="4"/>
      <c r="E206" s="4"/>
      <c r="F206" s="4"/>
      <c r="G206" s="4"/>
      <c r="H206" s="4"/>
      <c r="I206" s="28"/>
      <c r="J206" s="4"/>
      <c r="K206" s="4"/>
      <c r="L206" s="4"/>
      <c r="M206" s="4"/>
      <c r="N206" s="4"/>
    </row>
    <row r="207" spans="1:14">
      <c r="A207" s="4"/>
      <c r="B207" s="4"/>
      <c r="C207" s="4"/>
      <c r="D207" s="4"/>
      <c r="E207" s="4"/>
      <c r="F207" s="4"/>
      <c r="G207" s="4"/>
      <c r="H207" s="4"/>
      <c r="I207" s="28"/>
      <c r="J207" s="4"/>
      <c r="K207" s="4"/>
      <c r="L207" s="4"/>
      <c r="M207" s="4"/>
      <c r="N207" s="4"/>
    </row>
    <row r="208" spans="1:14">
      <c r="A208" s="4"/>
      <c r="B208" s="4"/>
      <c r="C208" s="4"/>
      <c r="D208" s="4"/>
      <c r="E208" s="4"/>
      <c r="F208" s="4"/>
      <c r="G208" s="4"/>
      <c r="H208" s="4"/>
      <c r="I208" s="28"/>
      <c r="J208" s="4"/>
      <c r="K208" s="4"/>
      <c r="L208" s="4"/>
      <c r="M208" s="4"/>
      <c r="N208" s="4"/>
    </row>
    <row r="209" spans="1:14">
      <c r="A209" s="4"/>
      <c r="B209" s="4"/>
      <c r="C209" s="4"/>
      <c r="D209" s="4"/>
      <c r="E209" s="4"/>
      <c r="F209" s="4"/>
      <c r="G209" s="4"/>
      <c r="H209" s="4"/>
      <c r="I209" s="28"/>
      <c r="J209" s="4"/>
      <c r="K209" s="4"/>
      <c r="L209" s="4"/>
      <c r="M209" s="4"/>
      <c r="N209" s="4"/>
    </row>
    <row r="210" spans="1:14">
      <c r="A210" s="4"/>
      <c r="B210" s="4"/>
      <c r="C210" s="4"/>
      <c r="D210" s="4"/>
      <c r="E210" s="4"/>
      <c r="F210" s="4"/>
      <c r="G210" s="4"/>
      <c r="H210" s="4"/>
      <c r="I210" s="28"/>
      <c r="J210" s="4"/>
      <c r="K210" s="4"/>
      <c r="L210" s="4"/>
      <c r="M210" s="4"/>
      <c r="N210" s="4"/>
    </row>
    <row r="211" spans="1:14">
      <c r="A211" s="4"/>
      <c r="B211" s="4"/>
      <c r="C211" s="4"/>
      <c r="D211" s="4"/>
      <c r="E211" s="4"/>
      <c r="F211" s="4"/>
      <c r="G211" s="4"/>
      <c r="H211" s="4"/>
      <c r="I211" s="28"/>
      <c r="J211" s="4"/>
      <c r="K211" s="4"/>
      <c r="L211" s="4"/>
      <c r="M211" s="4"/>
      <c r="N211" s="4"/>
    </row>
    <row r="212" spans="1:14">
      <c r="A212" s="4"/>
      <c r="B212" s="4"/>
      <c r="C212" s="4"/>
      <c r="D212" s="4"/>
      <c r="E212" s="4"/>
      <c r="F212" s="4"/>
      <c r="G212" s="4"/>
      <c r="H212" s="4"/>
      <c r="I212" s="28"/>
      <c r="J212" s="4"/>
      <c r="K212" s="4"/>
      <c r="L212" s="4"/>
      <c r="M212" s="4"/>
      <c r="N212" s="4"/>
    </row>
    <row r="213" spans="1:14">
      <c r="A213" s="4"/>
      <c r="B213" s="4"/>
      <c r="C213" s="4"/>
      <c r="D213" s="4"/>
      <c r="E213" s="4"/>
      <c r="F213" s="4"/>
      <c r="G213" s="4"/>
      <c r="H213" s="4"/>
      <c r="I213" s="28"/>
      <c r="J213" s="4"/>
      <c r="K213" s="4"/>
      <c r="L213" s="4"/>
      <c r="M213" s="4"/>
      <c r="N213" s="4"/>
    </row>
    <row r="214" spans="1:14">
      <c r="A214" s="4"/>
      <c r="B214" s="4"/>
      <c r="C214" s="4"/>
      <c r="D214" s="4"/>
      <c r="E214" s="4"/>
      <c r="F214" s="4"/>
      <c r="G214" s="4"/>
      <c r="H214" s="4"/>
      <c r="I214" s="28"/>
      <c r="J214" s="4"/>
      <c r="K214" s="4"/>
      <c r="L214" s="4"/>
      <c r="M214" s="4"/>
      <c r="N214" s="4"/>
    </row>
    <row r="215" spans="1:14">
      <c r="A215" s="4"/>
      <c r="B215" s="4"/>
      <c r="C215" s="4"/>
      <c r="D215" s="4"/>
      <c r="E215" s="4"/>
      <c r="F215" s="4"/>
      <c r="G215" s="4"/>
      <c r="H215" s="4"/>
      <c r="I215" s="28"/>
      <c r="J215" s="4"/>
      <c r="K215" s="4"/>
      <c r="L215" s="4"/>
      <c r="M215" s="4"/>
      <c r="N215" s="4"/>
    </row>
    <row r="216" spans="1:14">
      <c r="A216" s="4"/>
      <c r="B216" s="4"/>
      <c r="C216" s="4"/>
      <c r="D216" s="4"/>
      <c r="E216" s="4"/>
      <c r="F216" s="4"/>
      <c r="G216" s="4"/>
      <c r="H216" s="4"/>
      <c r="I216" s="28"/>
      <c r="J216" s="4"/>
      <c r="K216" s="4"/>
      <c r="L216" s="4"/>
      <c r="M216" s="4"/>
      <c r="N216" s="4"/>
    </row>
    <row r="217" spans="1:14">
      <c r="A217" s="4"/>
      <c r="B217" s="4"/>
      <c r="C217" s="4"/>
      <c r="D217" s="4"/>
      <c r="E217" s="4"/>
      <c r="F217" s="4"/>
      <c r="G217" s="4"/>
      <c r="H217" s="4"/>
      <c r="I217" s="28"/>
      <c r="J217" s="4"/>
      <c r="K217" s="4"/>
      <c r="L217" s="4"/>
      <c r="M217" s="4"/>
      <c r="N217" s="4"/>
    </row>
    <row r="218" spans="1:14">
      <c r="A218" s="4"/>
      <c r="B218" s="4"/>
      <c r="C218" s="4"/>
      <c r="D218" s="4"/>
      <c r="E218" s="4"/>
      <c r="F218" s="4"/>
      <c r="G218" s="4"/>
      <c r="H218" s="4"/>
      <c r="I218" s="28"/>
      <c r="J218" s="4"/>
      <c r="K218" s="4"/>
      <c r="L218" s="4"/>
      <c r="M218" s="4"/>
      <c r="N218" s="4"/>
    </row>
    <row r="219" spans="1:14">
      <c r="A219" s="4"/>
      <c r="B219" s="4"/>
      <c r="C219" s="4"/>
      <c r="D219" s="4"/>
      <c r="E219" s="4"/>
      <c r="F219" s="4"/>
      <c r="G219" s="4"/>
      <c r="H219" s="4"/>
      <c r="I219" s="28"/>
      <c r="J219" s="4"/>
      <c r="K219" s="4"/>
      <c r="L219" s="4"/>
      <c r="M219" s="4"/>
      <c r="N219" s="4"/>
    </row>
    <row r="220" spans="1:14">
      <c r="A220" s="4"/>
      <c r="B220" s="4"/>
      <c r="C220" s="4"/>
      <c r="D220" s="4"/>
      <c r="E220" s="4"/>
      <c r="F220" s="4"/>
      <c r="G220" s="4"/>
      <c r="H220" s="4"/>
      <c r="I220" s="28"/>
      <c r="J220" s="4"/>
      <c r="K220" s="4"/>
      <c r="L220" s="4"/>
      <c r="M220" s="4"/>
      <c r="N220" s="4"/>
    </row>
    <row r="221" spans="1:14">
      <c r="A221" s="4"/>
      <c r="B221" s="4"/>
      <c r="C221" s="4"/>
      <c r="D221" s="4"/>
      <c r="E221" s="4"/>
      <c r="F221" s="4"/>
      <c r="G221" s="4"/>
      <c r="H221" s="4"/>
      <c r="I221" s="28"/>
      <c r="J221" s="4"/>
      <c r="K221" s="4"/>
      <c r="L221" s="4"/>
      <c r="M221" s="4"/>
      <c r="N221" s="4"/>
    </row>
    <row r="222" spans="1:14">
      <c r="A222" s="4"/>
      <c r="B222" s="4"/>
      <c r="C222" s="4"/>
      <c r="D222" s="4"/>
      <c r="E222" s="4"/>
      <c r="F222" s="4"/>
      <c r="G222" s="4"/>
      <c r="H222" s="4"/>
      <c r="I222" s="28"/>
      <c r="J222" s="4"/>
      <c r="K222" s="4"/>
      <c r="L222" s="4"/>
      <c r="M222" s="4"/>
      <c r="N222" s="4"/>
    </row>
    <row r="223" spans="1:14">
      <c r="A223" s="4"/>
      <c r="B223" s="4"/>
      <c r="C223" s="4"/>
      <c r="D223" s="4"/>
      <c r="E223" s="4"/>
      <c r="F223" s="4"/>
      <c r="G223" s="4"/>
      <c r="H223" s="4"/>
      <c r="I223" s="28"/>
      <c r="J223" s="4"/>
      <c r="K223" s="4"/>
      <c r="L223" s="4"/>
      <c r="M223" s="4"/>
      <c r="N223" s="4"/>
    </row>
    <row r="224" spans="1:14">
      <c r="A224" s="4"/>
      <c r="B224" s="4"/>
      <c r="C224" s="4"/>
      <c r="D224" s="4"/>
      <c r="E224" s="4"/>
      <c r="F224" s="4"/>
      <c r="G224" s="4"/>
      <c r="H224" s="4"/>
      <c r="I224" s="28"/>
      <c r="J224" s="4"/>
      <c r="K224" s="4"/>
      <c r="L224" s="4"/>
      <c r="M224" s="4"/>
      <c r="N224" s="4"/>
    </row>
    <row r="225" spans="1:14">
      <c r="A225" s="4"/>
      <c r="B225" s="4"/>
      <c r="C225" s="4"/>
      <c r="D225" s="4"/>
      <c r="E225" s="4"/>
      <c r="F225" s="4"/>
      <c r="G225" s="4"/>
      <c r="H225" s="4"/>
      <c r="I225" s="28"/>
      <c r="J225" s="4"/>
      <c r="K225" s="4"/>
      <c r="L225" s="4"/>
      <c r="M225" s="4"/>
      <c r="N225" s="4"/>
    </row>
    <row r="226" spans="1:14">
      <c r="A226" s="4"/>
      <c r="B226" s="4"/>
      <c r="C226" s="4"/>
      <c r="D226" s="4"/>
      <c r="E226" s="4"/>
      <c r="F226" s="4"/>
      <c r="G226" s="4"/>
      <c r="H226" s="4"/>
      <c r="I226" s="28"/>
      <c r="J226" s="4"/>
      <c r="K226" s="4"/>
      <c r="L226" s="4"/>
      <c r="M226" s="4"/>
      <c r="N226" s="4"/>
    </row>
    <row r="227" spans="1:14">
      <c r="A227" s="4"/>
      <c r="B227" s="4"/>
      <c r="C227" s="4"/>
      <c r="D227" s="4"/>
      <c r="E227" s="4"/>
      <c r="F227" s="4"/>
      <c r="G227" s="4"/>
      <c r="H227" s="4"/>
      <c r="I227" s="28"/>
      <c r="J227" s="4"/>
      <c r="K227" s="4"/>
      <c r="L227" s="4"/>
      <c r="M227" s="4"/>
      <c r="N227" s="4"/>
    </row>
    <row r="228" spans="1:14">
      <c r="A228" s="4"/>
      <c r="B228" s="4"/>
      <c r="C228" s="4"/>
      <c r="D228" s="4"/>
      <c r="E228" s="4"/>
      <c r="F228" s="4"/>
      <c r="G228" s="4"/>
      <c r="H228" s="4"/>
      <c r="I228" s="28"/>
      <c r="J228" s="4"/>
      <c r="K228" s="4"/>
      <c r="L228" s="4"/>
      <c r="M228" s="4"/>
      <c r="N228" s="4"/>
    </row>
    <row r="229" spans="1:14">
      <c r="A229" s="4"/>
      <c r="B229" s="4"/>
      <c r="C229" s="4"/>
      <c r="D229" s="4"/>
      <c r="E229" s="4"/>
      <c r="F229" s="4"/>
      <c r="G229" s="4"/>
      <c r="H229" s="4"/>
      <c r="I229" s="28"/>
      <c r="J229" s="4"/>
      <c r="K229" s="4"/>
      <c r="L229" s="4"/>
      <c r="M229" s="4"/>
      <c r="N229" s="4"/>
    </row>
    <row r="230" spans="1:14">
      <c r="A230" s="4"/>
      <c r="B230" s="4"/>
      <c r="C230" s="4"/>
      <c r="D230" s="4"/>
      <c r="E230" s="4"/>
      <c r="F230" s="4"/>
      <c r="G230" s="4"/>
      <c r="H230" s="4"/>
      <c r="I230" s="28"/>
      <c r="J230" s="4"/>
      <c r="K230" s="4"/>
      <c r="L230" s="4"/>
      <c r="M230" s="4"/>
      <c r="N230" s="4"/>
    </row>
    <row r="231" spans="1:14">
      <c r="A231" s="4"/>
      <c r="B231" s="4"/>
      <c r="C231" s="4"/>
      <c r="D231" s="4"/>
      <c r="E231" s="4"/>
      <c r="F231" s="4"/>
      <c r="G231" s="4"/>
      <c r="H231" s="4"/>
      <c r="I231" s="28"/>
      <c r="J231" s="4"/>
      <c r="K231" s="4"/>
      <c r="L231" s="4"/>
      <c r="M231" s="4"/>
      <c r="N231" s="4"/>
    </row>
    <row r="232" spans="1:14">
      <c r="A232" s="4"/>
      <c r="B232" s="4"/>
      <c r="C232" s="4"/>
      <c r="D232" s="4"/>
      <c r="E232" s="4"/>
      <c r="F232" s="4"/>
      <c r="G232" s="4"/>
      <c r="H232" s="4"/>
      <c r="I232" s="28"/>
      <c r="J232" s="4"/>
      <c r="K232" s="4"/>
      <c r="L232" s="4"/>
      <c r="M232" s="4"/>
      <c r="N232" s="4"/>
    </row>
    <row r="233" spans="1:14">
      <c r="A233" s="4"/>
      <c r="B233" s="4"/>
      <c r="C233" s="4"/>
      <c r="D233" s="4"/>
      <c r="E233" s="4"/>
      <c r="F233" s="4"/>
      <c r="G233" s="4"/>
      <c r="H233" s="4"/>
      <c r="I233" s="28"/>
      <c r="J233" s="4"/>
      <c r="K233" s="4"/>
      <c r="L233" s="4"/>
      <c r="M233" s="4"/>
      <c r="N233" s="4"/>
    </row>
    <row r="234" spans="1:14">
      <c r="A234" s="4"/>
      <c r="B234" s="4"/>
      <c r="C234" s="4"/>
      <c r="D234" s="4"/>
      <c r="E234" s="4"/>
      <c r="F234" s="4"/>
      <c r="G234" s="4"/>
      <c r="H234" s="4"/>
      <c r="I234" s="28"/>
      <c r="J234" s="4"/>
      <c r="K234" s="4"/>
      <c r="L234" s="4"/>
      <c r="M234" s="4"/>
      <c r="N234" s="4"/>
    </row>
    <row r="235" spans="1:14">
      <c r="A235" s="4"/>
      <c r="B235" s="4"/>
      <c r="C235" s="4"/>
      <c r="D235" s="4"/>
      <c r="E235" s="4"/>
      <c r="F235" s="4"/>
      <c r="G235" s="4"/>
      <c r="H235" s="4"/>
      <c r="I235" s="28"/>
      <c r="J235" s="4"/>
      <c r="K235" s="4"/>
      <c r="L235" s="4"/>
      <c r="M235" s="4"/>
      <c r="N235" s="4"/>
    </row>
    <row r="236" spans="1:14">
      <c r="A236" s="4"/>
      <c r="B236" s="4"/>
      <c r="C236" s="4"/>
      <c r="D236" s="4"/>
      <c r="E236" s="4"/>
      <c r="F236" s="4"/>
      <c r="G236" s="4"/>
      <c r="H236" s="4"/>
      <c r="I236" s="28"/>
      <c r="J236" s="4"/>
      <c r="K236" s="4"/>
      <c r="L236" s="4"/>
      <c r="M236" s="4"/>
      <c r="N236" s="4"/>
    </row>
    <row r="237" spans="1:14">
      <c r="A237" s="4"/>
      <c r="B237" s="4"/>
      <c r="C237" s="4"/>
      <c r="D237" s="4"/>
      <c r="E237" s="4"/>
      <c r="F237" s="4"/>
      <c r="G237" s="4"/>
      <c r="H237" s="4"/>
      <c r="I237" s="28"/>
      <c r="J237" s="4"/>
      <c r="K237" s="4"/>
      <c r="L237" s="4"/>
      <c r="M237" s="4"/>
      <c r="N237" s="4"/>
    </row>
    <row r="238" spans="1:14">
      <c r="A238" s="4"/>
      <c r="B238" s="4"/>
      <c r="C238" s="4"/>
      <c r="D238" s="4"/>
      <c r="E238" s="4"/>
      <c r="F238" s="4"/>
      <c r="G238" s="4"/>
      <c r="H238" s="4"/>
      <c r="I238" s="28"/>
      <c r="J238" s="4"/>
      <c r="K238" s="4"/>
      <c r="L238" s="4"/>
      <c r="M238" s="4"/>
      <c r="N238" s="4"/>
    </row>
    <row r="239" spans="1:14">
      <c r="A239" s="4"/>
      <c r="B239" s="4"/>
      <c r="C239" s="4"/>
      <c r="D239" s="4"/>
      <c r="E239" s="4"/>
      <c r="F239" s="4"/>
      <c r="G239" s="4"/>
      <c r="H239" s="4"/>
      <c r="I239" s="28"/>
      <c r="J239" s="4"/>
      <c r="K239" s="4"/>
      <c r="L239" s="4"/>
      <c r="M239" s="4"/>
      <c r="N239" s="4"/>
    </row>
    <row r="240" spans="1:14">
      <c r="A240" s="4"/>
      <c r="B240" s="4"/>
      <c r="C240" s="4"/>
      <c r="D240" s="4"/>
      <c r="E240" s="4"/>
      <c r="F240" s="4"/>
      <c r="G240" s="4"/>
      <c r="H240" s="4"/>
      <c r="I240" s="28"/>
      <c r="J240" s="4"/>
      <c r="K240" s="4"/>
      <c r="L240" s="4"/>
      <c r="M240" s="4"/>
      <c r="N240" s="4"/>
    </row>
    <row r="241" spans="1:14">
      <c r="A241" s="4"/>
      <c r="B241" s="4"/>
      <c r="C241" s="4"/>
      <c r="D241" s="4"/>
      <c r="E241" s="4"/>
      <c r="F241" s="4"/>
      <c r="G241" s="4"/>
      <c r="H241" s="4"/>
      <c r="I241" s="28"/>
      <c r="J241" s="4"/>
      <c r="K241" s="4"/>
      <c r="L241" s="4"/>
      <c r="M241" s="4"/>
      <c r="N241" s="4"/>
    </row>
    <row r="242" spans="1:14">
      <c r="A242" s="4"/>
      <c r="B242" s="4"/>
      <c r="C242" s="4"/>
      <c r="D242" s="4"/>
      <c r="E242" s="4"/>
      <c r="F242" s="4"/>
      <c r="G242" s="4"/>
      <c r="H242" s="4"/>
      <c r="I242" s="28"/>
      <c r="J242" s="4"/>
      <c r="K242" s="4"/>
      <c r="L242" s="4"/>
      <c r="M242" s="4"/>
      <c r="N242" s="4"/>
    </row>
    <row r="243" spans="1:14">
      <c r="A243" s="4"/>
      <c r="B243" s="4"/>
      <c r="C243" s="4"/>
      <c r="D243" s="4"/>
      <c r="E243" s="4"/>
      <c r="F243" s="4"/>
      <c r="G243" s="4"/>
      <c r="H243" s="4"/>
      <c r="I243" s="28"/>
      <c r="J243" s="4"/>
      <c r="K243" s="4"/>
      <c r="L243" s="4"/>
      <c r="M243" s="4"/>
      <c r="N243" s="4"/>
    </row>
    <row r="244" spans="1:14">
      <c r="A244" s="4"/>
      <c r="B244" s="4"/>
      <c r="C244" s="4"/>
      <c r="D244" s="4"/>
      <c r="E244" s="4"/>
      <c r="F244" s="4"/>
      <c r="G244" s="4"/>
      <c r="H244" s="4"/>
      <c r="I244" s="28"/>
      <c r="J244" s="4"/>
      <c r="K244" s="4"/>
      <c r="L244" s="4"/>
      <c r="M244" s="4"/>
      <c r="N244" s="4"/>
    </row>
    <row r="245" spans="1:14">
      <c r="A245" s="4"/>
      <c r="B245" s="4"/>
      <c r="C245" s="4"/>
      <c r="D245" s="4"/>
      <c r="E245" s="4"/>
      <c r="F245" s="4"/>
      <c r="G245" s="4"/>
      <c r="H245" s="4"/>
      <c r="I245" s="28"/>
      <c r="J245" s="4"/>
      <c r="K245" s="4"/>
      <c r="L245" s="4"/>
      <c r="M245" s="4"/>
      <c r="N245" s="4"/>
    </row>
    <row r="246" spans="1:14">
      <c r="A246" s="4"/>
      <c r="B246" s="4"/>
      <c r="C246" s="4"/>
      <c r="D246" s="4"/>
      <c r="E246" s="4"/>
      <c r="F246" s="4"/>
      <c r="G246" s="4"/>
      <c r="H246" s="4"/>
      <c r="I246" s="28"/>
      <c r="J246" s="4"/>
      <c r="K246" s="4"/>
      <c r="L246" s="4"/>
      <c r="M246" s="4"/>
      <c r="N246" s="4"/>
    </row>
    <row r="247" spans="1:14">
      <c r="A247" s="4"/>
      <c r="B247" s="4"/>
      <c r="C247" s="4"/>
      <c r="D247" s="4"/>
      <c r="E247" s="4"/>
      <c r="F247" s="4"/>
      <c r="G247" s="4"/>
      <c r="H247" s="4"/>
      <c r="I247" s="28"/>
      <c r="J247" s="4"/>
      <c r="K247" s="4"/>
      <c r="L247" s="4"/>
      <c r="M247" s="4"/>
      <c r="N247" s="4"/>
    </row>
    <row r="248" spans="1:14">
      <c r="A248" s="4"/>
      <c r="B248" s="4"/>
      <c r="C248" s="4"/>
      <c r="D248" s="4"/>
      <c r="E248" s="4"/>
      <c r="F248" s="4"/>
      <c r="G248" s="4"/>
      <c r="H248" s="4"/>
      <c r="I248" s="28"/>
      <c r="J248" s="4"/>
      <c r="K248" s="4"/>
      <c r="L248" s="4"/>
      <c r="M248" s="4"/>
      <c r="N248" s="4"/>
    </row>
    <row r="249" spans="1:14">
      <c r="A249" s="4"/>
      <c r="B249" s="4"/>
      <c r="C249" s="4"/>
      <c r="D249" s="4"/>
      <c r="E249" s="4"/>
      <c r="F249" s="4"/>
      <c r="G249" s="4"/>
      <c r="H249" s="4"/>
      <c r="I249" s="28"/>
      <c r="J249" s="4"/>
      <c r="K249" s="4"/>
      <c r="L249" s="4"/>
      <c r="M249" s="4"/>
      <c r="N249" s="4"/>
    </row>
    <row r="250" spans="1:14">
      <c r="A250" s="4"/>
      <c r="B250" s="4"/>
      <c r="C250" s="4"/>
      <c r="D250" s="4"/>
      <c r="E250" s="4"/>
      <c r="F250" s="4"/>
      <c r="G250" s="4"/>
      <c r="H250" s="4"/>
      <c r="I250" s="28"/>
      <c r="J250" s="4"/>
      <c r="K250" s="4"/>
      <c r="L250" s="4"/>
      <c r="M250" s="4"/>
      <c r="N250" s="4"/>
    </row>
    <row r="251" spans="1:14">
      <c r="A251" s="4"/>
      <c r="B251" s="4"/>
      <c r="C251" s="4"/>
      <c r="D251" s="4"/>
      <c r="E251" s="4"/>
      <c r="F251" s="4"/>
      <c r="G251" s="4"/>
      <c r="H251" s="4"/>
      <c r="I251" s="28"/>
      <c r="J251" s="4"/>
      <c r="K251" s="4"/>
      <c r="L251" s="4"/>
      <c r="M251" s="4"/>
      <c r="N251" s="4"/>
    </row>
    <row r="252" spans="1:14">
      <c r="A252" s="4"/>
      <c r="B252" s="4"/>
      <c r="C252" s="4"/>
      <c r="D252" s="4"/>
      <c r="E252" s="4"/>
      <c r="F252" s="4"/>
      <c r="G252" s="4"/>
      <c r="H252" s="4"/>
      <c r="I252" s="28"/>
      <c r="J252" s="4"/>
      <c r="K252" s="4"/>
      <c r="L252" s="4"/>
      <c r="M252" s="4"/>
      <c r="N252" s="4"/>
    </row>
    <row r="253" spans="1:14">
      <c r="A253" s="4"/>
      <c r="B253" s="4"/>
      <c r="C253" s="4"/>
      <c r="D253" s="4"/>
      <c r="E253" s="4"/>
      <c r="F253" s="4"/>
      <c r="G253" s="4"/>
      <c r="H253" s="4"/>
      <c r="I253" s="28"/>
      <c r="J253" s="4"/>
      <c r="K253" s="4"/>
      <c r="L253" s="4"/>
      <c r="M253" s="4"/>
      <c r="N253" s="4"/>
    </row>
    <row r="254" spans="1:14">
      <c r="A254" s="4"/>
      <c r="B254" s="4"/>
      <c r="C254" s="4"/>
      <c r="D254" s="4"/>
      <c r="E254" s="4"/>
      <c r="F254" s="4"/>
      <c r="G254" s="4"/>
      <c r="H254" s="4"/>
      <c r="I254" s="28"/>
      <c r="J254" s="4"/>
      <c r="K254" s="4"/>
      <c r="L254" s="4"/>
      <c r="M254" s="4"/>
      <c r="N254" s="4"/>
    </row>
    <row r="255" spans="1:14">
      <c r="A255" s="4"/>
      <c r="B255" s="4"/>
      <c r="C255" s="4"/>
      <c r="D255" s="4"/>
      <c r="E255" s="4"/>
      <c r="F255" s="4"/>
      <c r="G255" s="4"/>
      <c r="H255" s="4"/>
      <c r="I255" s="28"/>
      <c r="J255" s="4"/>
      <c r="K255" s="4"/>
      <c r="L255" s="4"/>
      <c r="M255" s="4"/>
      <c r="N255" s="4"/>
    </row>
    <row r="256" spans="1:14">
      <c r="A256" s="4"/>
      <c r="B256" s="4"/>
      <c r="C256" s="4"/>
      <c r="D256" s="4"/>
      <c r="E256" s="4"/>
      <c r="F256" s="4"/>
      <c r="G256" s="4"/>
      <c r="H256" s="4"/>
      <c r="I256" s="28"/>
      <c r="J256" s="4"/>
      <c r="K256" s="4"/>
      <c r="L256" s="4"/>
      <c r="M256" s="4"/>
      <c r="N256" s="4"/>
    </row>
    <row r="257" spans="1:14">
      <c r="A257" s="4"/>
      <c r="B257" s="4"/>
      <c r="C257" s="4"/>
      <c r="D257" s="4"/>
      <c r="E257" s="4"/>
      <c r="F257" s="4"/>
      <c r="G257" s="4"/>
      <c r="H257" s="4"/>
      <c r="I257" s="28"/>
      <c r="J257" s="4"/>
      <c r="K257" s="4"/>
      <c r="L257" s="4"/>
      <c r="M257" s="4"/>
      <c r="N257" s="4"/>
    </row>
    <row r="258" spans="1:14">
      <c r="A258" s="4"/>
      <c r="B258" s="4"/>
      <c r="C258" s="4"/>
      <c r="D258" s="4"/>
      <c r="E258" s="4"/>
      <c r="F258" s="4"/>
      <c r="G258" s="4"/>
      <c r="H258" s="4"/>
      <c r="I258" s="28"/>
      <c r="J258" s="4"/>
      <c r="K258" s="4"/>
      <c r="L258" s="4"/>
      <c r="M258" s="4"/>
      <c r="N258" s="4"/>
    </row>
    <row r="259" spans="1:14">
      <c r="A259" s="4"/>
      <c r="B259" s="4"/>
      <c r="C259" s="4"/>
      <c r="D259" s="4"/>
      <c r="E259" s="4"/>
      <c r="F259" s="4"/>
      <c r="G259" s="4"/>
      <c r="H259" s="4"/>
      <c r="I259" s="28"/>
      <c r="J259" s="4"/>
      <c r="K259" s="4"/>
      <c r="L259" s="4"/>
      <c r="M259" s="4"/>
      <c r="N259" s="4"/>
    </row>
    <row r="260" spans="1:14">
      <c r="A260" s="4"/>
      <c r="B260" s="4"/>
      <c r="C260" s="4"/>
      <c r="D260" s="4"/>
      <c r="E260" s="4"/>
      <c r="F260" s="4"/>
      <c r="G260" s="4"/>
      <c r="H260" s="4"/>
      <c r="I260" s="28"/>
      <c r="J260" s="4"/>
      <c r="K260" s="4"/>
      <c r="L260" s="4"/>
      <c r="M260" s="4"/>
      <c r="N260" s="4"/>
    </row>
    <row r="261" spans="1:14">
      <c r="A261" s="4"/>
      <c r="B261" s="4"/>
      <c r="C261" s="4"/>
      <c r="D261" s="4"/>
      <c r="E261" s="4"/>
      <c r="F261" s="4"/>
      <c r="G261" s="4"/>
      <c r="H261" s="4"/>
      <c r="I261" s="28"/>
      <c r="J261" s="4"/>
      <c r="K261" s="4"/>
      <c r="L261" s="4"/>
      <c r="M261" s="4"/>
      <c r="N261" s="4"/>
    </row>
    <row r="262" spans="1:14">
      <c r="A262" s="4"/>
      <c r="B262" s="4"/>
      <c r="C262" s="4"/>
      <c r="D262" s="4"/>
      <c r="E262" s="4"/>
      <c r="F262" s="4"/>
      <c r="G262" s="4"/>
      <c r="H262" s="4"/>
      <c r="I262" s="28"/>
      <c r="J262" s="4"/>
      <c r="K262" s="4"/>
      <c r="L262" s="4"/>
      <c r="M262" s="4"/>
      <c r="N262" s="4"/>
    </row>
    <row r="263" spans="1:14">
      <c r="A263" s="4"/>
      <c r="B263" s="4"/>
      <c r="C263" s="4"/>
      <c r="D263" s="4"/>
      <c r="E263" s="4"/>
      <c r="F263" s="4"/>
      <c r="G263" s="4"/>
      <c r="H263" s="4"/>
      <c r="I263" s="28"/>
      <c r="J263" s="4"/>
      <c r="K263" s="4"/>
      <c r="L263" s="4"/>
      <c r="M263" s="4"/>
      <c r="N263" s="4"/>
    </row>
    <row r="264" spans="1:14">
      <c r="A264" s="4"/>
      <c r="B264" s="4"/>
      <c r="C264" s="4"/>
      <c r="D264" s="4"/>
      <c r="E264" s="4"/>
      <c r="F264" s="4"/>
      <c r="G264" s="4"/>
      <c r="H264" s="4"/>
      <c r="I264" s="28"/>
      <c r="J264" s="4"/>
      <c r="K264" s="4"/>
      <c r="L264" s="4"/>
      <c r="M264" s="4"/>
      <c r="N264" s="4"/>
    </row>
    <row r="265" spans="1:14">
      <c r="A265" s="4"/>
      <c r="B265" s="4"/>
      <c r="C265" s="4"/>
      <c r="D265" s="4"/>
      <c r="E265" s="4"/>
      <c r="F265" s="4"/>
      <c r="G265" s="4"/>
      <c r="H265" s="4"/>
      <c r="I265" s="28"/>
      <c r="J265" s="4"/>
      <c r="K265" s="4"/>
      <c r="L265" s="4"/>
      <c r="M265" s="4"/>
      <c r="N265" s="4"/>
    </row>
    <row r="266" spans="1:14">
      <c r="A266" s="4"/>
      <c r="B266" s="4"/>
      <c r="C266" s="4"/>
      <c r="D266" s="4"/>
      <c r="E266" s="4"/>
      <c r="F266" s="4"/>
      <c r="G266" s="4"/>
      <c r="H266" s="4"/>
      <c r="I266" s="28"/>
      <c r="J266" s="4"/>
      <c r="K266" s="4"/>
      <c r="L266" s="4"/>
      <c r="M266" s="4"/>
      <c r="N266" s="4"/>
    </row>
    <row r="267" spans="1:14">
      <c r="A267" s="4"/>
      <c r="B267" s="4"/>
      <c r="C267" s="4"/>
      <c r="D267" s="4"/>
      <c r="E267" s="4"/>
      <c r="F267" s="4"/>
      <c r="G267" s="4"/>
      <c r="H267" s="4"/>
      <c r="I267" s="28"/>
      <c r="J267" s="4"/>
      <c r="K267" s="4"/>
      <c r="L267" s="4"/>
      <c r="M267" s="4"/>
      <c r="N267" s="4"/>
    </row>
    <row r="268" spans="1:14">
      <c r="A268" s="4"/>
      <c r="B268" s="4"/>
      <c r="C268" s="4"/>
      <c r="D268" s="4"/>
      <c r="E268" s="4"/>
      <c r="F268" s="4"/>
      <c r="G268" s="4"/>
      <c r="H268" s="4"/>
      <c r="I268" s="28"/>
      <c r="J268" s="4"/>
      <c r="K268" s="4"/>
      <c r="L268" s="4"/>
      <c r="M268" s="4"/>
      <c r="N268" s="4"/>
    </row>
    <row r="269" spans="1:14">
      <c r="A269" s="4"/>
      <c r="B269" s="4"/>
      <c r="C269" s="4"/>
      <c r="D269" s="4"/>
      <c r="E269" s="4"/>
      <c r="F269" s="4"/>
      <c r="G269" s="4"/>
      <c r="H269" s="4"/>
      <c r="I269" s="28"/>
      <c r="J269" s="4"/>
      <c r="K269" s="4"/>
      <c r="L269" s="4"/>
      <c r="M269" s="4"/>
      <c r="N269" s="4"/>
    </row>
    <row r="270" spans="1:14">
      <c r="A270" s="4"/>
      <c r="B270" s="4"/>
      <c r="C270" s="4"/>
      <c r="D270" s="4"/>
      <c r="E270" s="4"/>
      <c r="F270" s="4"/>
      <c r="G270" s="4"/>
      <c r="H270" s="4"/>
      <c r="I270" s="28"/>
      <c r="J270" s="4"/>
      <c r="K270" s="4"/>
      <c r="L270" s="4"/>
      <c r="M270" s="4"/>
      <c r="N270" s="4"/>
    </row>
    <row r="271" spans="1:14">
      <c r="A271" s="4"/>
      <c r="B271" s="4"/>
      <c r="C271" s="4"/>
      <c r="D271" s="4"/>
      <c r="E271" s="4"/>
      <c r="F271" s="4"/>
      <c r="G271" s="4"/>
      <c r="H271" s="4"/>
      <c r="I271" s="28"/>
      <c r="J271" s="4"/>
      <c r="K271" s="4"/>
      <c r="L271" s="4"/>
      <c r="M271" s="4"/>
      <c r="N271" s="4"/>
    </row>
    <row r="272" spans="1:14">
      <c r="A272" s="4"/>
      <c r="B272" s="4"/>
      <c r="C272" s="4"/>
      <c r="D272" s="4"/>
      <c r="E272" s="4"/>
      <c r="F272" s="4"/>
      <c r="G272" s="4"/>
      <c r="H272" s="4"/>
      <c r="I272" s="28"/>
      <c r="J272" s="4"/>
      <c r="K272" s="4"/>
      <c r="L272" s="4"/>
      <c r="M272" s="4"/>
      <c r="N272" s="4"/>
    </row>
    <row r="273" spans="1:14">
      <c r="A273" s="4"/>
      <c r="B273" s="4"/>
      <c r="C273" s="4"/>
      <c r="D273" s="4"/>
      <c r="E273" s="4"/>
      <c r="F273" s="4"/>
      <c r="G273" s="4"/>
      <c r="H273" s="4"/>
      <c r="I273" s="28"/>
      <c r="J273" s="4"/>
      <c r="K273" s="4"/>
      <c r="L273" s="4"/>
      <c r="M273" s="4"/>
      <c r="N273" s="4"/>
    </row>
    <row r="274" spans="1:14">
      <c r="A274" s="4"/>
      <c r="B274" s="4"/>
      <c r="C274" s="4"/>
      <c r="D274" s="4"/>
      <c r="E274" s="4"/>
      <c r="F274" s="4"/>
      <c r="G274" s="4"/>
      <c r="H274" s="4"/>
      <c r="I274" s="28"/>
      <c r="J274" s="4"/>
      <c r="K274" s="4"/>
      <c r="L274" s="4"/>
      <c r="M274" s="4"/>
      <c r="N274" s="4"/>
    </row>
    <row r="275" spans="1:14">
      <c r="A275" s="4"/>
      <c r="B275" s="4"/>
      <c r="C275" s="4"/>
      <c r="D275" s="4"/>
      <c r="E275" s="4"/>
      <c r="F275" s="4"/>
      <c r="G275" s="4"/>
      <c r="H275" s="4"/>
      <c r="I275" s="28"/>
      <c r="J275" s="4"/>
      <c r="K275" s="4"/>
      <c r="L275" s="4"/>
      <c r="M275" s="4"/>
      <c r="N275" s="4"/>
    </row>
    <row r="276" spans="1:14">
      <c r="A276" s="4"/>
      <c r="B276" s="4"/>
      <c r="C276" s="4"/>
      <c r="D276" s="4"/>
      <c r="E276" s="4"/>
      <c r="F276" s="4"/>
      <c r="G276" s="4"/>
      <c r="H276" s="4"/>
      <c r="I276" s="28"/>
      <c r="J276" s="4"/>
      <c r="K276" s="4"/>
      <c r="L276" s="4"/>
      <c r="M276" s="4"/>
      <c r="N276" s="4"/>
    </row>
    <row r="277" spans="1:14">
      <c r="A277" s="4"/>
      <c r="B277" s="4"/>
      <c r="C277" s="4"/>
      <c r="D277" s="4"/>
      <c r="E277" s="4"/>
      <c r="F277" s="4"/>
      <c r="G277" s="4"/>
      <c r="H277" s="4"/>
      <c r="I277" s="28"/>
      <c r="J277" s="4"/>
      <c r="K277" s="4"/>
      <c r="L277" s="4"/>
      <c r="M277" s="4"/>
      <c r="N277" s="4"/>
    </row>
    <row r="278" spans="1:14">
      <c r="A278" s="4"/>
      <c r="B278" s="4"/>
      <c r="C278" s="4"/>
      <c r="D278" s="4"/>
      <c r="E278" s="4"/>
      <c r="F278" s="4"/>
      <c r="G278" s="4"/>
      <c r="H278" s="4"/>
      <c r="I278" s="28"/>
      <c r="J278" s="4"/>
      <c r="K278" s="4"/>
      <c r="L278" s="4"/>
      <c r="M278" s="4"/>
      <c r="N278" s="4"/>
    </row>
    <row r="279" spans="1:14">
      <c r="A279" s="4"/>
      <c r="B279" s="4"/>
      <c r="C279" s="4"/>
      <c r="D279" s="4"/>
      <c r="E279" s="4"/>
      <c r="F279" s="4"/>
      <c r="G279" s="4"/>
      <c r="H279" s="4"/>
      <c r="I279" s="28"/>
      <c r="J279" s="4"/>
      <c r="K279" s="4"/>
      <c r="L279" s="4"/>
      <c r="M279" s="4"/>
      <c r="N279" s="4"/>
    </row>
    <row r="280" spans="1:14">
      <c r="A280" s="4"/>
      <c r="B280" s="4"/>
      <c r="C280" s="4"/>
      <c r="D280" s="4"/>
      <c r="E280" s="4"/>
      <c r="F280" s="4"/>
      <c r="G280" s="4"/>
      <c r="H280" s="4"/>
      <c r="I280" s="28"/>
      <c r="J280" s="4"/>
      <c r="K280" s="4"/>
      <c r="L280" s="4"/>
      <c r="M280" s="4"/>
      <c r="N280" s="4"/>
    </row>
    <row r="281" spans="1:14">
      <c r="A281" s="4"/>
      <c r="B281" s="4"/>
      <c r="C281" s="4"/>
      <c r="D281" s="4"/>
      <c r="E281" s="4"/>
      <c r="F281" s="4"/>
      <c r="G281" s="4"/>
      <c r="H281" s="4"/>
      <c r="I281" s="28"/>
      <c r="J281" s="4"/>
      <c r="K281" s="4"/>
      <c r="L281" s="4"/>
      <c r="M281" s="4"/>
      <c r="N281" s="4"/>
    </row>
    <row r="282" spans="1:14">
      <c r="A282" s="4"/>
      <c r="B282" s="4"/>
      <c r="C282" s="4"/>
      <c r="D282" s="4"/>
      <c r="E282" s="4"/>
      <c r="F282" s="4"/>
      <c r="G282" s="4"/>
      <c r="H282" s="4"/>
      <c r="I282" s="28"/>
      <c r="J282" s="4"/>
      <c r="K282" s="4"/>
      <c r="L282" s="4"/>
      <c r="M282" s="4"/>
      <c r="N282" s="4"/>
    </row>
    <row r="283" spans="1:14">
      <c r="A283" s="4"/>
      <c r="B283" s="4"/>
      <c r="C283" s="4"/>
      <c r="D283" s="4"/>
      <c r="E283" s="4"/>
      <c r="F283" s="4"/>
      <c r="G283" s="4"/>
      <c r="H283" s="4"/>
      <c r="I283" s="28"/>
      <c r="J283" s="4"/>
      <c r="K283" s="4"/>
      <c r="L283" s="4"/>
      <c r="M283" s="4"/>
      <c r="N283" s="4"/>
    </row>
    <row r="284" spans="1:14">
      <c r="A284" s="4"/>
      <c r="B284" s="4"/>
      <c r="C284" s="4"/>
      <c r="D284" s="4"/>
      <c r="E284" s="4"/>
      <c r="F284" s="4"/>
      <c r="G284" s="4"/>
      <c r="H284" s="4"/>
      <c r="I284" s="28"/>
      <c r="J284" s="4"/>
      <c r="K284" s="4"/>
      <c r="L284" s="4"/>
      <c r="M284" s="4"/>
      <c r="N284" s="4"/>
    </row>
    <row r="285" spans="1:14">
      <c r="A285" s="4"/>
      <c r="B285" s="4"/>
      <c r="C285" s="4"/>
      <c r="D285" s="4"/>
      <c r="E285" s="4"/>
      <c r="F285" s="4"/>
      <c r="G285" s="4"/>
      <c r="H285" s="4"/>
      <c r="I285" s="28"/>
      <c r="J285" s="4"/>
      <c r="K285" s="4"/>
      <c r="L285" s="4"/>
      <c r="M285" s="4"/>
      <c r="N285" s="4"/>
    </row>
  </sheetData>
  <autoFilter ref="A1:N1" xr:uid="{00000000-0001-0000-0200-000000000000}"/>
  <dataValidations count="1">
    <dataValidation type="list" allowBlank="1" showInputMessage="1" showErrorMessage="1" sqref="C2:C25 B13 C31:C35 C39:C285" xr:uid="{786FD8B1-55D7-49A5-AD37-86A84286402A}">
      <formula1>INDIRECT(A2)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B5D78440-9B5D-4EA7-929D-A7070620FFF2}">
          <x14:formula1>
            <xm:f>List!$P$2:$P$11</xm:f>
          </x14:formula1>
          <xm:sqref>B14:B18 B2:B8 B12 B20:B30 B32:B35 B39:B285</xm:sqref>
        </x14:dataValidation>
        <x14:dataValidation type="list" allowBlank="1" showInputMessage="1" showErrorMessage="1" xr:uid="{8C99A576-CEF8-4A44-AE3E-CFF4540D6BE6}">
          <x14:formula1>
            <xm:f>List!$H$2:$H$13</xm:f>
          </x14:formula1>
          <xm:sqref>M39:M285 M2:M35</xm:sqref>
        </x14:dataValidation>
        <x14:dataValidation type="list" allowBlank="1" showInputMessage="1" showErrorMessage="1" xr:uid="{CF79499F-248C-423A-AB9B-F0844F6AA089}">
          <x14:formula1>
            <xm:f>List!$J$2:$J$4</xm:f>
          </x14:formula1>
          <xm:sqref>N39:N285 N2:N35</xm:sqref>
        </x14:dataValidation>
        <x14:dataValidation type="list" allowBlank="1" showInputMessage="1" showErrorMessage="1" xr:uid="{80B2EE56-9400-4B54-80D2-B25DA20CB59E}">
          <x14:formula1>
            <xm:f>List!$C$2:$C$3</xm:f>
          </x14:formula1>
          <xm:sqref>D39:D285 D2:D35</xm:sqref>
        </x14:dataValidation>
        <x14:dataValidation type="list" allowBlank="1" showInputMessage="1" showErrorMessage="1" xr:uid="{D3DC0591-8F75-4C92-A85B-48216E7AA9CD}">
          <x14:formula1>
            <xm:f>List!$E$2:$E$32</xm:f>
          </x14:formula1>
          <xm:sqref>E39:E285 E2:E35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7E660-5BD0-4217-A738-DE3EA9C5EF4A}">
  <sheetPr>
    <tabColor theme="4" tint="0.59999389629810485"/>
  </sheetPr>
  <dimension ref="A1:B29"/>
  <sheetViews>
    <sheetView topLeftCell="A10" workbookViewId="0">
      <selection sqref="A1:A29"/>
    </sheetView>
  </sheetViews>
  <sheetFormatPr defaultRowHeight="14.5"/>
  <sheetData>
    <row r="1" spans="1:2">
      <c r="A1" t="s">
        <v>18</v>
      </c>
      <c r="B1" s="124">
        <v>102612</v>
      </c>
    </row>
    <row r="2" spans="1:2">
      <c r="A2" t="s">
        <v>74</v>
      </c>
      <c r="B2" s="124">
        <v>15601</v>
      </c>
    </row>
    <row r="3" spans="1:2">
      <c r="A3" t="s">
        <v>22</v>
      </c>
      <c r="B3" s="124">
        <v>115204</v>
      </c>
    </row>
    <row r="4" spans="1:2">
      <c r="A4" t="s">
        <v>92</v>
      </c>
      <c r="B4" s="124">
        <v>37874</v>
      </c>
    </row>
    <row r="5" spans="1:2">
      <c r="A5" t="s">
        <v>23</v>
      </c>
      <c r="B5" s="124">
        <v>532</v>
      </c>
    </row>
    <row r="6" spans="1:2">
      <c r="A6" t="s">
        <v>24</v>
      </c>
      <c r="B6" s="124">
        <v>49261</v>
      </c>
    </row>
    <row r="7" spans="1:2">
      <c r="A7" t="s">
        <v>25</v>
      </c>
      <c r="B7" s="124">
        <v>211374</v>
      </c>
    </row>
    <row r="8" spans="1:2">
      <c r="A8" t="s">
        <v>28</v>
      </c>
      <c r="B8" s="124">
        <v>19864</v>
      </c>
    </row>
    <row r="9" spans="1:2">
      <c r="A9" t="s">
        <v>55</v>
      </c>
      <c r="B9" s="124">
        <v>94120</v>
      </c>
    </row>
    <row r="10" spans="1:2">
      <c r="A10" t="s">
        <v>59</v>
      </c>
      <c r="B10" s="124">
        <v>96595</v>
      </c>
    </row>
    <row r="11" spans="1:2">
      <c r="A11" t="s">
        <v>30</v>
      </c>
      <c r="B11" s="124">
        <v>436</v>
      </c>
    </row>
    <row r="12" spans="1:2">
      <c r="A12" t="s">
        <v>95</v>
      </c>
      <c r="B12" s="124">
        <v>64063</v>
      </c>
    </row>
    <row r="13" spans="1:2">
      <c r="A13" t="s">
        <v>34</v>
      </c>
      <c r="B13" s="124">
        <v>57617</v>
      </c>
    </row>
    <row r="14" spans="1:2">
      <c r="A14" t="s">
        <v>304</v>
      </c>
      <c r="B14" s="124">
        <v>1217</v>
      </c>
    </row>
    <row r="15" spans="1:2">
      <c r="A15" t="s">
        <v>36</v>
      </c>
      <c r="B15" s="124">
        <v>41827</v>
      </c>
    </row>
    <row r="16" spans="1:2">
      <c r="A16" t="s">
        <v>37</v>
      </c>
      <c r="B16" s="124">
        <v>120508</v>
      </c>
    </row>
    <row r="17" spans="1:2">
      <c r="A17" t="s">
        <v>41</v>
      </c>
      <c r="B17" s="124">
        <v>14185</v>
      </c>
    </row>
    <row r="18" spans="1:2">
      <c r="A18" t="s">
        <v>43</v>
      </c>
      <c r="B18" s="124">
        <v>55393</v>
      </c>
    </row>
    <row r="19" spans="1:2">
      <c r="A19" t="s">
        <v>44</v>
      </c>
      <c r="B19" s="124">
        <v>29274</v>
      </c>
    </row>
    <row r="20" spans="1:2">
      <c r="A20" t="s">
        <v>45</v>
      </c>
      <c r="B20" s="124">
        <v>71133</v>
      </c>
    </row>
    <row r="21" spans="1:2">
      <c r="A21" t="s">
        <v>46</v>
      </c>
      <c r="B21" s="124">
        <v>16135</v>
      </c>
    </row>
    <row r="22" spans="1:2">
      <c r="A22" t="s">
        <v>305</v>
      </c>
      <c r="B22" s="124">
        <v>1801</v>
      </c>
    </row>
    <row r="23" spans="1:2">
      <c r="A23" t="s">
        <v>47</v>
      </c>
      <c r="B23" s="124">
        <v>62658</v>
      </c>
    </row>
    <row r="24" spans="1:2">
      <c r="A24" t="s">
        <v>48</v>
      </c>
      <c r="B24" s="124">
        <v>76374</v>
      </c>
    </row>
    <row r="25" spans="1:2">
      <c r="A25" t="s">
        <v>49</v>
      </c>
      <c r="B25" s="124">
        <v>25928</v>
      </c>
    </row>
    <row r="26" spans="1:2">
      <c r="A26" t="s">
        <v>50</v>
      </c>
      <c r="B26" s="124">
        <v>265250</v>
      </c>
    </row>
    <row r="27" spans="1:2">
      <c r="A27" t="s">
        <v>51</v>
      </c>
      <c r="B27" s="124">
        <v>24688</v>
      </c>
    </row>
    <row r="28" spans="1:2">
      <c r="A28" t="s">
        <v>73</v>
      </c>
      <c r="B28" s="124">
        <v>5421</v>
      </c>
    </row>
    <row r="29" spans="1:2">
      <c r="A29" t="s">
        <v>53</v>
      </c>
      <c r="B29" s="124">
        <v>366703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0.59999389629810485"/>
  </sheetPr>
  <dimension ref="A1:N4"/>
  <sheetViews>
    <sheetView topLeftCell="E1" workbookViewId="0">
      <selection activeCell="B2" sqref="B2:N4"/>
    </sheetView>
  </sheetViews>
  <sheetFormatPr defaultColWidth="9" defaultRowHeight="14.5"/>
  <cols>
    <col min="1" max="1" width="5.36328125" customWidth="1"/>
    <col min="2" max="2" width="9.36328125" customWidth="1"/>
    <col min="3" max="3" width="9.6328125" customWidth="1"/>
    <col min="4" max="4" width="9" customWidth="1"/>
    <col min="5" max="5" width="17.1796875" customWidth="1"/>
    <col min="6" max="6" width="10.1796875" customWidth="1"/>
    <col min="7" max="7" width="42.453125" customWidth="1"/>
    <col min="8" max="8" width="25.453125" customWidth="1"/>
    <col min="9" max="9" width="18.08984375" customWidth="1"/>
    <col min="10" max="10" width="10.08984375" customWidth="1"/>
    <col min="11" max="11" width="11.1796875" customWidth="1"/>
    <col min="12" max="12" width="10.81640625" customWidth="1"/>
    <col min="13" max="13" width="6.54296875" customWidth="1"/>
    <col min="14" max="14" width="4.81640625" customWidth="1"/>
  </cols>
  <sheetData>
    <row r="1" spans="1:14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</row>
    <row r="2" spans="1:14">
      <c r="A2" s="4">
        <v>1</v>
      </c>
      <c r="B2" s="4" t="s">
        <v>42</v>
      </c>
      <c r="C2" s="4" t="s">
        <v>47</v>
      </c>
      <c r="D2" s="4" t="s">
        <v>60</v>
      </c>
      <c r="E2" s="4" t="s">
        <v>56</v>
      </c>
      <c r="F2" s="4"/>
      <c r="G2" s="4" t="s">
        <v>272</v>
      </c>
      <c r="H2" s="4" t="s">
        <v>56</v>
      </c>
      <c r="I2" s="28">
        <v>7000</v>
      </c>
      <c r="J2" s="4" t="s">
        <v>307</v>
      </c>
      <c r="K2" s="15">
        <v>45978</v>
      </c>
      <c r="L2" s="4">
        <v>2025404676</v>
      </c>
      <c r="M2" s="83" t="s">
        <v>222</v>
      </c>
      <c r="N2" s="4">
        <v>2025</v>
      </c>
    </row>
    <row r="3" spans="1:14">
      <c r="A3" s="4">
        <v>2</v>
      </c>
      <c r="B3" s="50" t="s">
        <v>42</v>
      </c>
      <c r="C3" s="49" t="s">
        <v>48</v>
      </c>
      <c r="D3" s="4" t="s">
        <v>60</v>
      </c>
      <c r="E3" s="4" t="s">
        <v>56</v>
      </c>
      <c r="F3" s="4"/>
      <c r="G3" s="50" t="s">
        <v>306</v>
      </c>
      <c r="H3" s="4" t="s">
        <v>56</v>
      </c>
      <c r="I3" s="28">
        <f>11000000/1450</f>
        <v>7586.2068965517237</v>
      </c>
      <c r="J3" s="4" t="s">
        <v>308</v>
      </c>
      <c r="K3" s="15">
        <v>45994</v>
      </c>
      <c r="L3" s="4">
        <v>2025404675</v>
      </c>
      <c r="M3" s="83" t="s">
        <v>222</v>
      </c>
      <c r="N3" s="4">
        <v>2025</v>
      </c>
    </row>
    <row r="4" spans="1:14">
      <c r="B4" s="98" t="s">
        <v>54</v>
      </c>
      <c r="C4" s="98" t="s">
        <v>55</v>
      </c>
      <c r="D4" s="4" t="s">
        <v>60</v>
      </c>
      <c r="E4" s="4" t="s">
        <v>56</v>
      </c>
      <c r="G4" s="50" t="s">
        <v>306</v>
      </c>
      <c r="H4" s="4" t="s">
        <v>56</v>
      </c>
      <c r="I4" s="28">
        <f>11714000/1450</f>
        <v>8078.6206896551721</v>
      </c>
      <c r="J4" s="4">
        <v>45992</v>
      </c>
      <c r="K4" s="15">
        <v>46033</v>
      </c>
      <c r="L4">
        <v>2025404939</v>
      </c>
      <c r="M4" s="83" t="s">
        <v>222</v>
      </c>
      <c r="N4" s="4">
        <v>2025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List!$P$2:$P$11</xm:f>
          </x14:formula1>
          <xm:sqref>B3</xm:sqref>
        </x14:dataValidation>
        <x14:dataValidation type="list" allowBlank="1" showInputMessage="1" showErrorMessage="1" xr:uid="{00000000-0002-0000-0300-000002000000}">
          <x14:formula1>
            <xm:f>List!$C$2:$C$3</xm:f>
          </x14:formula1>
          <xm:sqref>D2:D4</xm:sqref>
        </x14:dataValidation>
        <x14:dataValidation type="list" allowBlank="1" showInputMessage="1" showErrorMessage="1" xr:uid="{00000000-0002-0000-0300-000003000000}">
          <x14:formula1>
            <xm:f>List!$H$2:$H$13</xm:f>
          </x14:formula1>
          <xm:sqref>M2:M4</xm:sqref>
        </x14:dataValidation>
        <x14:dataValidation type="list" allowBlank="1" showInputMessage="1" showErrorMessage="1" xr:uid="{00000000-0002-0000-0300-000004000000}">
          <x14:formula1>
            <xm:f>List!$J$2:$J$4</xm:f>
          </x14:formula1>
          <xm:sqref>N2:N4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 tint="0.39997558519241921"/>
  </sheetPr>
  <dimension ref="A1:N429"/>
  <sheetViews>
    <sheetView topLeftCell="B104" workbookViewId="0">
      <selection activeCell="B2" sqref="B2:N123"/>
    </sheetView>
  </sheetViews>
  <sheetFormatPr defaultColWidth="9" defaultRowHeight="14.5"/>
  <cols>
    <col min="1" max="1" width="5.36328125" customWidth="1"/>
    <col min="2" max="2" width="9.36328125" customWidth="1"/>
    <col min="3" max="3" width="10.453125" customWidth="1"/>
    <col min="4" max="4" width="8.90625" customWidth="1"/>
    <col min="5" max="5" width="24.81640625" customWidth="1"/>
    <col min="6" max="6" width="10.08984375" customWidth="1"/>
    <col min="7" max="7" width="9.453125" customWidth="1"/>
    <col min="8" max="8" width="22.36328125" customWidth="1"/>
    <col min="9" max="9" width="18" customWidth="1"/>
    <col min="10" max="10" width="10.08984375" customWidth="1"/>
    <col min="11" max="11" width="11.08984375" customWidth="1"/>
    <col min="12" max="12" width="10.453125" customWidth="1"/>
    <col min="13" max="13" width="6.453125" customWidth="1"/>
    <col min="14" max="14" width="4.81640625" customWidth="1"/>
  </cols>
  <sheetData>
    <row r="1" spans="1:14" s="60" customFormat="1">
      <c r="A1" s="97" t="s">
        <v>0</v>
      </c>
      <c r="B1" s="97" t="s">
        <v>1</v>
      </c>
      <c r="C1" s="97" t="s">
        <v>2</v>
      </c>
      <c r="D1" s="97" t="s">
        <v>3</v>
      </c>
      <c r="E1" s="97" t="s">
        <v>4</v>
      </c>
      <c r="F1" s="97" t="s">
        <v>5</v>
      </c>
      <c r="G1" s="97" t="s">
        <v>6</v>
      </c>
      <c r="H1" s="97" t="s">
        <v>7</v>
      </c>
      <c r="I1" s="97" t="s">
        <v>8</v>
      </c>
      <c r="J1" s="97" t="s">
        <v>9</v>
      </c>
      <c r="K1" s="97" t="s">
        <v>10</v>
      </c>
      <c r="L1" s="97" t="s">
        <v>11</v>
      </c>
      <c r="M1" s="97" t="s">
        <v>12</v>
      </c>
      <c r="N1" s="97" t="s">
        <v>13</v>
      </c>
    </row>
    <row r="2" spans="1:14">
      <c r="A2" s="17">
        <v>1</v>
      </c>
      <c r="B2" s="17" t="s">
        <v>33</v>
      </c>
      <c r="C2" s="18" t="s">
        <v>34</v>
      </c>
      <c r="D2" s="17" t="s">
        <v>60</v>
      </c>
      <c r="E2" s="17" t="s">
        <v>63</v>
      </c>
      <c r="F2" s="17"/>
      <c r="G2" s="17" t="s">
        <v>64</v>
      </c>
      <c r="H2" s="25" t="s">
        <v>65</v>
      </c>
      <c r="I2" s="24">
        <v>1034.4827586206898</v>
      </c>
      <c r="J2" s="18" t="s">
        <v>68</v>
      </c>
      <c r="K2" s="44">
        <v>45669</v>
      </c>
      <c r="L2" s="83" t="s">
        <v>14</v>
      </c>
      <c r="M2" s="83" t="s">
        <v>222</v>
      </c>
      <c r="N2" s="4">
        <v>2025</v>
      </c>
    </row>
    <row r="3" spans="1:14">
      <c r="A3" s="17">
        <v>2</v>
      </c>
      <c r="B3" s="17" t="s">
        <v>33</v>
      </c>
      <c r="C3" s="18" t="s">
        <v>34</v>
      </c>
      <c r="D3" s="17" t="s">
        <v>60</v>
      </c>
      <c r="E3" s="11" t="s">
        <v>63</v>
      </c>
      <c r="F3" s="17"/>
      <c r="G3" s="17" t="s">
        <v>64</v>
      </c>
      <c r="H3" s="25" t="s">
        <v>67</v>
      </c>
      <c r="I3" s="24">
        <v>517.24137931034488</v>
      </c>
      <c r="J3" s="17" t="s">
        <v>68</v>
      </c>
      <c r="K3" s="44">
        <v>45942</v>
      </c>
      <c r="L3" s="83" t="s">
        <v>14</v>
      </c>
      <c r="M3" s="83" t="s">
        <v>222</v>
      </c>
      <c r="N3" s="4">
        <v>2025</v>
      </c>
    </row>
    <row r="4" spans="1:14">
      <c r="A4" s="17">
        <v>3</v>
      </c>
      <c r="B4" s="17" t="s">
        <v>33</v>
      </c>
      <c r="C4" s="18" t="s">
        <v>34</v>
      </c>
      <c r="D4" s="17" t="s">
        <v>60</v>
      </c>
      <c r="E4" s="11" t="s">
        <v>63</v>
      </c>
      <c r="F4" s="17"/>
      <c r="G4" s="17" t="s">
        <v>64</v>
      </c>
      <c r="H4" s="25" t="s">
        <v>698</v>
      </c>
      <c r="I4" s="24">
        <v>2351.0344827586205</v>
      </c>
      <c r="J4" s="18" t="s">
        <v>68</v>
      </c>
      <c r="K4" s="44" t="s">
        <v>673</v>
      </c>
      <c r="L4" s="83" t="s">
        <v>14</v>
      </c>
      <c r="M4" s="83" t="s">
        <v>222</v>
      </c>
      <c r="N4" s="4">
        <v>2025</v>
      </c>
    </row>
    <row r="5" spans="1:14">
      <c r="A5" s="17">
        <v>4</v>
      </c>
      <c r="B5" s="17" t="s">
        <v>33</v>
      </c>
      <c r="C5" s="18" t="s">
        <v>34</v>
      </c>
      <c r="D5" s="17" t="s">
        <v>60</v>
      </c>
      <c r="E5" s="11" t="s">
        <v>63</v>
      </c>
      <c r="F5" s="17"/>
      <c r="G5" s="17" t="s">
        <v>64</v>
      </c>
      <c r="H5" s="25" t="s">
        <v>65</v>
      </c>
      <c r="I5" s="24">
        <v>396.55172413793105</v>
      </c>
      <c r="J5" s="17" t="s">
        <v>68</v>
      </c>
      <c r="K5" s="44">
        <v>45669</v>
      </c>
      <c r="L5" s="83" t="s">
        <v>14</v>
      </c>
      <c r="M5" s="83" t="s">
        <v>222</v>
      </c>
      <c r="N5" s="4">
        <v>2025</v>
      </c>
    </row>
    <row r="6" spans="1:14">
      <c r="A6" s="17">
        <v>5</v>
      </c>
      <c r="B6" s="17" t="s">
        <v>52</v>
      </c>
      <c r="C6" s="18" t="s">
        <v>53</v>
      </c>
      <c r="D6" s="17" t="s">
        <v>60</v>
      </c>
      <c r="E6" s="11" t="s">
        <v>63</v>
      </c>
      <c r="F6" s="17"/>
      <c r="G6" s="17" t="s">
        <v>64</v>
      </c>
      <c r="H6" s="25" t="s">
        <v>699</v>
      </c>
      <c r="I6" s="24">
        <v>344.82758620689657</v>
      </c>
      <c r="J6" s="17" t="s">
        <v>68</v>
      </c>
      <c r="K6" s="44">
        <v>45700</v>
      </c>
      <c r="L6" s="83" t="s">
        <v>14</v>
      </c>
      <c r="M6" s="83" t="s">
        <v>222</v>
      </c>
      <c r="N6" s="4">
        <v>2025</v>
      </c>
    </row>
    <row r="7" spans="1:14">
      <c r="A7" s="17">
        <v>6</v>
      </c>
      <c r="B7" s="17" t="s">
        <v>52</v>
      </c>
      <c r="C7" s="18" t="s">
        <v>53</v>
      </c>
      <c r="D7" s="17" t="s">
        <v>60</v>
      </c>
      <c r="E7" s="11" t="s">
        <v>63</v>
      </c>
      <c r="F7" s="17"/>
      <c r="G7" s="17" t="s">
        <v>64</v>
      </c>
      <c r="H7" s="25" t="s">
        <v>69</v>
      </c>
      <c r="I7" s="24">
        <v>344.82758620689657</v>
      </c>
      <c r="J7" s="17" t="s">
        <v>68</v>
      </c>
      <c r="K7" s="44">
        <v>45942</v>
      </c>
      <c r="L7" s="83" t="s">
        <v>14</v>
      </c>
      <c r="M7" s="83" t="s">
        <v>222</v>
      </c>
      <c r="N7" s="4">
        <v>2025</v>
      </c>
    </row>
    <row r="8" spans="1:14">
      <c r="A8" s="17">
        <v>7</v>
      </c>
      <c r="B8" s="17" t="s">
        <v>52</v>
      </c>
      <c r="C8" s="18" t="s">
        <v>53</v>
      </c>
      <c r="D8" s="17" t="s">
        <v>60</v>
      </c>
      <c r="E8" s="11" t="s">
        <v>63</v>
      </c>
      <c r="F8" s="17"/>
      <c r="G8" s="17" t="s">
        <v>64</v>
      </c>
      <c r="H8" s="25" t="s">
        <v>65</v>
      </c>
      <c r="I8" s="24">
        <v>1484.4827586206898</v>
      </c>
      <c r="J8" s="17" t="s">
        <v>68</v>
      </c>
      <c r="K8" s="44" t="s">
        <v>674</v>
      </c>
      <c r="L8" s="83" t="s">
        <v>14</v>
      </c>
      <c r="M8" s="83" t="s">
        <v>222</v>
      </c>
      <c r="N8" s="4">
        <v>2025</v>
      </c>
    </row>
    <row r="9" spans="1:14">
      <c r="A9" s="17">
        <v>8</v>
      </c>
      <c r="B9" s="17" t="s">
        <v>52</v>
      </c>
      <c r="C9" s="18" t="s">
        <v>53</v>
      </c>
      <c r="D9" s="17" t="s">
        <v>60</v>
      </c>
      <c r="E9" s="11" t="s">
        <v>63</v>
      </c>
      <c r="F9" s="17"/>
      <c r="G9" s="17" t="s">
        <v>64</v>
      </c>
      <c r="H9" s="25" t="s">
        <v>65</v>
      </c>
      <c r="I9" s="24">
        <v>1862.0689655172414</v>
      </c>
      <c r="J9" s="17" t="s">
        <v>68</v>
      </c>
      <c r="K9" s="44" t="s">
        <v>675</v>
      </c>
      <c r="L9" s="83" t="s">
        <v>14</v>
      </c>
      <c r="M9" s="83" t="s">
        <v>222</v>
      </c>
      <c r="N9" s="4">
        <v>2025</v>
      </c>
    </row>
    <row r="10" spans="1:14">
      <c r="A10" s="17">
        <v>9</v>
      </c>
      <c r="B10" s="17" t="s">
        <v>58</v>
      </c>
      <c r="C10" s="18" t="s">
        <v>59</v>
      </c>
      <c r="D10" s="17" t="s">
        <v>60</v>
      </c>
      <c r="E10" s="11" t="s">
        <v>63</v>
      </c>
      <c r="F10" s="17"/>
      <c r="G10" s="17" t="s">
        <v>64</v>
      </c>
      <c r="H10" s="25" t="s">
        <v>65</v>
      </c>
      <c r="I10" s="24">
        <v>7715.1724137931033</v>
      </c>
      <c r="J10" s="17" t="s">
        <v>68</v>
      </c>
      <c r="K10" s="44" t="s">
        <v>676</v>
      </c>
      <c r="L10" s="83" t="s">
        <v>14</v>
      </c>
      <c r="M10" s="83" t="s">
        <v>222</v>
      </c>
      <c r="N10" s="4">
        <v>2025</v>
      </c>
    </row>
    <row r="11" spans="1:14">
      <c r="A11" s="17">
        <v>10</v>
      </c>
      <c r="B11" s="17" t="s">
        <v>58</v>
      </c>
      <c r="C11" s="18" t="s">
        <v>59</v>
      </c>
      <c r="D11" s="17" t="s">
        <v>60</v>
      </c>
      <c r="E11" s="11" t="s">
        <v>63</v>
      </c>
      <c r="F11" s="17"/>
      <c r="G11" s="17" t="s">
        <v>64</v>
      </c>
      <c r="H11" s="25" t="s">
        <v>700</v>
      </c>
      <c r="I11" s="24">
        <v>210.34482758620689</v>
      </c>
      <c r="J11" s="25" t="s">
        <v>68</v>
      </c>
      <c r="K11" s="44">
        <v>45669</v>
      </c>
      <c r="L11" s="83" t="s">
        <v>14</v>
      </c>
      <c r="M11" s="83" t="s">
        <v>222</v>
      </c>
      <c r="N11" s="4">
        <v>2025</v>
      </c>
    </row>
    <row r="12" spans="1:14">
      <c r="A12" s="17">
        <v>11</v>
      </c>
      <c r="B12" s="17" t="s">
        <v>58</v>
      </c>
      <c r="C12" s="18" t="s">
        <v>59</v>
      </c>
      <c r="D12" s="17" t="s">
        <v>60</v>
      </c>
      <c r="E12" s="11" t="s">
        <v>63</v>
      </c>
      <c r="F12" s="17"/>
      <c r="G12" s="17" t="s">
        <v>64</v>
      </c>
      <c r="H12" s="25" t="s">
        <v>257</v>
      </c>
      <c r="I12" s="24">
        <v>7273.1034482758623</v>
      </c>
      <c r="J12" s="17" t="s">
        <v>68</v>
      </c>
      <c r="K12" s="44" t="s">
        <v>676</v>
      </c>
      <c r="L12" s="83" t="s">
        <v>14</v>
      </c>
      <c r="M12" s="83" t="s">
        <v>222</v>
      </c>
      <c r="N12" s="4">
        <v>2025</v>
      </c>
    </row>
    <row r="13" spans="1:14">
      <c r="A13" s="17">
        <v>12</v>
      </c>
      <c r="B13" s="17" t="s">
        <v>58</v>
      </c>
      <c r="C13" s="18" t="s">
        <v>59</v>
      </c>
      <c r="D13" s="17" t="s">
        <v>60</v>
      </c>
      <c r="E13" s="11" t="s">
        <v>63</v>
      </c>
      <c r="F13" s="17"/>
      <c r="G13" s="17" t="s">
        <v>64</v>
      </c>
      <c r="H13" s="25" t="s">
        <v>701</v>
      </c>
      <c r="I13" s="24">
        <v>965.51724137931035</v>
      </c>
      <c r="J13" s="17" t="s">
        <v>68</v>
      </c>
      <c r="K13" s="44">
        <v>45820</v>
      </c>
      <c r="L13" s="83" t="s">
        <v>14</v>
      </c>
      <c r="M13" s="83" t="s">
        <v>222</v>
      </c>
      <c r="N13" s="4">
        <v>2025</v>
      </c>
    </row>
    <row r="14" spans="1:14">
      <c r="A14" s="17">
        <v>13</v>
      </c>
      <c r="B14" s="17" t="s">
        <v>58</v>
      </c>
      <c r="C14" s="18" t="s">
        <v>59</v>
      </c>
      <c r="D14" s="17" t="s">
        <v>60</v>
      </c>
      <c r="E14" s="11" t="s">
        <v>63</v>
      </c>
      <c r="F14" s="17"/>
      <c r="G14" s="17" t="s">
        <v>64</v>
      </c>
      <c r="H14" s="25" t="s">
        <v>702</v>
      </c>
      <c r="I14" s="24">
        <v>1379.3103448275863</v>
      </c>
      <c r="J14" s="17" t="s">
        <v>68</v>
      </c>
      <c r="K14" s="44" t="s">
        <v>677</v>
      </c>
      <c r="L14" s="83" t="s">
        <v>14</v>
      </c>
      <c r="M14" s="83" t="s">
        <v>222</v>
      </c>
      <c r="N14" s="4">
        <v>2025</v>
      </c>
    </row>
    <row r="15" spans="1:14">
      <c r="A15" s="17">
        <v>14</v>
      </c>
      <c r="B15" s="11" t="s">
        <v>17</v>
      </c>
      <c r="C15" s="11" t="s">
        <v>22</v>
      </c>
      <c r="D15" s="17" t="s">
        <v>60</v>
      </c>
      <c r="E15" s="11" t="s">
        <v>63</v>
      </c>
      <c r="F15" s="17"/>
      <c r="G15" s="17" t="s">
        <v>64</v>
      </c>
      <c r="H15" s="25" t="s">
        <v>66</v>
      </c>
      <c r="I15" s="24">
        <v>896.55172413793105</v>
      </c>
      <c r="J15" s="17" t="s">
        <v>68</v>
      </c>
      <c r="K15" s="44">
        <v>45942</v>
      </c>
      <c r="L15" s="83" t="s">
        <v>14</v>
      </c>
      <c r="M15" s="83" t="s">
        <v>222</v>
      </c>
      <c r="N15" s="4">
        <v>2025</v>
      </c>
    </row>
    <row r="16" spans="1:14">
      <c r="A16" s="17">
        <v>15</v>
      </c>
      <c r="B16" s="17" t="s">
        <v>42</v>
      </c>
      <c r="C16" s="18" t="s">
        <v>51</v>
      </c>
      <c r="D16" s="17" t="s">
        <v>60</v>
      </c>
      <c r="E16" s="11" t="s">
        <v>63</v>
      </c>
      <c r="F16" s="17"/>
      <c r="G16" s="17" t="s">
        <v>64</v>
      </c>
      <c r="H16" s="25" t="s">
        <v>65</v>
      </c>
      <c r="I16" s="24">
        <v>1724.1379310344828</v>
      </c>
      <c r="J16" s="17" t="s">
        <v>68</v>
      </c>
      <c r="K16" s="44" t="s">
        <v>678</v>
      </c>
      <c r="L16" s="83" t="s">
        <v>14</v>
      </c>
      <c r="M16" s="83" t="s">
        <v>222</v>
      </c>
      <c r="N16" s="4">
        <v>2025</v>
      </c>
    </row>
    <row r="17" spans="1:14">
      <c r="A17" s="17">
        <v>16</v>
      </c>
      <c r="B17" s="17" t="s">
        <v>54</v>
      </c>
      <c r="C17" s="18" t="s">
        <v>55</v>
      </c>
      <c r="D17" s="17" t="s">
        <v>60</v>
      </c>
      <c r="E17" s="11" t="s">
        <v>71</v>
      </c>
      <c r="F17" s="17"/>
      <c r="G17" s="17" t="s">
        <v>64</v>
      </c>
      <c r="H17" s="25" t="s">
        <v>75</v>
      </c>
      <c r="I17" s="24">
        <v>1116.5517241379309</v>
      </c>
      <c r="J17" s="17" t="s">
        <v>693</v>
      </c>
      <c r="K17" s="44">
        <v>45700</v>
      </c>
      <c r="L17" s="83" t="s">
        <v>14</v>
      </c>
      <c r="M17" s="83" t="s">
        <v>222</v>
      </c>
      <c r="N17" s="4">
        <v>2025</v>
      </c>
    </row>
    <row r="18" spans="1:14">
      <c r="A18" s="17">
        <v>17</v>
      </c>
      <c r="B18" s="17" t="s">
        <v>54</v>
      </c>
      <c r="C18" s="18" t="s">
        <v>55</v>
      </c>
      <c r="D18" s="17" t="s">
        <v>60</v>
      </c>
      <c r="E18" s="11" t="s">
        <v>71</v>
      </c>
      <c r="F18" s="17"/>
      <c r="G18" s="17" t="s">
        <v>64</v>
      </c>
      <c r="H18" s="25" t="s">
        <v>75</v>
      </c>
      <c r="I18" s="24">
        <v>1580</v>
      </c>
      <c r="J18" s="17" t="s">
        <v>694</v>
      </c>
      <c r="K18" s="44">
        <v>45820</v>
      </c>
      <c r="L18" s="83" t="s">
        <v>14</v>
      </c>
      <c r="M18" s="83" t="s">
        <v>222</v>
      </c>
      <c r="N18" s="4">
        <v>2025</v>
      </c>
    </row>
    <row r="19" spans="1:14">
      <c r="A19" s="17">
        <v>18</v>
      </c>
      <c r="B19" s="17" t="s">
        <v>54</v>
      </c>
      <c r="C19" s="17" t="s">
        <v>55</v>
      </c>
      <c r="D19" s="17" t="s">
        <v>60</v>
      </c>
      <c r="E19" s="17" t="s">
        <v>71</v>
      </c>
      <c r="F19" s="17"/>
      <c r="G19" s="17" t="s">
        <v>64</v>
      </c>
      <c r="H19" s="17" t="s">
        <v>75</v>
      </c>
      <c r="I19" s="24">
        <v>3710.344827586207</v>
      </c>
      <c r="J19" s="17" t="s">
        <v>695</v>
      </c>
      <c r="K19" s="44" t="s">
        <v>679</v>
      </c>
      <c r="L19" s="83" t="s">
        <v>14</v>
      </c>
      <c r="M19" s="83" t="s">
        <v>222</v>
      </c>
      <c r="N19" s="4">
        <v>2025</v>
      </c>
    </row>
    <row r="20" spans="1:14">
      <c r="A20" s="17">
        <v>19</v>
      </c>
      <c r="B20" s="17" t="s">
        <v>54</v>
      </c>
      <c r="C20" s="17" t="s">
        <v>55</v>
      </c>
      <c r="D20" s="17" t="s">
        <v>60</v>
      </c>
      <c r="E20" s="17" t="s">
        <v>71</v>
      </c>
      <c r="F20" s="17"/>
      <c r="G20" s="17" t="s">
        <v>64</v>
      </c>
      <c r="H20" s="17" t="s">
        <v>75</v>
      </c>
      <c r="I20" s="24">
        <v>1966.3793103448277</v>
      </c>
      <c r="J20" s="17" t="s">
        <v>696</v>
      </c>
      <c r="K20" s="44" t="s">
        <v>673</v>
      </c>
      <c r="L20" s="83" t="s">
        <v>14</v>
      </c>
      <c r="M20" s="83" t="s">
        <v>222</v>
      </c>
      <c r="N20" s="4">
        <v>2025</v>
      </c>
    </row>
    <row r="21" spans="1:14">
      <c r="A21" s="17">
        <v>20</v>
      </c>
      <c r="B21" s="17" t="s">
        <v>54</v>
      </c>
      <c r="C21" s="17" t="s">
        <v>55</v>
      </c>
      <c r="D21" s="17" t="s">
        <v>60</v>
      </c>
      <c r="E21" s="17" t="s">
        <v>71</v>
      </c>
      <c r="F21" s="17"/>
      <c r="G21" s="17" t="s">
        <v>64</v>
      </c>
      <c r="H21" s="17" t="s">
        <v>75</v>
      </c>
      <c r="I21" s="24">
        <v>5386.2068965517237</v>
      </c>
      <c r="J21" s="17" t="s">
        <v>68</v>
      </c>
      <c r="K21" s="44" t="s">
        <v>678</v>
      </c>
      <c r="L21" s="83" t="s">
        <v>14</v>
      </c>
      <c r="M21" s="83" t="s">
        <v>222</v>
      </c>
      <c r="N21" s="4">
        <v>2025</v>
      </c>
    </row>
    <row r="22" spans="1:14">
      <c r="A22" s="17">
        <v>21</v>
      </c>
      <c r="B22" s="17" t="s">
        <v>42</v>
      </c>
      <c r="C22" s="17" t="s">
        <v>70</v>
      </c>
      <c r="D22" s="17" t="s">
        <v>60</v>
      </c>
      <c r="E22" s="17" t="s">
        <v>71</v>
      </c>
      <c r="F22" s="17"/>
      <c r="G22" s="17" t="s">
        <v>64</v>
      </c>
      <c r="H22" s="17" t="s">
        <v>703</v>
      </c>
      <c r="I22" s="24">
        <v>1482.7586206896551</v>
      </c>
      <c r="J22" s="17" t="s">
        <v>68</v>
      </c>
      <c r="K22" s="44" t="s">
        <v>680</v>
      </c>
      <c r="L22" s="83" t="s">
        <v>14</v>
      </c>
      <c r="M22" s="83" t="s">
        <v>222</v>
      </c>
      <c r="N22" s="4">
        <v>2025</v>
      </c>
    </row>
    <row r="23" spans="1:14">
      <c r="A23" s="17">
        <v>22</v>
      </c>
      <c r="B23" s="17" t="s">
        <v>42</v>
      </c>
      <c r="C23" s="17" t="s">
        <v>70</v>
      </c>
      <c r="D23" s="17" t="s">
        <v>60</v>
      </c>
      <c r="E23" s="17" t="s">
        <v>71</v>
      </c>
      <c r="F23" s="17"/>
      <c r="G23" s="17" t="s">
        <v>64</v>
      </c>
      <c r="H23" s="17" t="s">
        <v>704</v>
      </c>
      <c r="I23" s="24">
        <v>502.06896551724139</v>
      </c>
      <c r="J23" s="17" t="s">
        <v>68</v>
      </c>
      <c r="K23" s="44" t="s">
        <v>681</v>
      </c>
      <c r="L23" s="83" t="s">
        <v>14</v>
      </c>
      <c r="M23" s="83" t="s">
        <v>222</v>
      </c>
      <c r="N23" s="4">
        <v>2025</v>
      </c>
    </row>
    <row r="24" spans="1:14">
      <c r="A24" s="17">
        <v>23</v>
      </c>
      <c r="B24" s="17" t="s">
        <v>42</v>
      </c>
      <c r="C24" s="18" t="s">
        <v>70</v>
      </c>
      <c r="D24" s="17" t="s">
        <v>60</v>
      </c>
      <c r="E24" s="11" t="s">
        <v>71</v>
      </c>
      <c r="F24" s="17"/>
      <c r="G24" s="17" t="s">
        <v>64</v>
      </c>
      <c r="H24" s="25" t="s">
        <v>705</v>
      </c>
      <c r="I24" s="24">
        <v>568.9655172413793</v>
      </c>
      <c r="J24" s="17" t="s">
        <v>68</v>
      </c>
      <c r="K24" s="44" t="s">
        <v>280</v>
      </c>
      <c r="L24" s="83" t="s">
        <v>14</v>
      </c>
      <c r="M24" s="83" t="s">
        <v>222</v>
      </c>
      <c r="N24" s="4">
        <v>2025</v>
      </c>
    </row>
    <row r="25" spans="1:14">
      <c r="A25" s="17">
        <v>24</v>
      </c>
      <c r="B25" s="17" t="s">
        <v>35</v>
      </c>
      <c r="C25" s="18" t="s">
        <v>36</v>
      </c>
      <c r="D25" s="17" t="s">
        <v>60</v>
      </c>
      <c r="E25" s="11" t="s">
        <v>71</v>
      </c>
      <c r="F25" s="17"/>
      <c r="G25" s="17" t="s">
        <v>64</v>
      </c>
      <c r="H25" s="25" t="s">
        <v>706</v>
      </c>
      <c r="I25" s="24">
        <v>1341.3793103448277</v>
      </c>
      <c r="J25" s="17">
        <v>3646</v>
      </c>
      <c r="K25" s="44" t="s">
        <v>682</v>
      </c>
      <c r="L25" s="83" t="s">
        <v>14</v>
      </c>
      <c r="M25" s="83" t="s">
        <v>222</v>
      </c>
      <c r="N25" s="4">
        <v>2025</v>
      </c>
    </row>
    <row r="26" spans="1:14">
      <c r="A26" s="17">
        <v>25</v>
      </c>
      <c r="B26" s="17" t="s">
        <v>35</v>
      </c>
      <c r="C26" s="18" t="s">
        <v>36</v>
      </c>
      <c r="D26" s="17" t="s">
        <v>60</v>
      </c>
      <c r="E26" s="11" t="s">
        <v>71</v>
      </c>
      <c r="F26" s="17"/>
      <c r="G26" s="17" t="s">
        <v>64</v>
      </c>
      <c r="H26" s="25" t="s">
        <v>707</v>
      </c>
      <c r="I26" s="24">
        <v>206.89655172413794</v>
      </c>
      <c r="J26" s="17">
        <v>583</v>
      </c>
      <c r="K26" s="44" t="s">
        <v>683</v>
      </c>
      <c r="L26" s="83" t="s">
        <v>14</v>
      </c>
      <c r="M26" s="83" t="s">
        <v>222</v>
      </c>
      <c r="N26" s="4">
        <v>2025</v>
      </c>
    </row>
    <row r="27" spans="1:14">
      <c r="A27" s="17">
        <v>26</v>
      </c>
      <c r="B27" s="17" t="s">
        <v>42</v>
      </c>
      <c r="C27" s="18" t="s">
        <v>37</v>
      </c>
      <c r="D27" s="17" t="s">
        <v>60</v>
      </c>
      <c r="E27" s="11" t="s">
        <v>71</v>
      </c>
      <c r="F27" s="17"/>
      <c r="G27" s="17" t="s">
        <v>64</v>
      </c>
      <c r="H27" s="25" t="s">
        <v>259</v>
      </c>
      <c r="I27" s="24">
        <v>789.31034482758616</v>
      </c>
      <c r="J27" s="17" t="s">
        <v>68</v>
      </c>
      <c r="K27" s="44">
        <v>45700</v>
      </c>
      <c r="L27" s="83" t="s">
        <v>14</v>
      </c>
      <c r="M27" s="83" t="s">
        <v>222</v>
      </c>
      <c r="N27" s="4">
        <v>2025</v>
      </c>
    </row>
    <row r="28" spans="1:14">
      <c r="A28" s="17">
        <v>27</v>
      </c>
      <c r="B28" s="17" t="s">
        <v>42</v>
      </c>
      <c r="C28" s="18" t="s">
        <v>44</v>
      </c>
      <c r="D28" s="17" t="s">
        <v>60</v>
      </c>
      <c r="E28" s="11" t="s">
        <v>71</v>
      </c>
      <c r="F28" s="17"/>
      <c r="G28" s="17" t="s">
        <v>64</v>
      </c>
      <c r="H28" s="27" t="s">
        <v>260</v>
      </c>
      <c r="I28" s="24">
        <v>388.62068965517244</v>
      </c>
      <c r="J28" s="17" t="s">
        <v>68</v>
      </c>
      <c r="K28" s="44">
        <v>45759</v>
      </c>
      <c r="L28" s="83" t="s">
        <v>14</v>
      </c>
      <c r="M28" s="83" t="s">
        <v>222</v>
      </c>
      <c r="N28" s="4">
        <v>2025</v>
      </c>
    </row>
    <row r="29" spans="1:14">
      <c r="A29" s="17">
        <v>28</v>
      </c>
      <c r="B29" s="17" t="s">
        <v>42</v>
      </c>
      <c r="C29" s="18" t="s">
        <v>44</v>
      </c>
      <c r="D29" s="17" t="s">
        <v>60</v>
      </c>
      <c r="E29" s="11" t="s">
        <v>71</v>
      </c>
      <c r="F29" s="17"/>
      <c r="G29" s="17" t="s">
        <v>64</v>
      </c>
      <c r="H29" s="25" t="s">
        <v>260</v>
      </c>
      <c r="I29" s="24">
        <v>173.10344827586206</v>
      </c>
      <c r="J29" s="17" t="s">
        <v>68</v>
      </c>
      <c r="K29" s="44" t="s">
        <v>684</v>
      </c>
      <c r="L29" s="83" t="s">
        <v>14</v>
      </c>
      <c r="M29" s="83" t="s">
        <v>222</v>
      </c>
      <c r="N29" s="4">
        <v>2025</v>
      </c>
    </row>
    <row r="30" spans="1:14">
      <c r="A30" s="17">
        <v>29</v>
      </c>
      <c r="B30" s="17" t="s">
        <v>42</v>
      </c>
      <c r="C30" s="18" t="s">
        <v>45</v>
      </c>
      <c r="D30" s="17" t="s">
        <v>60</v>
      </c>
      <c r="E30" s="11" t="s">
        <v>71</v>
      </c>
      <c r="F30" s="17"/>
      <c r="G30" s="17" t="s">
        <v>64</v>
      </c>
      <c r="H30" s="25" t="s">
        <v>708</v>
      </c>
      <c r="I30" s="24">
        <v>1554.4827586206898</v>
      </c>
      <c r="J30" s="17" t="s">
        <v>68</v>
      </c>
      <c r="K30" s="44">
        <v>46002</v>
      </c>
      <c r="L30" s="83" t="s">
        <v>14</v>
      </c>
      <c r="M30" s="83" t="s">
        <v>222</v>
      </c>
      <c r="N30" s="4">
        <v>2025</v>
      </c>
    </row>
    <row r="31" spans="1:14">
      <c r="A31" s="17">
        <v>30</v>
      </c>
      <c r="B31" s="17" t="s">
        <v>42</v>
      </c>
      <c r="C31" s="18" t="s">
        <v>45</v>
      </c>
      <c r="D31" s="17" t="s">
        <v>60</v>
      </c>
      <c r="E31" s="11" t="s">
        <v>71</v>
      </c>
      <c r="F31" s="17"/>
      <c r="G31" s="17" t="s">
        <v>64</v>
      </c>
      <c r="H31" s="25" t="s">
        <v>708</v>
      </c>
      <c r="I31" s="24">
        <v>1181.7241379310344</v>
      </c>
      <c r="J31" s="17" t="s">
        <v>68</v>
      </c>
      <c r="K31" s="44">
        <v>45973</v>
      </c>
      <c r="L31" s="83" t="s">
        <v>14</v>
      </c>
      <c r="M31" s="83" t="s">
        <v>222</v>
      </c>
      <c r="N31" s="4">
        <v>2025</v>
      </c>
    </row>
    <row r="32" spans="1:14">
      <c r="A32" s="17">
        <v>31</v>
      </c>
      <c r="B32" s="17" t="s">
        <v>669</v>
      </c>
      <c r="C32" s="17" t="s">
        <v>670</v>
      </c>
      <c r="D32" s="17" t="s">
        <v>60</v>
      </c>
      <c r="E32" s="17" t="s">
        <v>71</v>
      </c>
      <c r="F32" s="17"/>
      <c r="G32" s="17" t="s">
        <v>64</v>
      </c>
      <c r="H32" s="17" t="s">
        <v>709</v>
      </c>
      <c r="I32" s="24">
        <v>1679.3103448275863</v>
      </c>
      <c r="J32" s="17" t="s">
        <v>68</v>
      </c>
      <c r="K32" s="44" t="s">
        <v>685</v>
      </c>
      <c r="L32" s="83" t="s">
        <v>14</v>
      </c>
      <c r="M32" s="83" t="s">
        <v>222</v>
      </c>
      <c r="N32" s="4">
        <v>2025</v>
      </c>
    </row>
    <row r="33" spans="1:14">
      <c r="A33" s="17">
        <v>32</v>
      </c>
      <c r="B33" s="17" t="s">
        <v>33</v>
      </c>
      <c r="C33" s="18" t="s">
        <v>34</v>
      </c>
      <c r="D33" s="17" t="s">
        <v>60</v>
      </c>
      <c r="E33" s="11" t="s">
        <v>71</v>
      </c>
      <c r="F33" s="17"/>
      <c r="G33" s="17" t="s">
        <v>64</v>
      </c>
      <c r="H33" s="25" t="s">
        <v>258</v>
      </c>
      <c r="I33" s="24">
        <v>431.0344827586207</v>
      </c>
      <c r="J33" s="17" t="s">
        <v>68</v>
      </c>
      <c r="K33" s="44">
        <v>45727</v>
      </c>
      <c r="L33" s="83" t="s">
        <v>14</v>
      </c>
      <c r="M33" s="83" t="s">
        <v>222</v>
      </c>
      <c r="N33" s="4">
        <v>2025</v>
      </c>
    </row>
    <row r="34" spans="1:14">
      <c r="A34" s="17">
        <v>33</v>
      </c>
      <c r="B34" s="17" t="s">
        <v>33</v>
      </c>
      <c r="C34" s="18" t="s">
        <v>34</v>
      </c>
      <c r="D34" s="17" t="s">
        <v>60</v>
      </c>
      <c r="E34" s="11" t="s">
        <v>71</v>
      </c>
      <c r="F34" s="17"/>
      <c r="G34" s="17" t="s">
        <v>64</v>
      </c>
      <c r="H34" s="25" t="s">
        <v>258</v>
      </c>
      <c r="I34" s="24">
        <v>1244.8275862068965</v>
      </c>
      <c r="J34" s="17" t="s">
        <v>68</v>
      </c>
      <c r="K34" s="44" t="s">
        <v>280</v>
      </c>
      <c r="L34" s="83" t="s">
        <v>14</v>
      </c>
      <c r="M34" s="83" t="s">
        <v>222</v>
      </c>
      <c r="N34" s="4">
        <v>2025</v>
      </c>
    </row>
    <row r="35" spans="1:14">
      <c r="A35" s="17">
        <v>34</v>
      </c>
      <c r="B35" s="17" t="s">
        <v>33</v>
      </c>
      <c r="C35" s="18" t="s">
        <v>34</v>
      </c>
      <c r="D35" s="17" t="s">
        <v>60</v>
      </c>
      <c r="E35" s="11" t="s">
        <v>71</v>
      </c>
      <c r="F35" s="17"/>
      <c r="G35" s="17" t="s">
        <v>64</v>
      </c>
      <c r="H35" s="25" t="s">
        <v>258</v>
      </c>
      <c r="I35" s="24">
        <v>206.89655172413794</v>
      </c>
      <c r="J35" s="17" t="s">
        <v>68</v>
      </c>
      <c r="K35" s="44" t="s">
        <v>281</v>
      </c>
      <c r="L35" s="83" t="s">
        <v>14</v>
      </c>
      <c r="M35" s="83" t="s">
        <v>222</v>
      </c>
      <c r="N35" s="4">
        <v>2025</v>
      </c>
    </row>
    <row r="36" spans="1:14">
      <c r="A36" s="17">
        <v>35</v>
      </c>
      <c r="B36" s="17" t="s">
        <v>52</v>
      </c>
      <c r="C36" s="18" t="s">
        <v>53</v>
      </c>
      <c r="D36" s="17" t="s">
        <v>60</v>
      </c>
      <c r="E36" s="11" t="s">
        <v>71</v>
      </c>
      <c r="F36" s="17"/>
      <c r="G36" s="17" t="s">
        <v>64</v>
      </c>
      <c r="H36" s="25" t="s">
        <v>710</v>
      </c>
      <c r="I36" s="24">
        <v>315.86206896551727</v>
      </c>
      <c r="J36" s="17">
        <v>30566</v>
      </c>
      <c r="K36" s="44">
        <v>45669</v>
      </c>
      <c r="L36" s="83" t="s">
        <v>14</v>
      </c>
      <c r="M36" s="83" t="s">
        <v>222</v>
      </c>
      <c r="N36" s="4">
        <v>2025</v>
      </c>
    </row>
    <row r="37" spans="1:14">
      <c r="A37" s="17">
        <v>36</v>
      </c>
      <c r="B37" s="17" t="s">
        <v>52</v>
      </c>
      <c r="C37" s="18" t="s">
        <v>53</v>
      </c>
      <c r="D37" s="17" t="s">
        <v>60</v>
      </c>
      <c r="E37" s="11" t="s">
        <v>71</v>
      </c>
      <c r="F37" s="17"/>
      <c r="G37" s="17" t="s">
        <v>64</v>
      </c>
      <c r="H37" s="25" t="s">
        <v>711</v>
      </c>
      <c r="I37" s="24">
        <v>1158.6206896551723</v>
      </c>
      <c r="J37" s="17">
        <v>2442</v>
      </c>
      <c r="K37" s="44">
        <v>45850</v>
      </c>
      <c r="L37" s="83" t="s">
        <v>14</v>
      </c>
      <c r="M37" s="83" t="s">
        <v>222</v>
      </c>
      <c r="N37" s="4">
        <v>2025</v>
      </c>
    </row>
    <row r="38" spans="1:14">
      <c r="A38" s="17">
        <v>37</v>
      </c>
      <c r="B38" s="17" t="s">
        <v>52</v>
      </c>
      <c r="C38" s="18" t="s">
        <v>53</v>
      </c>
      <c r="D38" s="17" t="s">
        <v>60</v>
      </c>
      <c r="E38" s="11" t="s">
        <v>71</v>
      </c>
      <c r="F38" s="17"/>
      <c r="G38" s="17" t="s">
        <v>64</v>
      </c>
      <c r="H38" s="25" t="s">
        <v>712</v>
      </c>
      <c r="I38" s="24">
        <v>362.06896551724139</v>
      </c>
      <c r="J38" s="17">
        <v>27</v>
      </c>
      <c r="K38" s="44" t="s">
        <v>686</v>
      </c>
      <c r="L38" s="83" t="s">
        <v>14</v>
      </c>
      <c r="M38" s="83" t="s">
        <v>222</v>
      </c>
      <c r="N38" s="4">
        <v>2025</v>
      </c>
    </row>
    <row r="39" spans="1:14">
      <c r="A39" s="17">
        <v>38</v>
      </c>
      <c r="B39" s="17" t="s">
        <v>52</v>
      </c>
      <c r="C39" s="18" t="s">
        <v>53</v>
      </c>
      <c r="D39" s="17" t="s">
        <v>60</v>
      </c>
      <c r="E39" s="11" t="s">
        <v>71</v>
      </c>
      <c r="F39" s="17"/>
      <c r="G39" s="17" t="s">
        <v>64</v>
      </c>
      <c r="H39" s="25" t="s">
        <v>713</v>
      </c>
      <c r="I39" s="24">
        <v>310.34482758620692</v>
      </c>
      <c r="J39" s="17">
        <v>32380</v>
      </c>
      <c r="K39" s="44" t="s">
        <v>684</v>
      </c>
      <c r="L39" s="83" t="s">
        <v>14</v>
      </c>
      <c r="M39" s="83" t="s">
        <v>222</v>
      </c>
      <c r="N39" s="4">
        <v>2025</v>
      </c>
    </row>
    <row r="40" spans="1:14">
      <c r="A40" s="17">
        <v>39</v>
      </c>
      <c r="B40" s="17" t="s">
        <v>52</v>
      </c>
      <c r="C40" s="18" t="s">
        <v>53</v>
      </c>
      <c r="D40" s="17" t="s">
        <v>60</v>
      </c>
      <c r="E40" s="11" t="s">
        <v>71</v>
      </c>
      <c r="F40" s="17"/>
      <c r="G40" s="17" t="s">
        <v>64</v>
      </c>
      <c r="H40" s="25" t="s">
        <v>714</v>
      </c>
      <c r="I40" s="24">
        <v>375.86206896551727</v>
      </c>
      <c r="J40" s="17" t="s">
        <v>68</v>
      </c>
      <c r="K40" s="44" t="s">
        <v>280</v>
      </c>
      <c r="L40" s="83" t="s">
        <v>14</v>
      </c>
      <c r="M40" s="83" t="s">
        <v>222</v>
      </c>
      <c r="N40" s="4">
        <v>2025</v>
      </c>
    </row>
    <row r="41" spans="1:14">
      <c r="A41" s="17">
        <v>40</v>
      </c>
      <c r="B41" s="17" t="s">
        <v>52</v>
      </c>
      <c r="C41" s="18" t="s">
        <v>53</v>
      </c>
      <c r="D41" s="17" t="s">
        <v>60</v>
      </c>
      <c r="E41" s="11" t="s">
        <v>71</v>
      </c>
      <c r="F41" s="17"/>
      <c r="G41" s="17" t="s">
        <v>64</v>
      </c>
      <c r="H41" s="25" t="s">
        <v>715</v>
      </c>
      <c r="I41" s="24">
        <v>1545.1724137931035</v>
      </c>
      <c r="J41" s="17" t="s">
        <v>68</v>
      </c>
      <c r="K41" s="44" t="s">
        <v>677</v>
      </c>
      <c r="L41" s="83" t="s">
        <v>14</v>
      </c>
      <c r="M41" s="83" t="s">
        <v>222</v>
      </c>
      <c r="N41" s="4">
        <v>2025</v>
      </c>
    </row>
    <row r="42" spans="1:14">
      <c r="A42" s="17">
        <v>41</v>
      </c>
      <c r="B42" s="17" t="s">
        <v>52</v>
      </c>
      <c r="C42" s="18" t="s">
        <v>53</v>
      </c>
      <c r="D42" s="17" t="s">
        <v>60</v>
      </c>
      <c r="E42" s="11" t="s">
        <v>71</v>
      </c>
      <c r="F42" s="17"/>
      <c r="G42" s="17" t="s">
        <v>64</v>
      </c>
      <c r="H42" s="25" t="s">
        <v>715</v>
      </c>
      <c r="I42" s="24">
        <v>1321.3793103448277</v>
      </c>
      <c r="J42" s="17" t="s">
        <v>68</v>
      </c>
      <c r="K42" s="44" t="s">
        <v>676</v>
      </c>
      <c r="L42" s="83" t="s">
        <v>14</v>
      </c>
      <c r="M42" s="83" t="s">
        <v>222</v>
      </c>
      <c r="N42" s="4">
        <v>2025</v>
      </c>
    </row>
    <row r="43" spans="1:14">
      <c r="A43" s="17">
        <v>42</v>
      </c>
      <c r="B43" s="17" t="s">
        <v>52</v>
      </c>
      <c r="C43" s="18" t="s">
        <v>53</v>
      </c>
      <c r="D43" s="17" t="s">
        <v>60</v>
      </c>
      <c r="E43" s="11" t="s">
        <v>71</v>
      </c>
      <c r="F43" s="17"/>
      <c r="G43" s="17" t="s">
        <v>64</v>
      </c>
      <c r="H43" s="25" t="s">
        <v>716</v>
      </c>
      <c r="I43" s="24">
        <v>867.24137931034488</v>
      </c>
      <c r="J43" s="17" t="s">
        <v>68</v>
      </c>
      <c r="K43" s="44" t="s">
        <v>684</v>
      </c>
      <c r="L43" s="83" t="s">
        <v>14</v>
      </c>
      <c r="M43" s="83" t="s">
        <v>222</v>
      </c>
      <c r="N43" s="4">
        <v>2025</v>
      </c>
    </row>
    <row r="44" spans="1:14">
      <c r="A44" s="17">
        <v>43</v>
      </c>
      <c r="B44" s="17" t="s">
        <v>52</v>
      </c>
      <c r="C44" s="18" t="s">
        <v>53</v>
      </c>
      <c r="D44" s="17" t="s">
        <v>60</v>
      </c>
      <c r="E44" s="11" t="s">
        <v>71</v>
      </c>
      <c r="F44" s="17"/>
      <c r="G44" s="17" t="s">
        <v>64</v>
      </c>
      <c r="H44" s="25" t="s">
        <v>715</v>
      </c>
      <c r="I44" s="24">
        <v>1479.3103448275863</v>
      </c>
      <c r="J44" s="17" t="s">
        <v>68</v>
      </c>
      <c r="K44" s="44" t="s">
        <v>687</v>
      </c>
      <c r="L44" s="83" t="s">
        <v>14</v>
      </c>
      <c r="M44" s="83" t="s">
        <v>222</v>
      </c>
      <c r="N44" s="4">
        <v>2025</v>
      </c>
    </row>
    <row r="45" spans="1:14">
      <c r="A45" s="17">
        <v>44</v>
      </c>
      <c r="B45" s="17" t="s">
        <v>58</v>
      </c>
      <c r="C45" s="18" t="s">
        <v>59</v>
      </c>
      <c r="D45" s="17" t="s">
        <v>60</v>
      </c>
      <c r="E45" s="11" t="s">
        <v>71</v>
      </c>
      <c r="F45" s="17"/>
      <c r="G45" s="17" t="s">
        <v>64</v>
      </c>
      <c r="H45" s="25" t="s">
        <v>717</v>
      </c>
      <c r="I45" s="24">
        <v>275.86206896551727</v>
      </c>
      <c r="J45" s="17" t="s">
        <v>68</v>
      </c>
      <c r="K45" s="44" t="s">
        <v>277</v>
      </c>
      <c r="L45" s="83" t="s">
        <v>14</v>
      </c>
      <c r="M45" s="83" t="s">
        <v>222</v>
      </c>
      <c r="N45" s="4">
        <v>2025</v>
      </c>
    </row>
    <row r="46" spans="1:14">
      <c r="A46" s="17">
        <v>45</v>
      </c>
      <c r="B46" s="17" t="s">
        <v>17</v>
      </c>
      <c r="C46" s="18" t="s">
        <v>22</v>
      </c>
      <c r="D46" s="17" t="s">
        <v>60</v>
      </c>
      <c r="E46" s="11" t="s">
        <v>71</v>
      </c>
      <c r="F46" s="17"/>
      <c r="G46" s="17" t="s">
        <v>64</v>
      </c>
      <c r="H46" s="25" t="s">
        <v>72</v>
      </c>
      <c r="I46" s="24">
        <v>649.65517241379314</v>
      </c>
      <c r="J46" s="17" t="s">
        <v>68</v>
      </c>
      <c r="K46" s="44">
        <v>45942</v>
      </c>
      <c r="L46" s="83" t="s">
        <v>14</v>
      </c>
      <c r="M46" s="83" t="s">
        <v>222</v>
      </c>
      <c r="N46" s="4">
        <v>2025</v>
      </c>
    </row>
    <row r="47" spans="1:14">
      <c r="A47" s="17">
        <v>46</v>
      </c>
      <c r="B47" s="17" t="s">
        <v>17</v>
      </c>
      <c r="C47" s="17" t="s">
        <v>22</v>
      </c>
      <c r="D47" s="17" t="s">
        <v>60</v>
      </c>
      <c r="E47" s="17" t="s">
        <v>71</v>
      </c>
      <c r="F47" s="17"/>
      <c r="G47" s="17" t="s">
        <v>64</v>
      </c>
      <c r="H47" s="17" t="s">
        <v>718</v>
      </c>
      <c r="I47" s="24">
        <v>551.72413793103453</v>
      </c>
      <c r="J47" s="17">
        <v>7019</v>
      </c>
      <c r="K47" s="44">
        <v>45668</v>
      </c>
      <c r="L47" s="83" t="s">
        <v>14</v>
      </c>
      <c r="M47" s="83" t="s">
        <v>222</v>
      </c>
      <c r="N47" s="4">
        <v>2025</v>
      </c>
    </row>
    <row r="48" spans="1:14">
      <c r="A48" s="17">
        <v>47</v>
      </c>
      <c r="B48" s="17" t="s">
        <v>17</v>
      </c>
      <c r="C48" s="18" t="s">
        <v>22</v>
      </c>
      <c r="D48" s="17" t="s">
        <v>60</v>
      </c>
      <c r="E48" s="17" t="s">
        <v>71</v>
      </c>
      <c r="F48" s="17"/>
      <c r="G48" s="17" t="s">
        <v>64</v>
      </c>
      <c r="H48" s="25" t="s">
        <v>719</v>
      </c>
      <c r="I48" s="24">
        <v>431.0344827586207</v>
      </c>
      <c r="J48" s="17" t="s">
        <v>68</v>
      </c>
      <c r="K48" s="44" t="s">
        <v>679</v>
      </c>
      <c r="L48" s="83" t="s">
        <v>14</v>
      </c>
      <c r="M48" s="83" t="s">
        <v>222</v>
      </c>
      <c r="N48" s="4">
        <v>2025</v>
      </c>
    </row>
    <row r="49" spans="1:14">
      <c r="A49" s="17">
        <v>48</v>
      </c>
      <c r="B49" s="17" t="s">
        <v>17</v>
      </c>
      <c r="C49" s="17" t="s">
        <v>22</v>
      </c>
      <c r="D49" s="17" t="s">
        <v>60</v>
      </c>
      <c r="E49" s="17" t="s">
        <v>71</v>
      </c>
      <c r="F49" s="17"/>
      <c r="G49" s="17" t="s">
        <v>64</v>
      </c>
      <c r="H49" s="17" t="s">
        <v>720</v>
      </c>
      <c r="I49" s="24">
        <v>1034.4827586206898</v>
      </c>
      <c r="J49" s="17" t="s">
        <v>68</v>
      </c>
      <c r="K49" s="44">
        <v>45759</v>
      </c>
      <c r="L49" s="83" t="s">
        <v>14</v>
      </c>
      <c r="M49" s="83" t="s">
        <v>222</v>
      </c>
      <c r="N49" s="4">
        <v>2025</v>
      </c>
    </row>
    <row r="50" spans="1:14">
      <c r="A50" s="17">
        <v>49</v>
      </c>
      <c r="B50" s="17" t="s">
        <v>42</v>
      </c>
      <c r="C50" s="17" t="s">
        <v>46</v>
      </c>
      <c r="D50" s="17" t="s">
        <v>60</v>
      </c>
      <c r="E50" s="17" t="s">
        <v>71</v>
      </c>
      <c r="F50" s="17"/>
      <c r="G50" s="17" t="s">
        <v>64</v>
      </c>
      <c r="H50" s="17" t="s">
        <v>721</v>
      </c>
      <c r="I50" s="24">
        <v>717.58620689655174</v>
      </c>
      <c r="J50" s="17" t="s">
        <v>68</v>
      </c>
      <c r="K50" s="44">
        <v>45881</v>
      </c>
      <c r="L50" s="83" t="s">
        <v>14</v>
      </c>
      <c r="M50" s="83" t="s">
        <v>222</v>
      </c>
      <c r="N50" s="4">
        <v>2025</v>
      </c>
    </row>
    <row r="51" spans="1:14">
      <c r="A51" s="17">
        <v>50</v>
      </c>
      <c r="B51" s="17" t="s">
        <v>303</v>
      </c>
      <c r="C51" s="17" t="s">
        <v>30</v>
      </c>
      <c r="D51" s="17" t="s">
        <v>60</v>
      </c>
      <c r="E51" s="17" t="s">
        <v>71</v>
      </c>
      <c r="F51" s="17"/>
      <c r="G51" s="17" t="s">
        <v>64</v>
      </c>
      <c r="H51" s="17" t="s">
        <v>722</v>
      </c>
      <c r="I51" s="24">
        <v>931.0344827586207</v>
      </c>
      <c r="J51" s="17" t="s">
        <v>68</v>
      </c>
      <c r="K51" s="44" t="s">
        <v>688</v>
      </c>
      <c r="L51" s="83" t="s">
        <v>14</v>
      </c>
      <c r="M51" s="83" t="s">
        <v>222</v>
      </c>
      <c r="N51" s="4">
        <v>2025</v>
      </c>
    </row>
    <row r="52" spans="1:14">
      <c r="A52" s="17">
        <v>51</v>
      </c>
      <c r="B52" s="17" t="s">
        <v>42</v>
      </c>
      <c r="C52" s="17" t="s">
        <v>48</v>
      </c>
      <c r="D52" s="17" t="s">
        <v>60</v>
      </c>
      <c r="E52" s="17" t="s">
        <v>71</v>
      </c>
      <c r="F52" s="17"/>
      <c r="G52" s="17" t="s">
        <v>64</v>
      </c>
      <c r="H52" s="17" t="s">
        <v>262</v>
      </c>
      <c r="I52" s="24">
        <v>371.37931034482756</v>
      </c>
      <c r="J52" s="17" t="s">
        <v>68</v>
      </c>
      <c r="K52" s="44">
        <v>45759</v>
      </c>
      <c r="L52" s="83" t="s">
        <v>14</v>
      </c>
      <c r="M52" s="83" t="s">
        <v>222</v>
      </c>
      <c r="N52" s="4">
        <v>2025</v>
      </c>
    </row>
    <row r="53" spans="1:14">
      <c r="A53" s="17">
        <v>52</v>
      </c>
      <c r="B53" s="17" t="s">
        <v>42</v>
      </c>
      <c r="C53" s="17" t="s">
        <v>48</v>
      </c>
      <c r="D53" s="17" t="s">
        <v>60</v>
      </c>
      <c r="E53" s="17" t="s">
        <v>71</v>
      </c>
      <c r="F53" s="17"/>
      <c r="G53" s="17" t="s">
        <v>64</v>
      </c>
      <c r="H53" s="17" t="s">
        <v>262</v>
      </c>
      <c r="I53" s="24">
        <v>549.65517241379314</v>
      </c>
      <c r="J53" s="17" t="s">
        <v>68</v>
      </c>
      <c r="K53" s="44" t="s">
        <v>684</v>
      </c>
      <c r="L53" s="83" t="s">
        <v>14</v>
      </c>
      <c r="M53" s="83" t="s">
        <v>222</v>
      </c>
      <c r="N53" s="4">
        <v>2025</v>
      </c>
    </row>
    <row r="54" spans="1:14">
      <c r="A54" s="17">
        <v>53</v>
      </c>
      <c r="B54" s="17" t="s">
        <v>42</v>
      </c>
      <c r="C54" s="17" t="s">
        <v>50</v>
      </c>
      <c r="D54" s="17" t="s">
        <v>60</v>
      </c>
      <c r="E54" s="17" t="s">
        <v>71</v>
      </c>
      <c r="F54" s="17"/>
      <c r="G54" s="17" t="s">
        <v>64</v>
      </c>
      <c r="H54" s="25" t="s">
        <v>263</v>
      </c>
      <c r="I54" s="24">
        <v>1035.1724137931035</v>
      </c>
      <c r="J54" s="17" t="s">
        <v>68</v>
      </c>
      <c r="K54" s="44">
        <v>45728</v>
      </c>
      <c r="L54" s="83" t="s">
        <v>14</v>
      </c>
      <c r="M54" s="83" t="s">
        <v>222</v>
      </c>
      <c r="N54" s="4">
        <v>2025</v>
      </c>
    </row>
    <row r="55" spans="1:14">
      <c r="A55" s="17">
        <v>54</v>
      </c>
      <c r="B55" s="17" t="s">
        <v>42</v>
      </c>
      <c r="C55" s="18" t="s">
        <v>50</v>
      </c>
      <c r="D55" s="17" t="s">
        <v>60</v>
      </c>
      <c r="E55" s="11" t="s">
        <v>71</v>
      </c>
      <c r="F55" s="17"/>
      <c r="G55" s="17" t="s">
        <v>64</v>
      </c>
      <c r="H55" s="25" t="s">
        <v>723</v>
      </c>
      <c r="I55" s="24">
        <v>1013.7931034482758</v>
      </c>
      <c r="J55" s="17" t="s">
        <v>68</v>
      </c>
      <c r="K55" s="44" t="s">
        <v>674</v>
      </c>
      <c r="L55" s="83" t="s">
        <v>14</v>
      </c>
      <c r="M55" s="83" t="s">
        <v>222</v>
      </c>
      <c r="N55" s="4">
        <v>2025</v>
      </c>
    </row>
    <row r="56" spans="1:14">
      <c r="A56" s="17">
        <v>55</v>
      </c>
      <c r="B56" s="17" t="s">
        <v>42</v>
      </c>
      <c r="C56" s="17" t="s">
        <v>51</v>
      </c>
      <c r="D56" s="17" t="s">
        <v>60</v>
      </c>
      <c r="E56" s="17" t="s">
        <v>71</v>
      </c>
      <c r="F56" s="17"/>
      <c r="G56" s="17" t="s">
        <v>64</v>
      </c>
      <c r="H56" s="17" t="s">
        <v>724</v>
      </c>
      <c r="I56" s="24">
        <v>820</v>
      </c>
      <c r="J56" s="17" t="s">
        <v>68</v>
      </c>
      <c r="K56" s="44">
        <v>45728</v>
      </c>
      <c r="L56" s="83" t="s">
        <v>14</v>
      </c>
      <c r="M56" s="83" t="s">
        <v>222</v>
      </c>
      <c r="N56" s="4">
        <v>2025</v>
      </c>
    </row>
    <row r="57" spans="1:14">
      <c r="A57" s="17">
        <v>56</v>
      </c>
      <c r="B57" s="17" t="s">
        <v>17</v>
      </c>
      <c r="C57" s="18" t="s">
        <v>24</v>
      </c>
      <c r="D57" s="17" t="s">
        <v>60</v>
      </c>
      <c r="E57" s="17" t="s">
        <v>71</v>
      </c>
      <c r="F57" s="17"/>
      <c r="G57" s="17" t="s">
        <v>64</v>
      </c>
      <c r="H57" s="25" t="s">
        <v>264</v>
      </c>
      <c r="I57" s="24">
        <v>935.17241379310349</v>
      </c>
      <c r="J57" s="18" t="s">
        <v>68</v>
      </c>
      <c r="K57" s="44" t="s">
        <v>688</v>
      </c>
      <c r="L57" s="83" t="s">
        <v>14</v>
      </c>
      <c r="M57" s="83" t="s">
        <v>222</v>
      </c>
      <c r="N57" s="4">
        <v>2025</v>
      </c>
    </row>
    <row r="58" spans="1:14">
      <c r="A58" s="17">
        <v>57</v>
      </c>
      <c r="B58" s="17" t="s">
        <v>671</v>
      </c>
      <c r="C58" s="18" t="s">
        <v>671</v>
      </c>
      <c r="D58" s="17" t="s">
        <v>60</v>
      </c>
      <c r="E58" s="11" t="s">
        <v>71</v>
      </c>
      <c r="F58" s="17"/>
      <c r="G58" s="17" t="s">
        <v>64</v>
      </c>
      <c r="H58" s="25" t="s">
        <v>725</v>
      </c>
      <c r="I58" s="24">
        <v>137.93103448275863</v>
      </c>
      <c r="J58" s="17" t="s">
        <v>68</v>
      </c>
      <c r="K58" s="44">
        <v>45881</v>
      </c>
      <c r="L58" s="83" t="s">
        <v>14</v>
      </c>
      <c r="M58" s="83" t="s">
        <v>222</v>
      </c>
      <c r="N58" s="4">
        <v>2025</v>
      </c>
    </row>
    <row r="59" spans="1:14">
      <c r="A59" s="17">
        <v>58</v>
      </c>
      <c r="B59" s="17" t="s">
        <v>17</v>
      </c>
      <c r="C59" s="18" t="s">
        <v>25</v>
      </c>
      <c r="D59" s="17" t="s">
        <v>60</v>
      </c>
      <c r="E59" s="11" t="s">
        <v>71</v>
      </c>
      <c r="F59" s="17"/>
      <c r="G59" s="17" t="s">
        <v>64</v>
      </c>
      <c r="H59" s="25" t="s">
        <v>265</v>
      </c>
      <c r="I59" s="24">
        <v>2750.344827586207</v>
      </c>
      <c r="J59" s="17" t="s">
        <v>68</v>
      </c>
      <c r="K59" s="44" t="s">
        <v>279</v>
      </c>
      <c r="L59" s="83" t="s">
        <v>14</v>
      </c>
      <c r="M59" s="83" t="s">
        <v>222</v>
      </c>
      <c r="N59" s="4">
        <v>2025</v>
      </c>
    </row>
    <row r="60" spans="1:14">
      <c r="A60" s="17">
        <v>59</v>
      </c>
      <c r="B60" s="17" t="s">
        <v>17</v>
      </c>
      <c r="C60" s="18" t="s">
        <v>25</v>
      </c>
      <c r="D60" s="17" t="s">
        <v>60</v>
      </c>
      <c r="E60" s="11" t="s">
        <v>71</v>
      </c>
      <c r="F60" s="17"/>
      <c r="G60" s="17" t="s">
        <v>64</v>
      </c>
      <c r="H60" s="25" t="s">
        <v>703</v>
      </c>
      <c r="I60" s="24">
        <v>1384.8275862068965</v>
      </c>
      <c r="J60" s="17" t="s">
        <v>68</v>
      </c>
      <c r="K60" s="44" t="s">
        <v>278</v>
      </c>
      <c r="L60" s="83" t="s">
        <v>14</v>
      </c>
      <c r="M60" s="83" t="s">
        <v>222</v>
      </c>
      <c r="N60" s="4">
        <v>2025</v>
      </c>
    </row>
    <row r="61" spans="1:14">
      <c r="A61" s="17">
        <v>60</v>
      </c>
      <c r="B61" s="17" t="s">
        <v>17</v>
      </c>
      <c r="C61" s="17" t="s">
        <v>25</v>
      </c>
      <c r="D61" s="17" t="s">
        <v>60</v>
      </c>
      <c r="E61" s="17" t="s">
        <v>71</v>
      </c>
      <c r="F61" s="17"/>
      <c r="G61" s="17" t="s">
        <v>64</v>
      </c>
      <c r="H61" s="17" t="s">
        <v>265</v>
      </c>
      <c r="I61" s="24">
        <v>1453.7931034482758</v>
      </c>
      <c r="J61" s="17" t="s">
        <v>68</v>
      </c>
      <c r="K61" s="44">
        <v>45728</v>
      </c>
      <c r="L61" s="83" t="s">
        <v>14</v>
      </c>
      <c r="M61" s="83" t="s">
        <v>222</v>
      </c>
      <c r="N61" s="4">
        <v>2025</v>
      </c>
    </row>
    <row r="62" spans="1:14">
      <c r="A62" s="17">
        <v>61</v>
      </c>
      <c r="B62" s="11" t="s">
        <v>17</v>
      </c>
      <c r="C62" s="11" t="s">
        <v>25</v>
      </c>
      <c r="D62" s="17" t="s">
        <v>60</v>
      </c>
      <c r="E62" s="11" t="s">
        <v>71</v>
      </c>
      <c r="F62" s="17"/>
      <c r="G62" s="17" t="s">
        <v>64</v>
      </c>
      <c r="H62" s="25" t="s">
        <v>726</v>
      </c>
      <c r="I62" s="24">
        <v>258.62068965517244</v>
      </c>
      <c r="J62" s="17">
        <v>2341</v>
      </c>
      <c r="K62" s="44">
        <v>45850</v>
      </c>
      <c r="L62" s="83" t="s">
        <v>14</v>
      </c>
      <c r="M62" s="83" t="s">
        <v>222</v>
      </c>
      <c r="N62" s="4">
        <v>2025</v>
      </c>
    </row>
    <row r="63" spans="1:14">
      <c r="A63" s="17">
        <v>62</v>
      </c>
      <c r="B63" s="17" t="s">
        <v>17</v>
      </c>
      <c r="C63" s="18" t="s">
        <v>25</v>
      </c>
      <c r="D63" s="17" t="s">
        <v>60</v>
      </c>
      <c r="E63" s="11" t="s">
        <v>71</v>
      </c>
      <c r="F63" s="17"/>
      <c r="G63" s="17" t="s">
        <v>64</v>
      </c>
      <c r="H63" s="25" t="s">
        <v>265</v>
      </c>
      <c r="I63" s="24">
        <v>2228.9655172413795</v>
      </c>
      <c r="J63" s="17" t="s">
        <v>68</v>
      </c>
      <c r="K63" s="44" t="s">
        <v>689</v>
      </c>
      <c r="L63" s="83" t="s">
        <v>14</v>
      </c>
      <c r="M63" s="83" t="s">
        <v>222</v>
      </c>
      <c r="N63" s="4">
        <v>2025</v>
      </c>
    </row>
    <row r="64" spans="1:14">
      <c r="A64" s="17">
        <v>63</v>
      </c>
      <c r="B64" s="17" t="s">
        <v>42</v>
      </c>
      <c r="C64" s="17" t="s">
        <v>73</v>
      </c>
      <c r="D64" s="17" t="s">
        <v>60</v>
      </c>
      <c r="E64" s="17" t="s">
        <v>71</v>
      </c>
      <c r="F64" s="17"/>
      <c r="G64" s="17" t="s">
        <v>64</v>
      </c>
      <c r="H64" s="17" t="s">
        <v>266</v>
      </c>
      <c r="I64" s="24">
        <v>2535.8620689655172</v>
      </c>
      <c r="J64" s="17" t="s">
        <v>68</v>
      </c>
      <c r="K64" s="44" t="s">
        <v>690</v>
      </c>
      <c r="L64" s="83" t="s">
        <v>14</v>
      </c>
      <c r="M64" s="83" t="s">
        <v>222</v>
      </c>
      <c r="N64" s="4">
        <v>2025</v>
      </c>
    </row>
    <row r="65" spans="1:14">
      <c r="A65" s="17">
        <v>64</v>
      </c>
      <c r="B65" s="17" t="s">
        <v>52</v>
      </c>
      <c r="C65" s="18" t="s">
        <v>53</v>
      </c>
      <c r="D65" s="17" t="s">
        <v>60</v>
      </c>
      <c r="E65" s="11" t="s">
        <v>109</v>
      </c>
      <c r="F65" s="17"/>
      <c r="G65" s="17" t="s">
        <v>64</v>
      </c>
      <c r="H65" s="25" t="s">
        <v>727</v>
      </c>
      <c r="I65" s="24">
        <v>1057.2413793103449</v>
      </c>
      <c r="J65" s="17" t="s">
        <v>68</v>
      </c>
      <c r="K65" s="44" t="s">
        <v>679</v>
      </c>
      <c r="L65" s="83" t="s">
        <v>14</v>
      </c>
      <c r="M65" s="83" t="s">
        <v>222</v>
      </c>
      <c r="N65" s="4">
        <v>2025</v>
      </c>
    </row>
    <row r="66" spans="1:14">
      <c r="A66" s="17">
        <v>65</v>
      </c>
      <c r="B66" s="17" t="s">
        <v>58</v>
      </c>
      <c r="C66" s="18" t="s">
        <v>59</v>
      </c>
      <c r="D66" s="17" t="s">
        <v>60</v>
      </c>
      <c r="E66" s="11" t="s">
        <v>109</v>
      </c>
      <c r="F66" s="17"/>
      <c r="G66" s="17" t="s">
        <v>64</v>
      </c>
      <c r="H66" s="25" t="s">
        <v>728</v>
      </c>
      <c r="I66" s="24">
        <v>206.89655172413794</v>
      </c>
      <c r="J66" s="17" t="s">
        <v>68</v>
      </c>
      <c r="K66" s="44" t="s">
        <v>675</v>
      </c>
      <c r="L66" s="83" t="s">
        <v>14</v>
      </c>
      <c r="M66" s="83" t="s">
        <v>222</v>
      </c>
      <c r="N66" s="4">
        <v>2025</v>
      </c>
    </row>
    <row r="67" spans="1:14">
      <c r="A67" s="17">
        <v>66</v>
      </c>
      <c r="B67" s="17" t="s">
        <v>58</v>
      </c>
      <c r="C67" s="18" t="s">
        <v>59</v>
      </c>
      <c r="D67" s="17" t="s">
        <v>60</v>
      </c>
      <c r="E67" s="11" t="s">
        <v>109</v>
      </c>
      <c r="F67" s="17"/>
      <c r="G67" s="17" t="s">
        <v>64</v>
      </c>
      <c r="H67" s="25" t="s">
        <v>728</v>
      </c>
      <c r="I67" s="24">
        <v>206.89655172413794</v>
      </c>
      <c r="J67" s="17" t="s">
        <v>68</v>
      </c>
      <c r="K67" s="44" t="s">
        <v>675</v>
      </c>
      <c r="L67" s="83" t="s">
        <v>14</v>
      </c>
      <c r="M67" s="83" t="s">
        <v>222</v>
      </c>
      <c r="N67" s="4">
        <v>2025</v>
      </c>
    </row>
    <row r="68" spans="1:14">
      <c r="A68" s="17">
        <v>67</v>
      </c>
      <c r="B68" s="17" t="s">
        <v>52</v>
      </c>
      <c r="C68" s="18" t="s">
        <v>53</v>
      </c>
      <c r="D68" s="17" t="s">
        <v>60</v>
      </c>
      <c r="E68" s="11" t="s">
        <v>56</v>
      </c>
      <c r="F68" s="17"/>
      <c r="G68" s="17" t="s">
        <v>64</v>
      </c>
      <c r="H68" s="25" t="s">
        <v>729</v>
      </c>
      <c r="I68" s="24">
        <v>1241.3793103448277</v>
      </c>
      <c r="J68" s="17" t="s">
        <v>697</v>
      </c>
      <c r="K68" s="44" t="s">
        <v>279</v>
      </c>
      <c r="L68" s="83" t="s">
        <v>14</v>
      </c>
      <c r="M68" s="83" t="s">
        <v>222</v>
      </c>
      <c r="N68" s="4">
        <v>2025</v>
      </c>
    </row>
    <row r="69" spans="1:14">
      <c r="A69" s="17">
        <v>68</v>
      </c>
      <c r="B69" s="17" t="s">
        <v>52</v>
      </c>
      <c r="C69" s="18" t="s">
        <v>53</v>
      </c>
      <c r="D69" s="17" t="s">
        <v>60</v>
      </c>
      <c r="E69" s="11" t="s">
        <v>56</v>
      </c>
      <c r="F69" s="17"/>
      <c r="G69" s="17" t="s">
        <v>64</v>
      </c>
      <c r="H69" s="25" t="s">
        <v>730</v>
      </c>
      <c r="I69" s="24">
        <v>2169.655172413793</v>
      </c>
      <c r="J69" s="17" t="s">
        <v>68</v>
      </c>
      <c r="K69" s="44" t="s">
        <v>690</v>
      </c>
      <c r="L69" s="83" t="s">
        <v>14</v>
      </c>
      <c r="M69" s="83" t="s">
        <v>222</v>
      </c>
      <c r="N69" s="4">
        <v>2025</v>
      </c>
    </row>
    <row r="70" spans="1:14">
      <c r="A70" s="17">
        <v>69</v>
      </c>
      <c r="B70" s="17" t="s">
        <v>54</v>
      </c>
      <c r="C70" s="18" t="s">
        <v>55</v>
      </c>
      <c r="D70" s="17" t="s">
        <v>60</v>
      </c>
      <c r="E70" s="11" t="s">
        <v>71</v>
      </c>
      <c r="F70" s="17"/>
      <c r="G70" s="17" t="s">
        <v>64</v>
      </c>
      <c r="H70" s="25" t="s">
        <v>267</v>
      </c>
      <c r="I70" s="24">
        <v>189.65517241379311</v>
      </c>
      <c r="J70" s="17" t="s">
        <v>68</v>
      </c>
      <c r="K70" s="44">
        <v>45942</v>
      </c>
      <c r="L70" s="83" t="s">
        <v>14</v>
      </c>
      <c r="M70" s="83" t="s">
        <v>222</v>
      </c>
      <c r="N70" s="4">
        <v>2025</v>
      </c>
    </row>
    <row r="71" spans="1:14">
      <c r="A71" s="17">
        <v>70</v>
      </c>
      <c r="B71" s="17" t="s">
        <v>54</v>
      </c>
      <c r="C71" s="18" t="s">
        <v>55</v>
      </c>
      <c r="D71" s="17" t="s">
        <v>60</v>
      </c>
      <c r="E71" s="11" t="s">
        <v>71</v>
      </c>
      <c r="F71" s="17"/>
      <c r="G71" s="17" t="s">
        <v>64</v>
      </c>
      <c r="H71" s="25" t="s">
        <v>282</v>
      </c>
      <c r="I71" s="24">
        <v>546.20689655172418</v>
      </c>
      <c r="J71" s="17" t="s">
        <v>68</v>
      </c>
      <c r="K71" s="44" t="s">
        <v>673</v>
      </c>
      <c r="L71" s="83" t="s">
        <v>14</v>
      </c>
      <c r="M71" s="83" t="s">
        <v>222</v>
      </c>
      <c r="N71" s="4">
        <v>2025</v>
      </c>
    </row>
    <row r="72" spans="1:14">
      <c r="A72" s="17">
        <v>71</v>
      </c>
      <c r="B72" s="11" t="s">
        <v>52</v>
      </c>
      <c r="C72" s="11" t="s">
        <v>53</v>
      </c>
      <c r="D72" s="17" t="s">
        <v>60</v>
      </c>
      <c r="E72" s="11" t="s">
        <v>71</v>
      </c>
      <c r="F72" s="17"/>
      <c r="G72" s="17" t="s">
        <v>64</v>
      </c>
      <c r="H72" s="25" t="s">
        <v>731</v>
      </c>
      <c r="I72" s="24">
        <v>1005.8620689655172</v>
      </c>
      <c r="J72" s="17" t="s">
        <v>68</v>
      </c>
      <c r="K72" s="44" t="s">
        <v>279</v>
      </c>
      <c r="L72" s="83" t="s">
        <v>14</v>
      </c>
      <c r="M72" s="83" t="s">
        <v>222</v>
      </c>
      <c r="N72" s="4">
        <v>2025</v>
      </c>
    </row>
    <row r="73" spans="1:14">
      <c r="A73" s="17">
        <v>72</v>
      </c>
      <c r="B73" s="17" t="s">
        <v>52</v>
      </c>
      <c r="C73" s="18" t="s">
        <v>53</v>
      </c>
      <c r="D73" s="17" t="s">
        <v>60</v>
      </c>
      <c r="E73" s="11" t="s">
        <v>71</v>
      </c>
      <c r="F73" s="17"/>
      <c r="G73" s="17" t="s">
        <v>64</v>
      </c>
      <c r="H73" s="25" t="s">
        <v>731</v>
      </c>
      <c r="I73" s="24">
        <v>493.44827586206895</v>
      </c>
      <c r="J73" s="17" t="s">
        <v>68</v>
      </c>
      <c r="K73" s="44" t="s">
        <v>688</v>
      </c>
      <c r="L73" s="83" t="s">
        <v>14</v>
      </c>
      <c r="M73" s="83" t="s">
        <v>222</v>
      </c>
      <c r="N73" s="4">
        <v>2025</v>
      </c>
    </row>
    <row r="74" spans="1:14">
      <c r="A74" s="17">
        <v>73</v>
      </c>
      <c r="B74" s="17" t="s">
        <v>52</v>
      </c>
      <c r="C74" s="18" t="s">
        <v>53</v>
      </c>
      <c r="D74" s="17" t="s">
        <v>60</v>
      </c>
      <c r="E74" s="11" t="s">
        <v>71</v>
      </c>
      <c r="F74" s="17"/>
      <c r="G74" s="17" t="s">
        <v>64</v>
      </c>
      <c r="H74" s="25" t="s">
        <v>732</v>
      </c>
      <c r="I74" s="24">
        <v>3955.1724137931033</v>
      </c>
      <c r="J74" s="17" t="s">
        <v>68</v>
      </c>
      <c r="K74" s="44">
        <v>45912</v>
      </c>
      <c r="L74" s="83" t="s">
        <v>14</v>
      </c>
      <c r="M74" s="83" t="s">
        <v>222</v>
      </c>
      <c r="N74" s="4">
        <v>2025</v>
      </c>
    </row>
    <row r="75" spans="1:14">
      <c r="A75" s="17">
        <v>74</v>
      </c>
      <c r="B75" s="17" t="s">
        <v>52</v>
      </c>
      <c r="C75" s="18" t="s">
        <v>53</v>
      </c>
      <c r="D75" s="17" t="s">
        <v>60</v>
      </c>
      <c r="E75" s="11" t="s">
        <v>71</v>
      </c>
      <c r="F75" s="17"/>
      <c r="G75" s="17" t="s">
        <v>64</v>
      </c>
      <c r="H75" s="25" t="s">
        <v>731</v>
      </c>
      <c r="I75" s="24">
        <v>1096.8965517241379</v>
      </c>
      <c r="J75" s="17" t="s">
        <v>68</v>
      </c>
      <c r="K75" s="44">
        <v>45728</v>
      </c>
      <c r="L75" s="83" t="s">
        <v>14</v>
      </c>
      <c r="M75" s="83" t="s">
        <v>222</v>
      </c>
      <c r="N75" s="4">
        <v>2025</v>
      </c>
    </row>
    <row r="76" spans="1:14">
      <c r="A76" s="17">
        <v>75</v>
      </c>
      <c r="B76" s="17" t="s">
        <v>52</v>
      </c>
      <c r="C76" s="18" t="s">
        <v>53</v>
      </c>
      <c r="D76" s="17" t="s">
        <v>60</v>
      </c>
      <c r="E76" s="11" t="s">
        <v>71</v>
      </c>
      <c r="F76" s="17"/>
      <c r="G76" s="17" t="s">
        <v>64</v>
      </c>
      <c r="H76" s="25" t="s">
        <v>731</v>
      </c>
      <c r="I76" s="24">
        <v>355.17241379310343</v>
      </c>
      <c r="J76" s="17" t="s">
        <v>68</v>
      </c>
      <c r="K76" s="44">
        <v>45820</v>
      </c>
      <c r="L76" s="83" t="s">
        <v>14</v>
      </c>
      <c r="M76" s="83" t="s">
        <v>222</v>
      </c>
      <c r="N76" s="4">
        <v>2025</v>
      </c>
    </row>
    <row r="77" spans="1:14">
      <c r="A77" s="17">
        <v>76</v>
      </c>
      <c r="B77" s="17" t="s">
        <v>52</v>
      </c>
      <c r="C77" s="18" t="s">
        <v>53</v>
      </c>
      <c r="D77" s="17" t="s">
        <v>60</v>
      </c>
      <c r="E77" s="11" t="s">
        <v>71</v>
      </c>
      <c r="F77" s="17"/>
      <c r="G77" s="17" t="s">
        <v>64</v>
      </c>
      <c r="H77" s="25" t="s">
        <v>731</v>
      </c>
      <c r="I77" s="24">
        <v>1281.0344827586207</v>
      </c>
      <c r="J77" s="17" t="s">
        <v>68</v>
      </c>
      <c r="K77" s="44">
        <v>45973</v>
      </c>
      <c r="L77" s="83" t="s">
        <v>14</v>
      </c>
      <c r="M77" s="83" t="s">
        <v>222</v>
      </c>
      <c r="N77" s="4">
        <v>2025</v>
      </c>
    </row>
    <row r="78" spans="1:14">
      <c r="A78" s="17">
        <v>77</v>
      </c>
      <c r="B78" s="17" t="s">
        <v>52</v>
      </c>
      <c r="C78" s="18" t="s">
        <v>53</v>
      </c>
      <c r="D78" s="17" t="s">
        <v>60</v>
      </c>
      <c r="E78" s="11" t="s">
        <v>71</v>
      </c>
      <c r="F78" s="17"/>
      <c r="G78" s="17" t="s">
        <v>64</v>
      </c>
      <c r="H78" s="25" t="s">
        <v>261</v>
      </c>
      <c r="I78" s="24">
        <v>1541.3793103448277</v>
      </c>
      <c r="J78" s="17" t="s">
        <v>68</v>
      </c>
      <c r="K78" s="44" t="s">
        <v>280</v>
      </c>
      <c r="L78" s="83" t="s">
        <v>14</v>
      </c>
      <c r="M78" s="83" t="s">
        <v>222</v>
      </c>
      <c r="N78" s="4">
        <v>2025</v>
      </c>
    </row>
    <row r="79" spans="1:14">
      <c r="A79" s="17">
        <v>78</v>
      </c>
      <c r="B79" s="17" t="s">
        <v>52</v>
      </c>
      <c r="C79" s="18" t="s">
        <v>53</v>
      </c>
      <c r="D79" s="17" t="s">
        <v>60</v>
      </c>
      <c r="E79" s="11" t="s">
        <v>71</v>
      </c>
      <c r="F79" s="17"/>
      <c r="G79" s="17" t="s">
        <v>64</v>
      </c>
      <c r="H79" s="25" t="s">
        <v>714</v>
      </c>
      <c r="I79" s="24">
        <v>484.13793103448273</v>
      </c>
      <c r="J79" s="17" t="s">
        <v>68</v>
      </c>
      <c r="K79" s="44">
        <v>45973</v>
      </c>
      <c r="L79" s="83" t="s">
        <v>14</v>
      </c>
      <c r="M79" s="83" t="s">
        <v>222</v>
      </c>
      <c r="N79" s="4">
        <v>2025</v>
      </c>
    </row>
    <row r="80" spans="1:14">
      <c r="A80" s="17">
        <v>79</v>
      </c>
      <c r="B80" s="17" t="s">
        <v>52</v>
      </c>
      <c r="C80" s="18" t="s">
        <v>53</v>
      </c>
      <c r="D80" s="17" t="s">
        <v>60</v>
      </c>
      <c r="E80" s="11" t="s">
        <v>71</v>
      </c>
      <c r="F80" s="17"/>
      <c r="G80" s="17" t="s">
        <v>64</v>
      </c>
      <c r="H80" s="25" t="s">
        <v>261</v>
      </c>
      <c r="I80" s="24">
        <v>1712.7586206896551</v>
      </c>
      <c r="J80" s="17" t="s">
        <v>68</v>
      </c>
      <c r="K80" s="44">
        <v>45820</v>
      </c>
      <c r="L80" s="83" t="s">
        <v>14</v>
      </c>
      <c r="M80" s="83" t="s">
        <v>222</v>
      </c>
      <c r="N80" s="4">
        <v>2025</v>
      </c>
    </row>
    <row r="81" spans="1:14">
      <c r="A81" s="17">
        <v>80</v>
      </c>
      <c r="B81" s="17" t="s">
        <v>52</v>
      </c>
      <c r="C81" s="18" t="s">
        <v>53</v>
      </c>
      <c r="D81" s="17" t="s">
        <v>60</v>
      </c>
      <c r="E81" s="11" t="s">
        <v>71</v>
      </c>
      <c r="F81" s="17"/>
      <c r="G81" s="17" t="s">
        <v>64</v>
      </c>
      <c r="H81" s="25" t="s">
        <v>733</v>
      </c>
      <c r="I81" s="24">
        <v>1204.8275862068965</v>
      </c>
      <c r="J81" s="17" t="s">
        <v>68</v>
      </c>
      <c r="K81" s="44" t="s">
        <v>691</v>
      </c>
      <c r="L81" s="83" t="s">
        <v>14</v>
      </c>
      <c r="M81" s="83" t="s">
        <v>222</v>
      </c>
      <c r="N81" s="4">
        <v>2025</v>
      </c>
    </row>
    <row r="82" spans="1:14">
      <c r="A82" s="17">
        <v>81</v>
      </c>
      <c r="B82" s="17" t="s">
        <v>52</v>
      </c>
      <c r="C82" s="18" t="s">
        <v>53</v>
      </c>
      <c r="D82" s="17" t="s">
        <v>60</v>
      </c>
      <c r="E82" s="11" t="s">
        <v>71</v>
      </c>
      <c r="F82" s="17"/>
      <c r="G82" s="17" t="s">
        <v>64</v>
      </c>
      <c r="H82" s="25" t="s">
        <v>733</v>
      </c>
      <c r="I82" s="24">
        <v>1347.5862068965516</v>
      </c>
      <c r="J82" s="17" t="s">
        <v>68</v>
      </c>
      <c r="K82" s="44" t="s">
        <v>692</v>
      </c>
      <c r="L82" s="83" t="s">
        <v>14</v>
      </c>
      <c r="M82" s="83" t="s">
        <v>222</v>
      </c>
      <c r="N82" s="4">
        <v>2025</v>
      </c>
    </row>
    <row r="83" spans="1:14">
      <c r="A83" s="17">
        <v>82</v>
      </c>
      <c r="B83" s="17" t="s">
        <v>52</v>
      </c>
      <c r="C83" s="18" t="s">
        <v>53</v>
      </c>
      <c r="D83" s="17" t="s">
        <v>60</v>
      </c>
      <c r="E83" s="11" t="s">
        <v>71</v>
      </c>
      <c r="F83" s="17"/>
      <c r="G83" s="17" t="s">
        <v>64</v>
      </c>
      <c r="H83" s="25" t="s">
        <v>734</v>
      </c>
      <c r="I83" s="24">
        <v>1270</v>
      </c>
      <c r="J83" s="17" t="s">
        <v>68</v>
      </c>
      <c r="K83" s="44" t="s">
        <v>674</v>
      </c>
      <c r="L83" s="83" t="s">
        <v>14</v>
      </c>
      <c r="M83" s="83" t="s">
        <v>222</v>
      </c>
      <c r="N83" s="4">
        <v>2025</v>
      </c>
    </row>
    <row r="84" spans="1:14">
      <c r="A84" s="17">
        <v>83</v>
      </c>
      <c r="B84" s="17" t="s">
        <v>17</v>
      </c>
      <c r="C84" s="18" t="s">
        <v>18</v>
      </c>
      <c r="D84" s="17" t="s">
        <v>60</v>
      </c>
      <c r="E84" s="11" t="s">
        <v>81</v>
      </c>
      <c r="F84" s="17"/>
      <c r="G84" s="17" t="s">
        <v>64</v>
      </c>
      <c r="H84" s="25" t="s">
        <v>735</v>
      </c>
      <c r="I84" s="24">
        <v>482.75862068965517</v>
      </c>
      <c r="J84" s="17" t="s">
        <v>68</v>
      </c>
      <c r="K84" s="44">
        <v>45880</v>
      </c>
      <c r="L84" s="83" t="s">
        <v>14</v>
      </c>
      <c r="M84" s="83" t="s">
        <v>222</v>
      </c>
      <c r="N84" s="4">
        <v>2025</v>
      </c>
    </row>
    <row r="85" spans="1:14">
      <c r="A85" s="17">
        <v>84</v>
      </c>
      <c r="B85" s="17" t="s">
        <v>58</v>
      </c>
      <c r="C85" s="18" t="s">
        <v>59</v>
      </c>
      <c r="D85" s="17" t="s">
        <v>60</v>
      </c>
      <c r="E85" s="11" t="s">
        <v>81</v>
      </c>
      <c r="F85" s="17"/>
      <c r="G85" s="17" t="s">
        <v>64</v>
      </c>
      <c r="H85" s="25" t="s">
        <v>736</v>
      </c>
      <c r="I85" s="24">
        <v>124.13793103448276</v>
      </c>
      <c r="J85" s="17" t="s">
        <v>68</v>
      </c>
      <c r="K85" s="44">
        <v>45973</v>
      </c>
      <c r="L85" s="83" t="s">
        <v>14</v>
      </c>
      <c r="M85" s="83" t="s">
        <v>222</v>
      </c>
      <c r="N85" s="4">
        <v>2025</v>
      </c>
    </row>
    <row r="86" spans="1:14">
      <c r="A86" s="17">
        <v>85</v>
      </c>
      <c r="B86" s="17" t="s">
        <v>58</v>
      </c>
      <c r="C86" s="18" t="s">
        <v>59</v>
      </c>
      <c r="D86" s="17" t="s">
        <v>60</v>
      </c>
      <c r="E86" s="11" t="s">
        <v>100</v>
      </c>
      <c r="F86" s="17"/>
      <c r="G86" s="17" t="s">
        <v>64</v>
      </c>
      <c r="H86" s="25" t="s">
        <v>737</v>
      </c>
      <c r="I86" s="24">
        <v>248.27586206896552</v>
      </c>
      <c r="J86" s="17" t="s">
        <v>68</v>
      </c>
      <c r="K86" s="44">
        <v>45912</v>
      </c>
      <c r="L86" s="83" t="s">
        <v>14</v>
      </c>
      <c r="M86" s="83" t="s">
        <v>222</v>
      </c>
      <c r="N86" s="4">
        <v>2025</v>
      </c>
    </row>
    <row r="87" spans="1:14">
      <c r="A87" s="17"/>
      <c r="B87" s="11" t="s">
        <v>17</v>
      </c>
      <c r="C87" s="11" t="s">
        <v>22</v>
      </c>
      <c r="D87" s="12"/>
      <c r="E87" s="17" t="s">
        <v>100</v>
      </c>
      <c r="F87" s="11"/>
      <c r="G87" s="17"/>
      <c r="H87" s="17" t="s">
        <v>738</v>
      </c>
      <c r="I87" s="96">
        <v>3376.5517241379312</v>
      </c>
      <c r="J87" s="17" t="s">
        <v>68</v>
      </c>
      <c r="K87" s="18" t="s">
        <v>686</v>
      </c>
      <c r="L87" s="83" t="s">
        <v>14</v>
      </c>
      <c r="M87" s="83" t="s">
        <v>222</v>
      </c>
      <c r="N87" s="4">
        <v>2025</v>
      </c>
    </row>
    <row r="88" spans="1:14">
      <c r="A88" s="17"/>
      <c r="B88" s="11" t="s">
        <v>42</v>
      </c>
      <c r="C88" s="11" t="s">
        <v>50</v>
      </c>
      <c r="D88" s="12"/>
      <c r="E88" s="17" t="s">
        <v>100</v>
      </c>
      <c r="F88" s="11"/>
      <c r="G88" s="17"/>
      <c r="H88" s="17" t="s">
        <v>739</v>
      </c>
      <c r="I88" s="96">
        <v>395.86206896551727</v>
      </c>
      <c r="J88" s="17" t="s">
        <v>68</v>
      </c>
      <c r="K88" s="18">
        <v>45942</v>
      </c>
      <c r="L88" s="83" t="s">
        <v>14</v>
      </c>
      <c r="M88" s="83" t="s">
        <v>222</v>
      </c>
      <c r="N88" s="4">
        <v>2025</v>
      </c>
    </row>
    <row r="89" spans="1:14">
      <c r="A89" s="17"/>
      <c r="B89" s="11" t="s">
        <v>58</v>
      </c>
      <c r="C89" s="11" t="s">
        <v>59</v>
      </c>
      <c r="D89" s="12"/>
      <c r="E89" s="17" t="s">
        <v>80</v>
      </c>
      <c r="F89" s="11"/>
      <c r="G89" s="17"/>
      <c r="H89" s="17" t="s">
        <v>740</v>
      </c>
      <c r="I89" s="96">
        <v>758.62068965517244</v>
      </c>
      <c r="J89" s="17" t="s">
        <v>68</v>
      </c>
      <c r="K89" s="18">
        <v>45759</v>
      </c>
      <c r="L89" s="83" t="s">
        <v>14</v>
      </c>
      <c r="M89" s="83" t="s">
        <v>222</v>
      </c>
      <c r="N89" s="4">
        <v>2025</v>
      </c>
    </row>
    <row r="90" spans="1:14">
      <c r="A90" s="17"/>
      <c r="B90" s="11" t="s">
        <v>58</v>
      </c>
      <c r="C90" s="11" t="s">
        <v>59</v>
      </c>
      <c r="D90" s="12"/>
      <c r="E90" s="17" t="s">
        <v>80</v>
      </c>
      <c r="F90" s="11"/>
      <c r="G90" s="17"/>
      <c r="H90" s="25" t="s">
        <v>741</v>
      </c>
      <c r="I90" s="96">
        <v>448.27586206896552</v>
      </c>
      <c r="J90" s="25" t="s">
        <v>68</v>
      </c>
      <c r="K90" s="18" t="s">
        <v>678</v>
      </c>
      <c r="L90" s="83" t="s">
        <v>14</v>
      </c>
      <c r="M90" s="83" t="s">
        <v>222</v>
      </c>
      <c r="N90" s="4">
        <v>2025</v>
      </c>
    </row>
    <row r="91" spans="1:14">
      <c r="A91" s="17"/>
      <c r="B91" s="11" t="s">
        <v>58</v>
      </c>
      <c r="C91" s="11" t="s">
        <v>59</v>
      </c>
      <c r="D91" s="12"/>
      <c r="E91" s="17" t="s">
        <v>80</v>
      </c>
      <c r="F91" s="11"/>
      <c r="G91" s="17"/>
      <c r="H91" s="25" t="s">
        <v>742</v>
      </c>
      <c r="I91" s="96">
        <v>179.31034482758622</v>
      </c>
      <c r="J91" s="25" t="s">
        <v>68</v>
      </c>
      <c r="K91" s="18" t="s">
        <v>687</v>
      </c>
      <c r="L91" s="83" t="s">
        <v>14</v>
      </c>
      <c r="M91" s="83" t="s">
        <v>222</v>
      </c>
      <c r="N91" s="4">
        <v>2025</v>
      </c>
    </row>
    <row r="92" spans="1:14">
      <c r="A92" s="4"/>
      <c r="B92" s="4" t="s">
        <v>58</v>
      </c>
      <c r="C92" s="4" t="s">
        <v>59</v>
      </c>
      <c r="D92" s="4"/>
      <c r="E92" s="4" t="s">
        <v>80</v>
      </c>
      <c r="F92" s="4"/>
      <c r="G92" s="4"/>
      <c r="H92" s="4" t="s">
        <v>268</v>
      </c>
      <c r="I92" s="41">
        <v>1100</v>
      </c>
      <c r="J92" s="4" t="s">
        <v>68</v>
      </c>
      <c r="K92" s="4" t="s">
        <v>674</v>
      </c>
      <c r="L92" s="83" t="s">
        <v>14</v>
      </c>
      <c r="M92" s="83" t="s">
        <v>222</v>
      </c>
      <c r="N92" s="4">
        <v>2025</v>
      </c>
    </row>
    <row r="93" spans="1:14">
      <c r="A93" s="4"/>
      <c r="B93" s="4" t="s">
        <v>58</v>
      </c>
      <c r="C93" s="4" t="s">
        <v>59</v>
      </c>
      <c r="D93" s="4"/>
      <c r="E93" s="4" t="s">
        <v>80</v>
      </c>
      <c r="F93" s="4"/>
      <c r="G93" s="4"/>
      <c r="H93" s="4" t="s">
        <v>268</v>
      </c>
      <c r="I93" s="41">
        <v>1548.2758620689656</v>
      </c>
      <c r="J93" s="4" t="s">
        <v>68</v>
      </c>
      <c r="K93" s="4" t="s">
        <v>681</v>
      </c>
      <c r="L93" s="83" t="s">
        <v>14</v>
      </c>
      <c r="M93" s="83" t="s">
        <v>222</v>
      </c>
      <c r="N93" s="4">
        <v>2025</v>
      </c>
    </row>
    <row r="94" spans="1:14">
      <c r="A94" s="4"/>
      <c r="B94" s="4" t="s">
        <v>58</v>
      </c>
      <c r="C94" s="4" t="s">
        <v>59</v>
      </c>
      <c r="D94" s="4"/>
      <c r="E94" s="4" t="s">
        <v>80</v>
      </c>
      <c r="F94" s="4"/>
      <c r="G94" s="4"/>
      <c r="H94" s="4" t="s">
        <v>743</v>
      </c>
      <c r="I94" s="41">
        <v>4055.1724137931033</v>
      </c>
      <c r="J94" s="4" t="s">
        <v>68</v>
      </c>
      <c r="K94" s="4" t="s">
        <v>679</v>
      </c>
      <c r="L94" s="83" t="s">
        <v>14</v>
      </c>
      <c r="M94" s="83" t="s">
        <v>222</v>
      </c>
      <c r="N94" s="4">
        <v>2025</v>
      </c>
    </row>
    <row r="95" spans="1:14">
      <c r="A95" s="4"/>
      <c r="B95" s="4" t="s">
        <v>672</v>
      </c>
      <c r="C95" s="4" t="s">
        <v>672</v>
      </c>
      <c r="D95" s="4"/>
      <c r="E95" s="4" t="s">
        <v>102</v>
      </c>
      <c r="F95" s="4"/>
      <c r="G95" s="4"/>
      <c r="H95" s="4" t="s">
        <v>744</v>
      </c>
      <c r="I95" s="41">
        <v>155.17241379310346</v>
      </c>
      <c r="J95" s="4" t="s">
        <v>68</v>
      </c>
      <c r="K95" s="4" t="s">
        <v>678</v>
      </c>
      <c r="L95" s="83" t="s">
        <v>14</v>
      </c>
      <c r="M95" s="83" t="s">
        <v>222</v>
      </c>
      <c r="N95" s="4">
        <v>2025</v>
      </c>
    </row>
    <row r="96" spans="1:14">
      <c r="A96" s="4"/>
      <c r="B96" s="4" t="s">
        <v>17</v>
      </c>
      <c r="C96" s="4" t="s">
        <v>18</v>
      </c>
      <c r="D96" s="4"/>
      <c r="E96" s="4" t="s">
        <v>102</v>
      </c>
      <c r="F96" s="4"/>
      <c r="G96" s="4"/>
      <c r="H96" s="4" t="s">
        <v>104</v>
      </c>
      <c r="I96" s="41">
        <v>621.37931034482756</v>
      </c>
      <c r="J96" s="4" t="s">
        <v>68</v>
      </c>
      <c r="K96" s="4" t="s">
        <v>678</v>
      </c>
      <c r="L96" s="83" t="s">
        <v>14</v>
      </c>
      <c r="M96" s="83" t="s">
        <v>222</v>
      </c>
      <c r="N96" s="4">
        <v>2025</v>
      </c>
    </row>
    <row r="97" spans="1:14">
      <c r="A97" s="4"/>
      <c r="B97" s="4" t="s">
        <v>54</v>
      </c>
      <c r="C97" s="4" t="s">
        <v>55</v>
      </c>
      <c r="D97" s="4"/>
      <c r="E97" s="4" t="s">
        <v>102</v>
      </c>
      <c r="F97" s="4"/>
      <c r="G97" s="4"/>
      <c r="H97" s="4" t="s">
        <v>745</v>
      </c>
      <c r="I97" s="41">
        <v>377.93103448275861</v>
      </c>
      <c r="J97" s="4" t="s">
        <v>68</v>
      </c>
      <c r="K97" s="4" t="s">
        <v>678</v>
      </c>
      <c r="L97" s="83" t="s">
        <v>14</v>
      </c>
      <c r="M97" s="83" t="s">
        <v>222</v>
      </c>
      <c r="N97" s="4">
        <v>2025</v>
      </c>
    </row>
    <row r="98" spans="1:14">
      <c r="A98" s="4"/>
      <c r="B98" s="4" t="s">
        <v>42</v>
      </c>
      <c r="C98" s="4" t="s">
        <v>70</v>
      </c>
      <c r="D98" s="4"/>
      <c r="E98" s="4" t="s">
        <v>102</v>
      </c>
      <c r="F98" s="4"/>
      <c r="G98" s="4"/>
      <c r="H98" s="4" t="s">
        <v>104</v>
      </c>
      <c r="I98" s="41">
        <v>1024.1379310344828</v>
      </c>
      <c r="J98" s="4" t="s">
        <v>68</v>
      </c>
      <c r="K98" s="4" t="s">
        <v>678</v>
      </c>
      <c r="L98" s="83" t="s">
        <v>14</v>
      </c>
      <c r="M98" s="83" t="s">
        <v>222</v>
      </c>
      <c r="N98" s="4">
        <v>2025</v>
      </c>
    </row>
    <row r="99" spans="1:14">
      <c r="A99" s="4"/>
      <c r="B99" s="4" t="s">
        <v>35</v>
      </c>
      <c r="C99" s="4" t="s">
        <v>36</v>
      </c>
      <c r="D99" s="4"/>
      <c r="E99" s="4" t="s">
        <v>102</v>
      </c>
      <c r="F99" s="4"/>
      <c r="G99" s="4"/>
      <c r="H99" s="4" t="s">
        <v>745</v>
      </c>
      <c r="I99" s="41">
        <v>109.65517241379311</v>
      </c>
      <c r="J99" s="4" t="s">
        <v>68</v>
      </c>
      <c r="K99" s="4" t="s">
        <v>678</v>
      </c>
      <c r="L99" s="83" t="s">
        <v>14</v>
      </c>
      <c r="M99" s="83" t="s">
        <v>222</v>
      </c>
      <c r="N99" s="4">
        <v>2025</v>
      </c>
    </row>
    <row r="100" spans="1:14">
      <c r="A100" s="4"/>
      <c r="B100" s="4" t="s">
        <v>42</v>
      </c>
      <c r="C100" s="4" t="s">
        <v>45</v>
      </c>
      <c r="D100" s="4"/>
      <c r="E100" s="4" t="s">
        <v>102</v>
      </c>
      <c r="F100" s="4"/>
      <c r="G100" s="4"/>
      <c r="H100" s="4" t="s">
        <v>104</v>
      </c>
      <c r="I100" s="41">
        <v>255.86206896551724</v>
      </c>
      <c r="J100" s="4" t="s">
        <v>68</v>
      </c>
      <c r="K100" s="4" t="s">
        <v>678</v>
      </c>
      <c r="L100" s="83" t="s">
        <v>14</v>
      </c>
      <c r="M100" s="83" t="s">
        <v>222</v>
      </c>
      <c r="N100" s="4">
        <v>2025</v>
      </c>
    </row>
    <row r="101" spans="1:14">
      <c r="A101" s="4"/>
      <c r="B101" s="4" t="s">
        <v>33</v>
      </c>
      <c r="C101" s="4" t="s">
        <v>34</v>
      </c>
      <c r="D101" s="4"/>
      <c r="E101" s="4" t="s">
        <v>102</v>
      </c>
      <c r="F101" s="4"/>
      <c r="G101" s="4"/>
      <c r="H101" s="4" t="s">
        <v>745</v>
      </c>
      <c r="I101" s="41">
        <v>365.51724137931035</v>
      </c>
      <c r="J101" s="4" t="s">
        <v>68</v>
      </c>
      <c r="K101" s="4" t="s">
        <v>678</v>
      </c>
      <c r="L101" s="83" t="s">
        <v>14</v>
      </c>
      <c r="M101" s="83" t="s">
        <v>222</v>
      </c>
      <c r="N101" s="4">
        <v>2025</v>
      </c>
    </row>
    <row r="102" spans="1:14">
      <c r="A102" s="4"/>
      <c r="B102" s="4" t="s">
        <v>52</v>
      </c>
      <c r="C102" s="4" t="s">
        <v>53</v>
      </c>
      <c r="D102" s="4"/>
      <c r="E102" s="4" t="s">
        <v>102</v>
      </c>
      <c r="F102" s="4"/>
      <c r="G102" s="4"/>
      <c r="H102" s="4" t="s">
        <v>745</v>
      </c>
      <c r="I102" s="41">
        <v>837.24137931034488</v>
      </c>
      <c r="J102" s="4" t="s">
        <v>68</v>
      </c>
      <c r="K102" s="4" t="s">
        <v>678</v>
      </c>
      <c r="L102" s="83" t="s">
        <v>14</v>
      </c>
      <c r="M102" s="83" t="s">
        <v>222</v>
      </c>
      <c r="N102" s="4">
        <v>2025</v>
      </c>
    </row>
    <row r="103" spans="1:14">
      <c r="A103" s="4"/>
      <c r="B103" s="4" t="s">
        <v>58</v>
      </c>
      <c r="C103" s="4" t="s">
        <v>59</v>
      </c>
      <c r="D103" s="4"/>
      <c r="E103" s="4" t="s">
        <v>102</v>
      </c>
      <c r="F103" s="4"/>
      <c r="G103" s="4"/>
      <c r="H103" s="4" t="s">
        <v>746</v>
      </c>
      <c r="I103" s="41">
        <v>741.37931034482756</v>
      </c>
      <c r="J103" s="4">
        <v>8320</v>
      </c>
      <c r="K103" s="4">
        <v>45942</v>
      </c>
      <c r="L103" s="83" t="s">
        <v>14</v>
      </c>
      <c r="M103" s="83" t="s">
        <v>222</v>
      </c>
      <c r="N103" s="4">
        <v>2025</v>
      </c>
    </row>
    <row r="104" spans="1:14">
      <c r="A104" s="4"/>
      <c r="B104" s="4" t="s">
        <v>58</v>
      </c>
      <c r="C104" s="4" t="s">
        <v>59</v>
      </c>
      <c r="D104" s="4"/>
      <c r="E104" s="4" t="s">
        <v>102</v>
      </c>
      <c r="F104" s="4"/>
      <c r="G104" s="4"/>
      <c r="H104" s="4" t="s">
        <v>747</v>
      </c>
      <c r="I104" s="41">
        <v>877.24137931034488</v>
      </c>
      <c r="J104" s="4" t="s">
        <v>68</v>
      </c>
      <c r="K104" s="4" t="s">
        <v>678</v>
      </c>
      <c r="L104" s="83" t="s">
        <v>14</v>
      </c>
      <c r="M104" s="83" t="s">
        <v>222</v>
      </c>
      <c r="N104" s="4">
        <v>2025</v>
      </c>
    </row>
    <row r="105" spans="1:14">
      <c r="A105" s="4"/>
      <c r="B105" s="4" t="s">
        <v>58</v>
      </c>
      <c r="C105" s="4" t="s">
        <v>59</v>
      </c>
      <c r="D105" s="4"/>
      <c r="E105" s="4" t="s">
        <v>102</v>
      </c>
      <c r="F105" s="4"/>
      <c r="G105" s="4"/>
      <c r="H105" s="4" t="s">
        <v>748</v>
      </c>
      <c r="I105" s="41">
        <v>1324.1379310344828</v>
      </c>
      <c r="J105" s="4" t="s">
        <v>68</v>
      </c>
      <c r="K105" s="4" t="s">
        <v>679</v>
      </c>
      <c r="L105" s="83" t="s">
        <v>14</v>
      </c>
      <c r="M105" s="83" t="s">
        <v>222</v>
      </c>
      <c r="N105" s="4">
        <v>2025</v>
      </c>
    </row>
    <row r="106" spans="1:14">
      <c r="A106" s="4"/>
      <c r="B106" s="4" t="s">
        <v>58</v>
      </c>
      <c r="C106" s="4" t="s">
        <v>59</v>
      </c>
      <c r="D106" s="4"/>
      <c r="E106" s="4" t="s">
        <v>102</v>
      </c>
      <c r="F106" s="4"/>
      <c r="G106" s="4"/>
      <c r="H106" s="4" t="s">
        <v>82</v>
      </c>
      <c r="I106" s="41">
        <v>102.93103448275862</v>
      </c>
      <c r="J106" s="4" t="s">
        <v>68</v>
      </c>
      <c r="K106" s="4" t="s">
        <v>681</v>
      </c>
      <c r="L106" s="83" t="s">
        <v>14</v>
      </c>
      <c r="M106" s="83" t="s">
        <v>222</v>
      </c>
      <c r="N106" s="4">
        <v>2025</v>
      </c>
    </row>
    <row r="107" spans="1:14">
      <c r="A107" s="4"/>
      <c r="B107" s="4" t="s">
        <v>42</v>
      </c>
      <c r="C107" s="4" t="s">
        <v>40</v>
      </c>
      <c r="D107" s="4"/>
      <c r="E107" s="4" t="s">
        <v>102</v>
      </c>
      <c r="F107" s="4"/>
      <c r="G107" s="4"/>
      <c r="H107" s="4" t="s">
        <v>104</v>
      </c>
      <c r="I107" s="41">
        <v>36.551724137931032</v>
      </c>
      <c r="J107" s="4" t="s">
        <v>68</v>
      </c>
      <c r="K107" s="4" t="s">
        <v>678</v>
      </c>
      <c r="L107" s="83" t="s">
        <v>14</v>
      </c>
      <c r="M107" s="83" t="s">
        <v>222</v>
      </c>
      <c r="N107" s="4">
        <v>2025</v>
      </c>
    </row>
    <row r="108" spans="1:14">
      <c r="A108" s="4"/>
      <c r="B108" s="4" t="s">
        <v>42</v>
      </c>
      <c r="C108" s="4" t="s">
        <v>47</v>
      </c>
      <c r="D108" s="4"/>
      <c r="E108" s="4" t="s">
        <v>102</v>
      </c>
      <c r="F108" s="4"/>
      <c r="G108" s="4"/>
      <c r="H108" s="4" t="s">
        <v>104</v>
      </c>
      <c r="I108" s="41">
        <v>36.551724137931032</v>
      </c>
      <c r="J108" s="4" t="s">
        <v>68</v>
      </c>
      <c r="K108" s="4" t="s">
        <v>684</v>
      </c>
      <c r="L108" s="83" t="s">
        <v>14</v>
      </c>
      <c r="M108" s="83" t="s">
        <v>222</v>
      </c>
      <c r="N108" s="4">
        <v>2025</v>
      </c>
    </row>
    <row r="109" spans="1:14">
      <c r="A109" s="4"/>
      <c r="B109" s="4" t="s">
        <v>42</v>
      </c>
      <c r="C109" s="4" t="s">
        <v>48</v>
      </c>
      <c r="D109" s="4"/>
      <c r="E109" s="4" t="s">
        <v>102</v>
      </c>
      <c r="F109" s="4"/>
      <c r="G109" s="4"/>
      <c r="H109" s="4" t="s">
        <v>104</v>
      </c>
      <c r="I109" s="41">
        <v>585.51724137931035</v>
      </c>
      <c r="J109" s="4" t="s">
        <v>68</v>
      </c>
      <c r="K109" s="4" t="s">
        <v>678</v>
      </c>
      <c r="L109" s="83" t="s">
        <v>14</v>
      </c>
      <c r="M109" s="83" t="s">
        <v>222</v>
      </c>
      <c r="N109" s="4">
        <v>2025</v>
      </c>
    </row>
    <row r="110" spans="1:14">
      <c r="A110" s="4"/>
      <c r="B110" s="4" t="s">
        <v>42</v>
      </c>
      <c r="C110" s="4" t="s">
        <v>50</v>
      </c>
      <c r="D110" s="4"/>
      <c r="E110" s="4" t="s">
        <v>102</v>
      </c>
      <c r="F110" s="4"/>
      <c r="G110" s="4"/>
      <c r="H110" s="4" t="s">
        <v>745</v>
      </c>
      <c r="I110" s="41">
        <v>237.93103448275863</v>
      </c>
      <c r="J110" s="4" t="s">
        <v>68</v>
      </c>
      <c r="K110" s="4" t="s">
        <v>678</v>
      </c>
      <c r="L110" s="83" t="s">
        <v>14</v>
      </c>
      <c r="M110" s="83" t="s">
        <v>222</v>
      </c>
      <c r="N110" s="4">
        <v>2025</v>
      </c>
    </row>
    <row r="111" spans="1:14">
      <c r="A111" s="4"/>
      <c r="B111" s="4" t="s">
        <v>42</v>
      </c>
      <c r="C111" s="4" t="s">
        <v>51</v>
      </c>
      <c r="D111" s="4"/>
      <c r="E111" s="4" t="s">
        <v>102</v>
      </c>
      <c r="F111" s="4"/>
      <c r="G111" s="4"/>
      <c r="H111" s="4" t="s">
        <v>104</v>
      </c>
      <c r="I111" s="41">
        <v>255.86206896551724</v>
      </c>
      <c r="J111" s="4" t="s">
        <v>68</v>
      </c>
      <c r="K111" s="4" t="s">
        <v>678</v>
      </c>
      <c r="L111" s="83" t="s">
        <v>14</v>
      </c>
      <c r="M111" s="83" t="s">
        <v>222</v>
      </c>
      <c r="N111" s="4">
        <v>2025</v>
      </c>
    </row>
    <row r="112" spans="1:14">
      <c r="A112" s="4"/>
      <c r="B112" s="4" t="s">
        <v>17</v>
      </c>
      <c r="C112" s="4" t="s">
        <v>23</v>
      </c>
      <c r="D112" s="4"/>
      <c r="E112" s="4" t="s">
        <v>102</v>
      </c>
      <c r="F112" s="4"/>
      <c r="G112" s="4"/>
      <c r="H112" s="4" t="s">
        <v>745</v>
      </c>
      <c r="I112" s="41">
        <v>292.41379310344826</v>
      </c>
      <c r="J112" s="4" t="s">
        <v>68</v>
      </c>
      <c r="K112" s="4" t="s">
        <v>678</v>
      </c>
      <c r="L112" s="83" t="s">
        <v>14</v>
      </c>
      <c r="M112" s="83" t="s">
        <v>222</v>
      </c>
      <c r="N112" s="4">
        <v>2025</v>
      </c>
    </row>
    <row r="113" spans="1:14">
      <c r="A113" s="4"/>
      <c r="B113" s="4" t="s">
        <v>17</v>
      </c>
      <c r="C113" s="4" t="s">
        <v>25</v>
      </c>
      <c r="D113" s="4"/>
      <c r="E113" s="4" t="s">
        <v>102</v>
      </c>
      <c r="F113" s="4"/>
      <c r="G113" s="4"/>
      <c r="H113" s="4" t="s">
        <v>745</v>
      </c>
      <c r="I113" s="41">
        <v>2354.4827586206898</v>
      </c>
      <c r="J113" s="4" t="s">
        <v>68</v>
      </c>
      <c r="K113" s="4" t="s">
        <v>678</v>
      </c>
      <c r="L113" s="83" t="s">
        <v>14</v>
      </c>
      <c r="M113" s="83" t="s">
        <v>222</v>
      </c>
      <c r="N113" s="4">
        <v>2025</v>
      </c>
    </row>
    <row r="114" spans="1:14">
      <c r="A114" s="4"/>
      <c r="B114" s="4" t="s">
        <v>669</v>
      </c>
      <c r="C114" s="4" t="s">
        <v>670</v>
      </c>
      <c r="D114" s="4"/>
      <c r="E114" s="4" t="s">
        <v>256</v>
      </c>
      <c r="F114" s="4"/>
      <c r="G114" s="4"/>
      <c r="H114" s="4" t="s">
        <v>749</v>
      </c>
      <c r="I114" s="41">
        <v>412.41379310344826</v>
      </c>
      <c r="J114" s="4" t="s">
        <v>68</v>
      </c>
      <c r="K114" s="4" t="s">
        <v>679</v>
      </c>
      <c r="L114" s="83" t="s">
        <v>14</v>
      </c>
      <c r="M114" s="83" t="s">
        <v>222</v>
      </c>
      <c r="N114" s="4">
        <v>2025</v>
      </c>
    </row>
    <row r="115" spans="1:14">
      <c r="A115" s="4"/>
      <c r="B115" s="4" t="s">
        <v>58</v>
      </c>
      <c r="C115" s="4" t="s">
        <v>59</v>
      </c>
      <c r="D115" s="4"/>
      <c r="E115" s="4" t="s">
        <v>256</v>
      </c>
      <c r="F115" s="4"/>
      <c r="G115" s="4"/>
      <c r="H115" s="4" t="s">
        <v>155</v>
      </c>
      <c r="I115" s="41">
        <v>2437.9310344827586</v>
      </c>
      <c r="J115" s="4" t="s">
        <v>68</v>
      </c>
      <c r="K115" s="4">
        <v>45728</v>
      </c>
      <c r="L115" s="83" t="s">
        <v>14</v>
      </c>
      <c r="M115" s="83" t="s">
        <v>222</v>
      </c>
      <c r="N115" s="4">
        <v>2025</v>
      </c>
    </row>
    <row r="116" spans="1:14">
      <c r="A116" s="4"/>
      <c r="B116" s="4" t="s">
        <v>58</v>
      </c>
      <c r="C116" s="4" t="s">
        <v>59</v>
      </c>
      <c r="D116" s="4"/>
      <c r="E116" s="4" t="s">
        <v>256</v>
      </c>
      <c r="F116" s="4"/>
      <c r="G116" s="4"/>
      <c r="H116" s="4" t="s">
        <v>750</v>
      </c>
      <c r="I116" s="41">
        <v>162.06896551724137</v>
      </c>
      <c r="J116" s="4" t="s">
        <v>68</v>
      </c>
      <c r="K116" s="4">
        <v>45881</v>
      </c>
      <c r="L116" s="83" t="s">
        <v>14</v>
      </c>
      <c r="M116" s="83" t="s">
        <v>222</v>
      </c>
      <c r="N116" s="4">
        <v>2025</v>
      </c>
    </row>
    <row r="117" spans="1:14">
      <c r="A117" s="4"/>
      <c r="B117" s="4" t="s">
        <v>58</v>
      </c>
      <c r="C117" s="4" t="s">
        <v>59</v>
      </c>
      <c r="D117" s="4"/>
      <c r="E117" s="4" t="s">
        <v>256</v>
      </c>
      <c r="F117" s="4"/>
      <c r="G117" s="4"/>
      <c r="H117" s="4" t="s">
        <v>750</v>
      </c>
      <c r="I117" s="41">
        <v>742.24137931034488</v>
      </c>
      <c r="J117" s="4" t="s">
        <v>68</v>
      </c>
      <c r="K117" s="4">
        <v>45942</v>
      </c>
      <c r="L117" s="83" t="s">
        <v>14</v>
      </c>
      <c r="M117" s="83" t="s">
        <v>222</v>
      </c>
      <c r="N117" s="4">
        <v>2025</v>
      </c>
    </row>
    <row r="118" spans="1:14">
      <c r="A118" s="4"/>
      <c r="B118" s="4" t="s">
        <v>58</v>
      </c>
      <c r="C118" s="4" t="s">
        <v>59</v>
      </c>
      <c r="D118" s="4"/>
      <c r="E118" s="4" t="s">
        <v>256</v>
      </c>
      <c r="F118" s="4"/>
      <c r="G118" s="4"/>
      <c r="H118" s="4" t="s">
        <v>750</v>
      </c>
      <c r="I118" s="41">
        <v>789.65517241379314</v>
      </c>
      <c r="J118" s="4" t="s">
        <v>68</v>
      </c>
      <c r="K118" s="4" t="s">
        <v>689</v>
      </c>
      <c r="L118" s="83" t="s">
        <v>14</v>
      </c>
      <c r="M118" s="83" t="s">
        <v>222</v>
      </c>
      <c r="N118" s="4">
        <v>2025</v>
      </c>
    </row>
    <row r="119" spans="1:14">
      <c r="A119" s="4"/>
      <c r="B119" s="4" t="s">
        <v>58</v>
      </c>
      <c r="C119" s="4" t="s">
        <v>59</v>
      </c>
      <c r="D119" s="4"/>
      <c r="E119" s="4" t="s">
        <v>256</v>
      </c>
      <c r="F119" s="4"/>
      <c r="G119" s="4"/>
      <c r="H119" s="4" t="s">
        <v>751</v>
      </c>
      <c r="I119" s="41">
        <v>706.20689655172418</v>
      </c>
      <c r="J119" s="4" t="s">
        <v>68</v>
      </c>
      <c r="K119" s="4">
        <v>45850</v>
      </c>
      <c r="L119" s="83" t="s">
        <v>14</v>
      </c>
      <c r="M119" s="83" t="s">
        <v>222</v>
      </c>
      <c r="N119" s="4">
        <v>2025</v>
      </c>
    </row>
    <row r="120" spans="1:14">
      <c r="A120" s="4"/>
      <c r="B120" s="4" t="s">
        <v>58</v>
      </c>
      <c r="C120" s="4" t="s">
        <v>59</v>
      </c>
      <c r="D120" s="4"/>
      <c r="E120" s="4" t="s">
        <v>256</v>
      </c>
      <c r="F120" s="4"/>
      <c r="G120" s="4"/>
      <c r="H120" s="4" t="s">
        <v>752</v>
      </c>
      <c r="I120" s="41">
        <v>276.55172413793105</v>
      </c>
      <c r="J120" s="4" t="s">
        <v>68</v>
      </c>
      <c r="K120" s="4">
        <v>45850</v>
      </c>
      <c r="L120" s="83" t="s">
        <v>14</v>
      </c>
      <c r="M120" s="83" t="s">
        <v>222</v>
      </c>
      <c r="N120" s="4">
        <v>2025</v>
      </c>
    </row>
    <row r="121" spans="1:14">
      <c r="A121" s="4"/>
      <c r="B121" s="4" t="s">
        <v>58</v>
      </c>
      <c r="C121" s="4" t="s">
        <v>59</v>
      </c>
      <c r="D121" s="4"/>
      <c r="E121" s="4" t="s">
        <v>256</v>
      </c>
      <c r="F121" s="4"/>
      <c r="G121" s="4"/>
      <c r="H121" s="4" t="s">
        <v>753</v>
      </c>
      <c r="I121" s="41">
        <v>689.65517241379314</v>
      </c>
      <c r="J121" s="4" t="s">
        <v>68</v>
      </c>
      <c r="K121" s="4" t="s">
        <v>687</v>
      </c>
      <c r="L121" s="83" t="s">
        <v>14</v>
      </c>
      <c r="M121" s="83" t="s">
        <v>222</v>
      </c>
      <c r="N121" s="4">
        <v>2025</v>
      </c>
    </row>
    <row r="122" spans="1:14">
      <c r="A122" s="4"/>
      <c r="B122" s="4" t="s">
        <v>58</v>
      </c>
      <c r="C122" s="4" t="s">
        <v>59</v>
      </c>
      <c r="D122" s="4"/>
      <c r="E122" s="4" t="s">
        <v>256</v>
      </c>
      <c r="F122" s="4"/>
      <c r="G122" s="4"/>
      <c r="H122" s="4" t="s">
        <v>754</v>
      </c>
      <c r="I122" s="41">
        <v>207.58620689655172</v>
      </c>
      <c r="J122" s="4" t="s">
        <v>68</v>
      </c>
      <c r="K122" s="4" t="s">
        <v>679</v>
      </c>
      <c r="L122" s="83" t="s">
        <v>14</v>
      </c>
      <c r="M122" s="83" t="s">
        <v>222</v>
      </c>
      <c r="N122" s="4">
        <v>2025</v>
      </c>
    </row>
    <row r="123" spans="1:14">
      <c r="A123" s="4"/>
      <c r="B123" s="4" t="s">
        <v>58</v>
      </c>
      <c r="C123" s="4" t="s">
        <v>59</v>
      </c>
      <c r="D123" s="4"/>
      <c r="E123" s="4" t="s">
        <v>256</v>
      </c>
      <c r="F123" s="4"/>
      <c r="G123" s="4"/>
      <c r="H123" s="4" t="s">
        <v>750</v>
      </c>
      <c r="I123" s="41">
        <v>124.13793103448276</v>
      </c>
      <c r="J123" s="4">
        <v>2266</v>
      </c>
      <c r="K123" s="4">
        <v>45700</v>
      </c>
      <c r="L123" s="83" t="s">
        <v>14</v>
      </c>
      <c r="M123" s="83" t="s">
        <v>222</v>
      </c>
      <c r="N123" s="4">
        <v>2025</v>
      </c>
    </row>
    <row r="124" spans="1:1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</row>
    <row r="125" spans="1:14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</row>
    <row r="126" spans="1:14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</row>
    <row r="127" spans="1:14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</row>
    <row r="128" spans="1:14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</row>
    <row r="129" spans="1:14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</row>
    <row r="130" spans="1:14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</row>
    <row r="131" spans="1:14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</row>
    <row r="132" spans="1:14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</row>
    <row r="133" spans="1:14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</row>
    <row r="134" spans="1:1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</row>
    <row r="135" spans="1:14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</row>
    <row r="136" spans="1:14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</row>
    <row r="137" spans="1:14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</row>
    <row r="138" spans="1:14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</row>
    <row r="139" spans="1:14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</row>
    <row r="140" spans="1:14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</row>
    <row r="141" spans="1:14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</row>
    <row r="142" spans="1:14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</row>
    <row r="143" spans="1:14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</row>
    <row r="144" spans="1:1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 spans="1:14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</row>
    <row r="146" spans="1:14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</row>
    <row r="147" spans="1:14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</row>
    <row r="148" spans="1:14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</row>
    <row r="149" spans="1:14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</row>
    <row r="150" spans="1:14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</row>
    <row r="151" spans="1:14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</row>
    <row r="152" spans="1:14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</row>
    <row r="153" spans="1:14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</row>
    <row r="154" spans="1:1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</row>
    <row r="155" spans="1:14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</row>
    <row r="156" spans="1:14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</row>
    <row r="157" spans="1:14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</row>
    <row r="158" spans="1:14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</row>
    <row r="159" spans="1:14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</row>
    <row r="160" spans="1:14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</row>
    <row r="161" spans="1:14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</row>
    <row r="162" spans="1:14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</row>
    <row r="163" spans="1:14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</row>
    <row r="164" spans="1:1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</row>
    <row r="165" spans="1:14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</row>
    <row r="166" spans="1:14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</row>
    <row r="167" spans="1:14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</row>
    <row r="168" spans="1:14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</row>
    <row r="169" spans="1:14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</row>
    <row r="170" spans="1:14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</row>
    <row r="171" spans="1:14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</row>
    <row r="172" spans="1:14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</row>
    <row r="173" spans="1:14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</row>
    <row r="174" spans="1:1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</row>
    <row r="175" spans="1:14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</row>
    <row r="176" spans="1:14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</row>
    <row r="177" spans="1:14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</row>
    <row r="178" spans="1:14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</row>
    <row r="179" spans="1:14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</row>
    <row r="180" spans="1:14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</row>
    <row r="181" spans="1:14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</row>
    <row r="182" spans="1:14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</row>
    <row r="183" spans="1:14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</row>
    <row r="184" spans="1:1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</row>
    <row r="185" spans="1:14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</row>
    <row r="186" spans="1:14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</row>
    <row r="187" spans="1:14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</row>
    <row r="188" spans="1:14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</row>
    <row r="189" spans="1:14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</row>
    <row r="190" spans="1:14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</row>
    <row r="191" spans="1:14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</row>
    <row r="192" spans="1:14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</row>
    <row r="193" spans="1:14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</row>
    <row r="194" spans="1:1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</row>
    <row r="195" spans="1:14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</row>
    <row r="196" spans="1:14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</row>
    <row r="197" spans="1:14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</row>
    <row r="198" spans="1:14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</row>
    <row r="199" spans="1:14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</row>
    <row r="200" spans="1:14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</row>
    <row r="201" spans="1:14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</row>
    <row r="202" spans="1:14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</row>
    <row r="203" spans="1:14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</row>
    <row r="204" spans="1:1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</row>
    <row r="205" spans="1:14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</row>
    <row r="206" spans="1:14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</row>
    <row r="207" spans="1:14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</row>
    <row r="208" spans="1:14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</row>
    <row r="209" spans="1:14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</row>
    <row r="210" spans="1:14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</row>
    <row r="211" spans="1:14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</row>
    <row r="212" spans="1:14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</row>
    <row r="213" spans="1:14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</row>
    <row r="214" spans="1: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</row>
    <row r="215" spans="1:14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</row>
    <row r="216" spans="1:14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</row>
    <row r="217" spans="1:14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</row>
    <row r="218" spans="1:14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</row>
    <row r="219" spans="1:14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</row>
    <row r="220" spans="1:14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</row>
    <row r="221" spans="1:14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</row>
    <row r="222" spans="1:14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</row>
    <row r="223" spans="1:14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</row>
    <row r="224" spans="1:1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</row>
    <row r="225" spans="1:14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</row>
    <row r="226" spans="1:14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</row>
    <row r="227" spans="1:14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</row>
    <row r="228" spans="1:14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</row>
    <row r="229" spans="1:14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</row>
    <row r="230" spans="1:14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</row>
    <row r="231" spans="1:14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</row>
    <row r="232" spans="1:14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</row>
    <row r="233" spans="1:14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</row>
    <row r="234" spans="1:1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</row>
    <row r="235" spans="1:14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</row>
    <row r="236" spans="1:14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</row>
    <row r="237" spans="1:14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</row>
    <row r="238" spans="1:14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</row>
    <row r="239" spans="1:14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</row>
    <row r="240" spans="1:14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</row>
    <row r="241" spans="1:14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</row>
    <row r="242" spans="1:14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</row>
    <row r="243" spans="1:14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</row>
    <row r="244" spans="1:1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</row>
    <row r="245" spans="1:14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</row>
    <row r="246" spans="1:14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</row>
    <row r="247" spans="1:14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</row>
    <row r="248" spans="1:14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</row>
    <row r="249" spans="1:14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</row>
    <row r="250" spans="1:14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</row>
    <row r="251" spans="1:14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</row>
    <row r="252" spans="1:14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</row>
    <row r="253" spans="1:14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</row>
    <row r="254" spans="1:1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</row>
    <row r="255" spans="1:14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</row>
    <row r="256" spans="1:14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</row>
    <row r="257" spans="1:14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</row>
    <row r="258" spans="1:14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</row>
    <row r="259" spans="1:14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</row>
    <row r="260" spans="1:14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</row>
    <row r="261" spans="1:14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</row>
    <row r="262" spans="1:14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</row>
    <row r="263" spans="1:14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</row>
    <row r="264" spans="1:1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</row>
    <row r="265" spans="1:14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</row>
    <row r="266" spans="1:14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</row>
    <row r="267" spans="1:14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</row>
    <row r="268" spans="1:14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</row>
    <row r="269" spans="1:14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</row>
    <row r="270" spans="1:14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</row>
    <row r="271" spans="1:14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</row>
    <row r="272" spans="1:14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</row>
    <row r="273" spans="1:14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</row>
    <row r="274" spans="1:1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</row>
    <row r="275" spans="1:14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</row>
    <row r="276" spans="1:14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</row>
    <row r="277" spans="1:14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</row>
    <row r="278" spans="1:14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</row>
    <row r="279" spans="1:14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</row>
    <row r="280" spans="1:14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</row>
    <row r="281" spans="1:14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</row>
    <row r="282" spans="1:14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</row>
    <row r="283" spans="1:14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</row>
    <row r="284" spans="1:1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</row>
    <row r="285" spans="1:14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</row>
    <row r="286" spans="1:14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</row>
    <row r="287" spans="1:14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</row>
    <row r="288" spans="1:14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</row>
    <row r="289" spans="1:14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</row>
    <row r="290" spans="1:14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</row>
    <row r="291" spans="1:14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</row>
    <row r="292" spans="1:14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</row>
    <row r="293" spans="1:14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</row>
    <row r="294" spans="1:1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</row>
    <row r="295" spans="1:14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</row>
    <row r="296" spans="1:14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</row>
    <row r="297" spans="1:14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</row>
    <row r="298" spans="1:14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</row>
    <row r="299" spans="1:14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</row>
    <row r="300" spans="1:14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</row>
    <row r="301" spans="1:14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</row>
    <row r="302" spans="1:14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</row>
    <row r="303" spans="1:14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</row>
    <row r="304" spans="1:1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</row>
    <row r="305" spans="1:14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</row>
    <row r="306" spans="1:14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</row>
    <row r="307" spans="1:14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</row>
    <row r="308" spans="1:14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</row>
    <row r="309" spans="1:14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</row>
    <row r="310" spans="1:14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</row>
    <row r="311" spans="1:14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</row>
    <row r="312" spans="1:14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</row>
    <row r="313" spans="1:14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</row>
    <row r="314" spans="1: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</row>
    <row r="315" spans="1:14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</row>
    <row r="316" spans="1:14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</row>
    <row r="317" spans="1:14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</row>
    <row r="318" spans="1:14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</row>
    <row r="319" spans="1:14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</row>
    <row r="320" spans="1:14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</row>
    <row r="321" spans="1:14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</row>
    <row r="322" spans="1:14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</row>
    <row r="323" spans="1:14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</row>
    <row r="324" spans="1:1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</row>
    <row r="325" spans="1:14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</row>
    <row r="326" spans="1:14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</row>
    <row r="327" spans="1:14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</row>
    <row r="328" spans="1:14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</row>
    <row r="329" spans="1:14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</row>
    <row r="330" spans="1:14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</row>
    <row r="331" spans="1:14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</row>
    <row r="332" spans="1:14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</row>
    <row r="333" spans="1:14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</row>
    <row r="334" spans="1:1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</row>
    <row r="335" spans="1:14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</row>
    <row r="336" spans="1:14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</row>
    <row r="337" spans="1:14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</row>
    <row r="338" spans="1:14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</row>
    <row r="339" spans="1:14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</row>
    <row r="340" spans="1:14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</row>
    <row r="341" spans="1:14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</row>
    <row r="342" spans="1:14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</row>
    <row r="343" spans="1:14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</row>
    <row r="344" spans="1:1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</row>
    <row r="345" spans="1:14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</row>
    <row r="346" spans="1:14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</row>
    <row r="347" spans="1:14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</row>
    <row r="348" spans="1:14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</row>
    <row r="349" spans="1:14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</row>
    <row r="350" spans="1:14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</row>
    <row r="351" spans="1:14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</row>
    <row r="352" spans="1:14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</row>
    <row r="353" spans="1:14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</row>
    <row r="354" spans="1:1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</row>
    <row r="355" spans="1:14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</row>
    <row r="356" spans="1:14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</row>
    <row r="357" spans="1:14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</row>
    <row r="358" spans="1:14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</row>
    <row r="359" spans="1:14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</row>
    <row r="360" spans="1:14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</row>
    <row r="361" spans="1:14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</row>
    <row r="362" spans="1:14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</row>
    <row r="363" spans="1:14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</row>
    <row r="364" spans="1:1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</row>
    <row r="365" spans="1:14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</row>
    <row r="366" spans="1:14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</row>
    <row r="367" spans="1:14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</row>
    <row r="368" spans="1:14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</row>
    <row r="369" spans="1:14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</row>
    <row r="370" spans="1:14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</row>
    <row r="371" spans="1:14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</row>
    <row r="372" spans="1:14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</row>
    <row r="373" spans="1:14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</row>
    <row r="374" spans="1:1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</row>
    <row r="375" spans="1:14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</row>
    <row r="376" spans="1:14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</row>
    <row r="377" spans="1:14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</row>
    <row r="378" spans="1:14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</row>
    <row r="379" spans="1:14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</row>
    <row r="380" spans="1:14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</row>
    <row r="381" spans="1:14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</row>
    <row r="382" spans="1:14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</row>
    <row r="383" spans="1:14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</row>
    <row r="384" spans="1:1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</row>
    <row r="385" spans="1:14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</row>
    <row r="386" spans="1:14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</row>
    <row r="387" spans="1:14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</row>
    <row r="388" spans="1:14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</row>
    <row r="389" spans="1:14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</row>
    <row r="390" spans="1:14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</row>
    <row r="391" spans="1:14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</row>
    <row r="392" spans="1:14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</row>
    <row r="393" spans="1:14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</row>
    <row r="394" spans="1:1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</row>
    <row r="395" spans="1:14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</row>
    <row r="396" spans="1:14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</row>
    <row r="397" spans="1:14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</row>
    <row r="398" spans="1:14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</row>
    <row r="399" spans="1:14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</row>
    <row r="400" spans="1:14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</row>
    <row r="401" spans="1:14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</row>
    <row r="402" spans="1:14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</row>
    <row r="403" spans="1:14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</row>
    <row r="404" spans="1:1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</row>
    <row r="405" spans="1:14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</row>
    <row r="406" spans="1:14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</row>
    <row r="407" spans="1:14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</row>
    <row r="408" spans="1:14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</row>
    <row r="409" spans="1:14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</row>
    <row r="410" spans="1:14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</row>
    <row r="411" spans="1:14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</row>
    <row r="412" spans="1:14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</row>
    <row r="413" spans="1:14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</row>
    <row r="414" spans="1: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</row>
    <row r="415" spans="1:14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</row>
    <row r="416" spans="1:14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</row>
    <row r="417" spans="1:14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</row>
    <row r="418" spans="1:14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</row>
    <row r="419" spans="1:14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</row>
    <row r="420" spans="1:14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</row>
    <row r="421" spans="1:14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</row>
    <row r="422" spans="1:14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</row>
    <row r="423" spans="1:14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</row>
    <row r="424" spans="1:1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</row>
    <row r="425" spans="1:14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</row>
    <row r="426" spans="1:14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</row>
    <row r="427" spans="1:14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</row>
    <row r="428" spans="1:14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</row>
    <row r="429" spans="1:14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</row>
  </sheetData>
  <autoFilter ref="A1:N86" xr:uid="{00000000-0009-0000-0000-000004000000}">
    <sortState xmlns:xlrd2="http://schemas.microsoft.com/office/spreadsheetml/2017/richdata2" ref="A2:N86">
      <sortCondition ref="B1:B86"/>
    </sortState>
  </autoFilter>
  <dataValidations count="2">
    <dataValidation type="list" allowBlank="1" showInputMessage="1" showErrorMessage="1" sqref="C2:C31 C34:C71 C73:C91" xr:uid="{00000000-0002-0000-0400-000001000000}">
      <formula1>Level_2</formula1>
    </dataValidation>
    <dataValidation type="list" allowBlank="1" showInputMessage="1" showErrorMessage="1" sqref="C92:C429" xr:uid="{00000000-0002-0000-0400-000002000000}">
      <formula1>INDIRECT(B92)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400-000000000000}">
          <x14:formula1>
            <xm:f>List!$P$2:$P$11</xm:f>
          </x14:formula1>
          <xm:sqref>B92:B429</xm:sqref>
        </x14:dataValidation>
        <x14:dataValidation type="list" allowBlank="1" showInputMessage="1" showErrorMessage="1" xr:uid="{00000000-0002-0000-0400-000003000000}">
          <x14:formula1>
            <xm:f>List!$C$2:$C$3</xm:f>
          </x14:formula1>
          <xm:sqref>D92:D429</xm:sqref>
        </x14:dataValidation>
        <x14:dataValidation type="list" allowBlank="1" showInputMessage="1" showErrorMessage="1" xr:uid="{00000000-0002-0000-0400-000004000000}">
          <x14:formula1>
            <xm:f>List!$E$2:$E$32</xm:f>
          </x14:formula1>
          <xm:sqref>E92:E429</xm:sqref>
        </x14:dataValidation>
        <x14:dataValidation type="list" allowBlank="1" showInputMessage="1" showErrorMessage="1" xr:uid="{00000000-0002-0000-0400-000005000000}">
          <x14:formula1>
            <xm:f>List!$H$2:$H$13</xm:f>
          </x14:formula1>
          <xm:sqref>M2:M429</xm:sqref>
        </x14:dataValidation>
        <x14:dataValidation type="list" allowBlank="1" showInputMessage="1" showErrorMessage="1" xr:uid="{00000000-0002-0000-0400-000006000000}">
          <x14:formula1>
            <xm:f>List!$J$2:$J$4</xm:f>
          </x14:formula1>
          <xm:sqref>N2:N429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 tint="0.39997558519241921"/>
  </sheetPr>
  <dimension ref="A1:N7"/>
  <sheetViews>
    <sheetView workbookViewId="0">
      <selection activeCell="B2" sqref="B2:N7"/>
    </sheetView>
  </sheetViews>
  <sheetFormatPr defaultColWidth="9" defaultRowHeight="14.5"/>
  <cols>
    <col min="1" max="1" width="5.36328125" customWidth="1"/>
    <col min="2" max="2" width="8.6328125" customWidth="1"/>
    <col min="3" max="3" width="9.6328125" customWidth="1"/>
    <col min="4" max="4" width="9" customWidth="1"/>
    <col min="5" max="5" width="14.36328125" customWidth="1"/>
    <col min="6" max="6" width="10.1796875" customWidth="1"/>
    <col min="7" max="7" width="7" customWidth="1"/>
    <col min="8" max="8" width="28.7265625" bestFit="1" customWidth="1"/>
    <col min="9" max="9" width="18.08984375" customWidth="1"/>
    <col min="10" max="10" width="10.08984375" customWidth="1"/>
    <col min="11" max="11" width="11.1796875" customWidth="1"/>
    <col min="12" max="12" width="10.54296875" customWidth="1"/>
    <col min="13" max="13" width="6.54296875" customWidth="1"/>
    <col min="14" max="14" width="4.81640625" customWidth="1"/>
  </cols>
  <sheetData>
    <row r="1" spans="1:14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</row>
    <row r="2" spans="1:14">
      <c r="A2" s="17">
        <v>1</v>
      </c>
      <c r="B2" s="12" t="s">
        <v>54</v>
      </c>
      <c r="C2" s="12" t="s">
        <v>55</v>
      </c>
      <c r="D2" s="17" t="s">
        <v>60</v>
      </c>
      <c r="E2" s="11" t="s">
        <v>81</v>
      </c>
      <c r="F2" s="17"/>
      <c r="G2" s="17" t="s">
        <v>21</v>
      </c>
      <c r="H2" s="25" t="s">
        <v>309</v>
      </c>
      <c r="I2" s="26">
        <v>0</v>
      </c>
      <c r="J2" s="17" t="s">
        <v>14</v>
      </c>
      <c r="K2" s="18" t="s">
        <v>14</v>
      </c>
      <c r="L2" s="20" t="s">
        <v>14</v>
      </c>
      <c r="M2" s="85" t="s">
        <v>222</v>
      </c>
      <c r="N2" s="17">
        <v>2025</v>
      </c>
    </row>
    <row r="3" spans="1:14">
      <c r="A3" s="17">
        <v>2</v>
      </c>
      <c r="B3" s="11" t="s">
        <v>42</v>
      </c>
      <c r="C3" s="57" t="s">
        <v>43</v>
      </c>
      <c r="D3" s="17" t="s">
        <v>19</v>
      </c>
      <c r="E3" s="11" t="s">
        <v>81</v>
      </c>
      <c r="F3" s="11"/>
      <c r="G3" s="17" t="s">
        <v>21</v>
      </c>
      <c r="H3" s="25" t="s">
        <v>310</v>
      </c>
      <c r="I3" s="14">
        <f>800000/1430</f>
        <v>559.44055944055947</v>
      </c>
      <c r="J3" s="17" t="s">
        <v>14</v>
      </c>
      <c r="K3" s="18" t="s">
        <v>14</v>
      </c>
      <c r="L3" s="20" t="s">
        <v>14</v>
      </c>
      <c r="M3" s="85" t="s">
        <v>222</v>
      </c>
      <c r="N3" s="17">
        <v>2025</v>
      </c>
    </row>
    <row r="4" spans="1:14">
      <c r="A4" s="99">
        <v>3</v>
      </c>
      <c r="B4" s="100" t="s">
        <v>33</v>
      </c>
      <c r="C4" s="100" t="s">
        <v>34</v>
      </c>
      <c r="D4" s="99" t="s">
        <v>19</v>
      </c>
      <c r="E4" s="101" t="s">
        <v>81</v>
      </c>
      <c r="F4" s="101"/>
      <c r="G4" s="99" t="s">
        <v>21</v>
      </c>
      <c r="H4" s="102" t="s">
        <v>755</v>
      </c>
      <c r="I4" s="103">
        <f>8400000/1450</f>
        <v>5793.1034482758623</v>
      </c>
      <c r="J4" s="99" t="s">
        <v>14</v>
      </c>
      <c r="K4" s="104" t="s">
        <v>14</v>
      </c>
      <c r="L4" s="105" t="s">
        <v>14</v>
      </c>
      <c r="M4" s="106" t="s">
        <v>222</v>
      </c>
      <c r="N4" s="99">
        <v>2025</v>
      </c>
    </row>
    <row r="5" spans="1:14">
      <c r="A5" s="99">
        <v>4</v>
      </c>
      <c r="B5" s="101" t="s">
        <v>52</v>
      </c>
      <c r="C5" s="101" t="s">
        <v>62</v>
      </c>
      <c r="D5" s="99" t="s">
        <v>19</v>
      </c>
      <c r="E5" s="101" t="s">
        <v>81</v>
      </c>
      <c r="F5" s="101"/>
      <c r="G5" s="99" t="s">
        <v>21</v>
      </c>
      <c r="H5" s="102" t="s">
        <v>755</v>
      </c>
      <c r="I5" s="103">
        <f>4100000/1450</f>
        <v>2827.5862068965516</v>
      </c>
      <c r="J5" s="99" t="s">
        <v>14</v>
      </c>
      <c r="K5" s="104" t="s">
        <v>14</v>
      </c>
      <c r="L5" s="105" t="s">
        <v>14</v>
      </c>
      <c r="M5" s="106" t="s">
        <v>222</v>
      </c>
      <c r="N5" s="99">
        <v>2025</v>
      </c>
    </row>
    <row r="6" spans="1:14">
      <c r="A6" s="17">
        <v>5</v>
      </c>
      <c r="B6" s="11" t="s">
        <v>17</v>
      </c>
      <c r="C6" s="11" t="s">
        <v>25</v>
      </c>
      <c r="D6" s="17" t="s">
        <v>19</v>
      </c>
      <c r="E6" s="11" t="s">
        <v>81</v>
      </c>
      <c r="F6" s="11"/>
      <c r="G6" s="17" t="s">
        <v>21</v>
      </c>
      <c r="H6" s="25" t="s">
        <v>310</v>
      </c>
      <c r="I6" s="14">
        <f>3650000/1430</f>
        <v>2552.4475524475524</v>
      </c>
      <c r="J6" s="17" t="s">
        <v>14</v>
      </c>
      <c r="K6" s="18" t="s">
        <v>14</v>
      </c>
      <c r="L6" s="20" t="s">
        <v>14</v>
      </c>
      <c r="M6" s="85" t="s">
        <v>222</v>
      </c>
      <c r="N6" s="17">
        <v>2025</v>
      </c>
    </row>
    <row r="7" spans="1:14">
      <c r="A7" s="17">
        <v>6</v>
      </c>
      <c r="B7" s="11" t="s">
        <v>17</v>
      </c>
      <c r="C7" s="11" t="s">
        <v>22</v>
      </c>
      <c r="D7" s="17" t="s">
        <v>19</v>
      </c>
      <c r="E7" s="11" t="s">
        <v>81</v>
      </c>
      <c r="F7" s="11"/>
      <c r="G7" s="17" t="s">
        <v>21</v>
      </c>
      <c r="H7" s="25" t="s">
        <v>310</v>
      </c>
      <c r="I7" s="14">
        <f>4620000/1430</f>
        <v>3230.7692307692309</v>
      </c>
      <c r="J7" s="17" t="s">
        <v>14</v>
      </c>
      <c r="K7" s="18" t="s">
        <v>14</v>
      </c>
      <c r="L7" s="20" t="s">
        <v>14</v>
      </c>
      <c r="M7" s="85" t="s">
        <v>222</v>
      </c>
      <c r="N7" s="17">
        <v>2025</v>
      </c>
    </row>
  </sheetData>
  <conditionalFormatting sqref="L2:L7">
    <cfRule type="duplicateValues" dxfId="3" priority="1"/>
  </conditionalFormatting>
  <dataValidations count="1">
    <dataValidation type="list" allowBlank="1" showInputMessage="1" showErrorMessage="1" sqref="C2" xr:uid="{00000000-0002-0000-0500-000001000000}">
      <formula1>INDIRECT(B2)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List!$P$2:$P$11</xm:f>
          </x14:formula1>
          <xm:sqref>B2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4" tint="0.39997558519241921"/>
  </sheetPr>
  <dimension ref="A1:N7"/>
  <sheetViews>
    <sheetView workbookViewId="0">
      <selection activeCell="B2" sqref="B2:N7"/>
    </sheetView>
  </sheetViews>
  <sheetFormatPr defaultColWidth="9" defaultRowHeight="14.5"/>
  <cols>
    <col min="1" max="1" width="5.36328125" customWidth="1"/>
    <col min="2" max="2" width="8.90625" customWidth="1"/>
    <col min="3" max="3" width="9.453125" customWidth="1"/>
    <col min="4" max="4" width="9" customWidth="1"/>
    <col min="5" max="5" width="21.453125" customWidth="1"/>
    <col min="6" max="6" width="10.1796875" customWidth="1"/>
    <col min="7" max="7" width="9.453125" customWidth="1"/>
    <col min="8" max="8" width="21.453125" customWidth="1"/>
    <col min="9" max="9" width="18.08984375" customWidth="1"/>
    <col min="10" max="10" width="10.08984375" customWidth="1"/>
    <col min="11" max="11" width="11.1796875" customWidth="1"/>
    <col min="12" max="12" width="10.54296875" customWidth="1"/>
    <col min="13" max="13" width="6.54296875" customWidth="1"/>
    <col min="14" max="14" width="4.81640625" customWidth="1"/>
  </cols>
  <sheetData>
    <row r="1" spans="1:14">
      <c r="A1" s="23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3" t="s">
        <v>12</v>
      </c>
      <c r="N1" s="23" t="s">
        <v>13</v>
      </c>
    </row>
    <row r="2" spans="1:14">
      <c r="A2" s="17">
        <v>1</v>
      </c>
      <c r="B2" s="85" t="s">
        <v>27</v>
      </c>
      <c r="C2" s="86" t="s">
        <v>28</v>
      </c>
      <c r="D2" s="17" t="s">
        <v>60</v>
      </c>
      <c r="E2" s="17" t="s">
        <v>63</v>
      </c>
      <c r="F2" s="17"/>
      <c r="G2" s="17" t="s">
        <v>21</v>
      </c>
      <c r="H2" s="17" t="s">
        <v>63</v>
      </c>
      <c r="I2" s="24">
        <v>5035.211267605634</v>
      </c>
      <c r="J2" s="18" t="s">
        <v>14</v>
      </c>
      <c r="K2" s="18" t="s">
        <v>14</v>
      </c>
      <c r="L2" s="20" t="s">
        <v>14</v>
      </c>
      <c r="M2" s="85" t="s">
        <v>222</v>
      </c>
      <c r="N2" s="17">
        <v>2025</v>
      </c>
    </row>
    <row r="3" spans="1:14">
      <c r="A3" s="17">
        <v>2</v>
      </c>
      <c r="B3" s="56" t="s">
        <v>58</v>
      </c>
      <c r="C3" s="18" t="s">
        <v>59</v>
      </c>
      <c r="D3" s="17" t="s">
        <v>60</v>
      </c>
      <c r="E3" s="17" t="s">
        <v>63</v>
      </c>
      <c r="F3" s="17"/>
      <c r="G3" s="17" t="s">
        <v>21</v>
      </c>
      <c r="H3" s="17" t="s">
        <v>63</v>
      </c>
      <c r="I3" s="24">
        <v>10070.422535211268</v>
      </c>
      <c r="J3" s="18" t="s">
        <v>14</v>
      </c>
      <c r="K3" s="18" t="s">
        <v>14</v>
      </c>
      <c r="L3" s="20" t="s">
        <v>14</v>
      </c>
      <c r="M3" s="85" t="s">
        <v>222</v>
      </c>
      <c r="N3" s="17">
        <v>2025</v>
      </c>
    </row>
    <row r="4" spans="1:14">
      <c r="A4" s="17">
        <v>3</v>
      </c>
      <c r="B4" s="56" t="s">
        <v>58</v>
      </c>
      <c r="C4" s="18" t="s">
        <v>59</v>
      </c>
      <c r="D4" s="17" t="s">
        <v>60</v>
      </c>
      <c r="E4" s="17" t="s">
        <v>63</v>
      </c>
      <c r="F4" s="17"/>
      <c r="G4" s="17" t="s">
        <v>21</v>
      </c>
      <c r="H4" s="17" t="s">
        <v>63</v>
      </c>
      <c r="I4" s="24">
        <v>4475.3521126760561</v>
      </c>
      <c r="J4" s="18" t="s">
        <v>14</v>
      </c>
      <c r="K4" s="18" t="s">
        <v>14</v>
      </c>
      <c r="L4" s="20" t="s">
        <v>14</v>
      </c>
      <c r="M4" s="85" t="s">
        <v>222</v>
      </c>
      <c r="N4" s="17">
        <v>2025</v>
      </c>
    </row>
    <row r="5" spans="1:14">
      <c r="A5" s="17">
        <v>4</v>
      </c>
      <c r="B5" s="56" t="s">
        <v>58</v>
      </c>
      <c r="C5" s="18" t="s">
        <v>59</v>
      </c>
      <c r="D5" s="17" t="s">
        <v>60</v>
      </c>
      <c r="E5" s="17" t="s">
        <v>63</v>
      </c>
      <c r="F5" s="11"/>
      <c r="G5" s="17" t="s">
        <v>21</v>
      </c>
      <c r="H5" s="17" t="s">
        <v>63</v>
      </c>
      <c r="I5" s="38">
        <v>5316.9014084507044</v>
      </c>
      <c r="J5" s="18" t="s">
        <v>14</v>
      </c>
      <c r="K5" s="18" t="s">
        <v>14</v>
      </c>
      <c r="L5" s="20" t="s">
        <v>14</v>
      </c>
      <c r="M5" s="85" t="s">
        <v>222</v>
      </c>
      <c r="N5" s="17">
        <v>2025</v>
      </c>
    </row>
    <row r="6" spans="1:14">
      <c r="A6" s="17">
        <v>5</v>
      </c>
      <c r="B6" s="56" t="s">
        <v>58</v>
      </c>
      <c r="C6" s="18" t="s">
        <v>59</v>
      </c>
      <c r="D6" s="17" t="s">
        <v>60</v>
      </c>
      <c r="E6" s="17" t="s">
        <v>63</v>
      </c>
      <c r="F6" s="11"/>
      <c r="G6" s="17" t="s">
        <v>21</v>
      </c>
      <c r="H6" s="17" t="s">
        <v>63</v>
      </c>
      <c r="I6" s="38">
        <v>3169.0140845070423</v>
      </c>
      <c r="J6" s="18" t="s">
        <v>14</v>
      </c>
      <c r="K6" s="18" t="s">
        <v>14</v>
      </c>
      <c r="L6" s="20" t="s">
        <v>14</v>
      </c>
      <c r="M6" s="85" t="s">
        <v>222</v>
      </c>
      <c r="N6" s="17">
        <v>2025</v>
      </c>
    </row>
    <row r="7" spans="1:14">
      <c r="A7" s="17">
        <v>6</v>
      </c>
      <c r="B7" s="85" t="s">
        <v>27</v>
      </c>
      <c r="C7" s="86" t="s">
        <v>28</v>
      </c>
      <c r="D7" s="17" t="s">
        <v>60</v>
      </c>
      <c r="E7" s="17" t="s">
        <v>63</v>
      </c>
      <c r="F7" s="11"/>
      <c r="G7" s="17" t="s">
        <v>21</v>
      </c>
      <c r="H7" s="17" t="s">
        <v>63</v>
      </c>
      <c r="I7" s="38">
        <v>15158.450704225352</v>
      </c>
      <c r="J7" s="18" t="s">
        <v>14</v>
      </c>
      <c r="K7" s="18" t="s">
        <v>14</v>
      </c>
      <c r="L7" s="20" t="s">
        <v>14</v>
      </c>
      <c r="M7" s="85" t="s">
        <v>222</v>
      </c>
      <c r="N7" s="17">
        <v>2025</v>
      </c>
    </row>
  </sheetData>
  <conditionalFormatting sqref="L2:L7">
    <cfRule type="duplicateValues" dxfId="2" priority="268"/>
  </conditionalFormatting>
  <dataValidations count="1">
    <dataValidation type="list" allowBlank="1" showInputMessage="1" showErrorMessage="1" sqref="C2:C7" xr:uid="{00000000-0002-0000-0600-000000000000}">
      <formula1>Level_2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 tint="0.39997558519241921"/>
  </sheetPr>
  <dimension ref="A1:N8"/>
  <sheetViews>
    <sheetView topLeftCell="F1" workbookViewId="0">
      <selection activeCell="B2" sqref="B2:N8"/>
    </sheetView>
  </sheetViews>
  <sheetFormatPr defaultColWidth="9" defaultRowHeight="14.5"/>
  <cols>
    <col min="1" max="1" width="5.54296875" bestFit="1" customWidth="1"/>
    <col min="2" max="2" width="7.1796875" bestFit="1" customWidth="1"/>
    <col min="3" max="3" width="9.54296875" bestFit="1" customWidth="1"/>
    <col min="4" max="4" width="9.1796875" bestFit="1" customWidth="1"/>
    <col min="5" max="5" width="14.54296875" bestFit="1" customWidth="1"/>
    <col min="6" max="6" width="10.54296875" bestFit="1" customWidth="1"/>
    <col min="7" max="7" width="26.36328125" bestFit="1" customWidth="1"/>
    <col min="8" max="8" width="37" bestFit="1" customWidth="1"/>
    <col min="9" max="9" width="18.6328125" bestFit="1" customWidth="1"/>
    <col min="10" max="10" width="11" bestFit="1" customWidth="1"/>
    <col min="11" max="11" width="11.453125" bestFit="1" customWidth="1"/>
    <col min="12" max="12" width="10.81640625" bestFit="1" customWidth="1"/>
    <col min="13" max="13" width="6.81640625" bestFit="1" customWidth="1"/>
    <col min="14" max="14" width="5" bestFit="1" customWidth="1"/>
  </cols>
  <sheetData>
    <row r="1" spans="1:14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</row>
    <row r="2" spans="1:14">
      <c r="A2" s="17">
        <v>1</v>
      </c>
      <c r="B2" s="17" t="s">
        <v>58</v>
      </c>
      <c r="C2" s="18" t="s">
        <v>59</v>
      </c>
      <c r="D2" s="17" t="s">
        <v>60</v>
      </c>
      <c r="E2" s="17" t="s">
        <v>84</v>
      </c>
      <c r="F2" s="17"/>
      <c r="G2" s="17" t="s">
        <v>21</v>
      </c>
      <c r="H2" s="17" t="s">
        <v>311</v>
      </c>
      <c r="I2" s="19">
        <f>3000000/1430</f>
        <v>2097.9020979020979</v>
      </c>
      <c r="J2" s="18" t="s">
        <v>14</v>
      </c>
      <c r="K2" s="18" t="s">
        <v>14</v>
      </c>
      <c r="L2" s="20" t="s">
        <v>14</v>
      </c>
      <c r="M2" s="17" t="s">
        <v>222</v>
      </c>
      <c r="N2" s="17">
        <v>2025</v>
      </c>
    </row>
    <row r="3" spans="1:14">
      <c r="A3" s="17">
        <v>2</v>
      </c>
      <c r="B3" s="17" t="s">
        <v>58</v>
      </c>
      <c r="C3" s="18" t="s">
        <v>59</v>
      </c>
      <c r="D3" s="17" t="s">
        <v>60</v>
      </c>
      <c r="E3" s="17" t="s">
        <v>84</v>
      </c>
      <c r="F3" s="17"/>
      <c r="G3" s="17" t="s">
        <v>21</v>
      </c>
      <c r="H3" s="17" t="s">
        <v>312</v>
      </c>
      <c r="I3" s="19">
        <f>5000000/1430</f>
        <v>3496.5034965034965</v>
      </c>
      <c r="J3" s="18" t="s">
        <v>14</v>
      </c>
      <c r="K3" s="18" t="s">
        <v>14</v>
      </c>
      <c r="L3" s="20" t="s">
        <v>14</v>
      </c>
      <c r="M3" s="17" t="s">
        <v>222</v>
      </c>
      <c r="N3" s="17">
        <v>2025</v>
      </c>
    </row>
    <row r="4" spans="1:14">
      <c r="A4" s="17">
        <v>3</v>
      </c>
      <c r="B4" s="17" t="s">
        <v>58</v>
      </c>
      <c r="C4" s="18" t="s">
        <v>59</v>
      </c>
      <c r="D4" s="17" t="s">
        <v>60</v>
      </c>
      <c r="E4" s="17" t="s">
        <v>84</v>
      </c>
      <c r="F4" s="17"/>
      <c r="G4" s="17" t="s">
        <v>21</v>
      </c>
      <c r="H4" s="17" t="s">
        <v>313</v>
      </c>
      <c r="I4" s="19">
        <v>2000</v>
      </c>
      <c r="J4" s="18" t="s">
        <v>14</v>
      </c>
      <c r="K4" s="18" t="s">
        <v>14</v>
      </c>
      <c r="L4" s="20" t="s">
        <v>14</v>
      </c>
      <c r="M4" s="17" t="s">
        <v>222</v>
      </c>
      <c r="N4" s="17">
        <v>2025</v>
      </c>
    </row>
    <row r="5" spans="1:14">
      <c r="A5" s="17">
        <v>4</v>
      </c>
      <c r="B5" s="17" t="s">
        <v>58</v>
      </c>
      <c r="C5" s="18" t="s">
        <v>59</v>
      </c>
      <c r="D5" s="17" t="s">
        <v>60</v>
      </c>
      <c r="E5" s="17" t="s">
        <v>84</v>
      </c>
      <c r="F5" s="17"/>
      <c r="G5" s="17" t="s">
        <v>21</v>
      </c>
      <c r="H5" s="11" t="s">
        <v>314</v>
      </c>
      <c r="I5" s="21">
        <f>1250000/1430</f>
        <v>874.12587412587413</v>
      </c>
      <c r="J5" s="18" t="s">
        <v>14</v>
      </c>
      <c r="K5" s="18" t="s">
        <v>14</v>
      </c>
      <c r="L5" s="20" t="s">
        <v>14</v>
      </c>
      <c r="M5" s="17" t="s">
        <v>222</v>
      </c>
      <c r="N5" s="17">
        <v>2025</v>
      </c>
    </row>
    <row r="6" spans="1:14">
      <c r="A6" s="17">
        <v>5</v>
      </c>
      <c r="B6" s="17" t="s">
        <v>58</v>
      </c>
      <c r="C6" s="18" t="s">
        <v>59</v>
      </c>
      <c r="D6" s="17" t="s">
        <v>60</v>
      </c>
      <c r="E6" s="17" t="s">
        <v>84</v>
      </c>
      <c r="F6" s="17"/>
      <c r="G6" s="17" t="s">
        <v>21</v>
      </c>
      <c r="H6" s="11" t="s">
        <v>315</v>
      </c>
      <c r="I6" s="21">
        <v>4500</v>
      </c>
      <c r="J6" s="18" t="s">
        <v>14</v>
      </c>
      <c r="K6" s="18" t="s">
        <v>14</v>
      </c>
      <c r="L6" s="20" t="s">
        <v>14</v>
      </c>
      <c r="M6" s="17" t="s">
        <v>222</v>
      </c>
      <c r="N6" s="17">
        <v>2025</v>
      </c>
    </row>
    <row r="7" spans="1:14">
      <c r="A7" s="17">
        <v>6</v>
      </c>
      <c r="B7" s="17" t="s">
        <v>58</v>
      </c>
      <c r="C7" s="18" t="s">
        <v>59</v>
      </c>
      <c r="D7" s="17" t="s">
        <v>60</v>
      </c>
      <c r="E7" s="17" t="s">
        <v>84</v>
      </c>
      <c r="F7" s="17"/>
      <c r="G7" s="17" t="s">
        <v>21</v>
      </c>
      <c r="H7" s="11" t="s">
        <v>316</v>
      </c>
      <c r="I7" s="21">
        <v>6000</v>
      </c>
      <c r="J7" s="18" t="s">
        <v>14</v>
      </c>
      <c r="K7" s="18" t="s">
        <v>14</v>
      </c>
      <c r="L7" s="20" t="s">
        <v>14</v>
      </c>
      <c r="M7" s="17" t="s">
        <v>222</v>
      </c>
      <c r="N7" s="17">
        <v>2025</v>
      </c>
    </row>
    <row r="8" spans="1:14">
      <c r="A8" s="17">
        <v>7</v>
      </c>
      <c r="B8" s="17" t="s">
        <v>58</v>
      </c>
      <c r="C8" s="18" t="s">
        <v>59</v>
      </c>
      <c r="D8" s="17" t="s">
        <v>60</v>
      </c>
      <c r="E8" s="17" t="s">
        <v>84</v>
      </c>
      <c r="F8" s="17"/>
      <c r="G8" s="11" t="s">
        <v>85</v>
      </c>
      <c r="H8" s="11" t="s">
        <v>317</v>
      </c>
      <c r="I8" s="22">
        <v>1938.71</v>
      </c>
      <c r="J8" s="17" t="s">
        <v>318</v>
      </c>
      <c r="K8" s="18">
        <v>46022</v>
      </c>
      <c r="L8" s="20" t="s">
        <v>14</v>
      </c>
      <c r="M8" s="17" t="s">
        <v>222</v>
      </c>
      <c r="N8" s="17">
        <v>2025</v>
      </c>
    </row>
  </sheetData>
  <conditionalFormatting sqref="L2:L8">
    <cfRule type="duplicateValues" dxfId="1" priority="1"/>
  </conditionalFormatting>
  <dataValidations count="1">
    <dataValidation type="list" allowBlank="1" showInputMessage="1" showErrorMessage="1" sqref="C2:C8" xr:uid="{00000000-0002-0000-0700-000000000000}">
      <formula1>Level_2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4" tint="0.39997558519241921"/>
  </sheetPr>
  <dimension ref="A1:N494"/>
  <sheetViews>
    <sheetView topLeftCell="F106" workbookViewId="0">
      <selection activeCell="B2" sqref="B2:N125"/>
    </sheetView>
  </sheetViews>
  <sheetFormatPr defaultColWidth="9" defaultRowHeight="14.5"/>
  <cols>
    <col min="1" max="1" width="7.6328125" customWidth="1"/>
    <col min="2" max="2" width="9.36328125" customWidth="1"/>
    <col min="3" max="3" width="10.6328125" customWidth="1"/>
    <col min="4" max="4" width="11.1796875" customWidth="1"/>
    <col min="5" max="5" width="29" customWidth="1"/>
    <col min="6" max="6" width="12.36328125" customWidth="1"/>
    <col min="7" max="7" width="28.6328125" customWidth="1"/>
    <col min="8" max="8" width="21.08984375" customWidth="1"/>
    <col min="9" max="9" width="20.1796875" style="8" customWidth="1"/>
    <col min="10" max="10" width="12.36328125" customWidth="1"/>
    <col min="11" max="11" width="13.36328125" customWidth="1"/>
    <col min="12" max="12" width="12.81640625" customWidth="1"/>
    <col min="13" max="13" width="8.81640625" customWidth="1"/>
    <col min="14" max="14" width="6.8164062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4">
        <v>1</v>
      </c>
      <c r="B2" s="4" t="s">
        <v>42</v>
      </c>
      <c r="C2" s="4" t="s">
        <v>51</v>
      </c>
      <c r="D2" s="4" t="s">
        <v>60</v>
      </c>
      <c r="E2" s="4" t="s">
        <v>86</v>
      </c>
      <c r="F2" s="4"/>
      <c r="G2" s="4" t="s">
        <v>93</v>
      </c>
      <c r="H2" s="4" t="s">
        <v>91</v>
      </c>
      <c r="I2" s="47">
        <f>1920000/1450</f>
        <v>1324.1379310344828</v>
      </c>
      <c r="J2" s="88" t="s">
        <v>320</v>
      </c>
      <c r="K2" s="15">
        <v>46022</v>
      </c>
      <c r="L2" s="4" t="s">
        <v>14</v>
      </c>
      <c r="M2" s="83" t="s">
        <v>222</v>
      </c>
      <c r="N2" s="4">
        <v>2025</v>
      </c>
    </row>
    <row r="3" spans="1:14">
      <c r="A3" s="4">
        <v>2</v>
      </c>
      <c r="B3" s="39" t="s">
        <v>61</v>
      </c>
      <c r="C3" s="39" t="s">
        <v>62</v>
      </c>
      <c r="D3" s="4" t="s">
        <v>19</v>
      </c>
      <c r="E3" s="4" t="s">
        <v>86</v>
      </c>
      <c r="F3" s="4"/>
      <c r="G3" s="4" t="s">
        <v>94</v>
      </c>
      <c r="H3" s="4" t="s">
        <v>91</v>
      </c>
      <c r="I3" s="7">
        <v>2080</v>
      </c>
      <c r="J3" s="4" t="s">
        <v>14</v>
      </c>
      <c r="K3" s="4" t="s">
        <v>14</v>
      </c>
      <c r="L3" s="4" t="s">
        <v>14</v>
      </c>
      <c r="M3" s="83" t="s">
        <v>222</v>
      </c>
      <c r="N3" s="4">
        <v>2025</v>
      </c>
    </row>
    <row r="4" spans="1:14">
      <c r="A4" s="4">
        <v>3</v>
      </c>
      <c r="B4" s="4" t="s">
        <v>17</v>
      </c>
      <c r="C4" s="39" t="s">
        <v>23</v>
      </c>
      <c r="D4" s="4" t="s">
        <v>19</v>
      </c>
      <c r="E4" s="4" t="s">
        <v>86</v>
      </c>
      <c r="F4" s="4"/>
      <c r="G4" s="4" t="s">
        <v>94</v>
      </c>
      <c r="H4" s="4" t="s">
        <v>91</v>
      </c>
      <c r="I4" s="7">
        <v>1620</v>
      </c>
      <c r="J4" s="4" t="s">
        <v>14</v>
      </c>
      <c r="K4" s="4" t="s">
        <v>14</v>
      </c>
      <c r="L4" s="4" t="s">
        <v>14</v>
      </c>
      <c r="M4" s="83" t="s">
        <v>222</v>
      </c>
      <c r="N4" s="4">
        <v>2025</v>
      </c>
    </row>
    <row r="5" spans="1:14">
      <c r="A5" s="4"/>
      <c r="B5" s="50" t="s">
        <v>17</v>
      </c>
      <c r="C5" s="4" t="s">
        <v>88</v>
      </c>
      <c r="D5" s="4" t="s">
        <v>19</v>
      </c>
      <c r="E5" s="4" t="s">
        <v>86</v>
      </c>
      <c r="F5" s="4"/>
      <c r="G5" s="49" t="s">
        <v>89</v>
      </c>
      <c r="H5" s="50" t="s">
        <v>276</v>
      </c>
      <c r="I5" s="7">
        <v>23994.954111888113</v>
      </c>
      <c r="J5" s="4" t="s">
        <v>14</v>
      </c>
      <c r="K5" s="4" t="s">
        <v>14</v>
      </c>
      <c r="L5" s="4" t="s">
        <v>14</v>
      </c>
      <c r="M5" s="83" t="s">
        <v>222</v>
      </c>
      <c r="N5" s="4">
        <v>2025</v>
      </c>
    </row>
    <row r="6" spans="1:14">
      <c r="A6" s="4"/>
      <c r="B6" s="50" t="s">
        <v>54</v>
      </c>
      <c r="C6" s="4" t="s">
        <v>55</v>
      </c>
      <c r="D6" s="4" t="s">
        <v>19</v>
      </c>
      <c r="E6" s="4" t="s">
        <v>86</v>
      </c>
      <c r="F6" s="4"/>
      <c r="G6" s="49" t="s">
        <v>89</v>
      </c>
      <c r="H6" s="50" t="s">
        <v>276</v>
      </c>
      <c r="I6" s="7">
        <v>7062.9370629370633</v>
      </c>
      <c r="J6" s="4" t="s">
        <v>14</v>
      </c>
      <c r="K6" s="4" t="s">
        <v>14</v>
      </c>
      <c r="L6" s="4" t="s">
        <v>14</v>
      </c>
      <c r="M6" s="83" t="s">
        <v>222</v>
      </c>
      <c r="N6" s="4">
        <v>2025</v>
      </c>
    </row>
    <row r="7" spans="1:14">
      <c r="A7" s="4"/>
      <c r="B7" s="50" t="s">
        <v>42</v>
      </c>
      <c r="C7" s="4" t="s">
        <v>224</v>
      </c>
      <c r="D7" s="4" t="s">
        <v>19</v>
      </c>
      <c r="E7" s="4" t="s">
        <v>86</v>
      </c>
      <c r="F7" s="4"/>
      <c r="G7" s="49" t="s">
        <v>89</v>
      </c>
      <c r="H7" s="50" t="s">
        <v>276</v>
      </c>
      <c r="I7" s="7">
        <v>1958.041958041958</v>
      </c>
      <c r="J7" s="4" t="s">
        <v>14</v>
      </c>
      <c r="K7" s="4" t="s">
        <v>14</v>
      </c>
      <c r="L7" s="4" t="s">
        <v>14</v>
      </c>
      <c r="M7" s="83" t="s">
        <v>222</v>
      </c>
      <c r="N7" s="4">
        <v>2025</v>
      </c>
    </row>
    <row r="8" spans="1:14">
      <c r="A8" s="4"/>
      <c r="B8" s="50" t="s">
        <v>35</v>
      </c>
      <c r="C8" s="4" t="s">
        <v>36</v>
      </c>
      <c r="D8" s="4" t="s">
        <v>19</v>
      </c>
      <c r="E8" s="4" t="s">
        <v>86</v>
      </c>
      <c r="F8" s="4"/>
      <c r="G8" s="49" t="s">
        <v>89</v>
      </c>
      <c r="H8" s="50" t="s">
        <v>276</v>
      </c>
      <c r="I8" s="7">
        <v>5396.2703916083919</v>
      </c>
      <c r="J8" s="4" t="s">
        <v>14</v>
      </c>
      <c r="K8" s="4" t="s">
        <v>14</v>
      </c>
      <c r="L8" s="4" t="s">
        <v>14</v>
      </c>
      <c r="M8" s="83" t="s">
        <v>222</v>
      </c>
      <c r="N8" s="4">
        <v>2025</v>
      </c>
    </row>
    <row r="9" spans="1:14">
      <c r="A9" s="4"/>
      <c r="B9" s="50" t="s">
        <v>35</v>
      </c>
      <c r="C9" s="4" t="s">
        <v>37</v>
      </c>
      <c r="D9" s="4" t="s">
        <v>19</v>
      </c>
      <c r="E9" s="4" t="s">
        <v>86</v>
      </c>
      <c r="F9" s="4"/>
      <c r="G9" s="49" t="s">
        <v>89</v>
      </c>
      <c r="H9" s="50" t="s">
        <v>276</v>
      </c>
      <c r="I9" s="7">
        <v>6993.0069930069931</v>
      </c>
      <c r="J9" s="4" t="s">
        <v>14</v>
      </c>
      <c r="K9" s="4" t="s">
        <v>14</v>
      </c>
      <c r="L9" s="4" t="s">
        <v>14</v>
      </c>
      <c r="M9" s="83" t="s">
        <v>222</v>
      </c>
      <c r="N9" s="4">
        <v>2025</v>
      </c>
    </row>
    <row r="10" spans="1:14">
      <c r="A10" s="4"/>
      <c r="B10" s="50" t="s">
        <v>42</v>
      </c>
      <c r="C10" s="4" t="s">
        <v>44</v>
      </c>
      <c r="D10" s="4" t="s">
        <v>19</v>
      </c>
      <c r="E10" s="4" t="s">
        <v>86</v>
      </c>
      <c r="F10" s="4"/>
      <c r="G10" s="49" t="s">
        <v>89</v>
      </c>
      <c r="H10" s="50" t="s">
        <v>276</v>
      </c>
      <c r="I10" s="7">
        <v>2237.7622377622379</v>
      </c>
      <c r="J10" s="4" t="s">
        <v>14</v>
      </c>
      <c r="K10" s="4" t="s">
        <v>14</v>
      </c>
      <c r="L10" s="4" t="s">
        <v>14</v>
      </c>
      <c r="M10" s="83" t="s">
        <v>222</v>
      </c>
      <c r="N10" s="4">
        <v>2025</v>
      </c>
    </row>
    <row r="11" spans="1:14">
      <c r="A11" s="4"/>
      <c r="B11" s="50" t="s">
        <v>42</v>
      </c>
      <c r="C11" s="4" t="s">
        <v>45</v>
      </c>
      <c r="D11" s="4" t="s">
        <v>19</v>
      </c>
      <c r="E11" s="4" t="s">
        <v>86</v>
      </c>
      <c r="F11" s="4"/>
      <c r="G11" s="49" t="s">
        <v>89</v>
      </c>
      <c r="H11" s="50" t="s">
        <v>276</v>
      </c>
      <c r="I11" s="7">
        <v>5422.2701048951049</v>
      </c>
      <c r="J11" s="4" t="s">
        <v>14</v>
      </c>
      <c r="K11" s="4" t="s">
        <v>14</v>
      </c>
      <c r="L11" s="4" t="s">
        <v>14</v>
      </c>
      <c r="M11" s="83" t="s">
        <v>222</v>
      </c>
      <c r="N11" s="4">
        <v>2025</v>
      </c>
    </row>
    <row r="12" spans="1:14">
      <c r="A12" s="4"/>
      <c r="B12" s="50" t="s">
        <v>33</v>
      </c>
      <c r="C12" s="4" t="s">
        <v>34</v>
      </c>
      <c r="D12" s="4" t="s">
        <v>19</v>
      </c>
      <c r="E12" s="4" t="s">
        <v>86</v>
      </c>
      <c r="F12" s="4"/>
      <c r="G12" s="49" t="s">
        <v>89</v>
      </c>
      <c r="H12" s="50" t="s">
        <v>276</v>
      </c>
      <c r="I12" s="7">
        <v>8504.5723636363637</v>
      </c>
      <c r="J12" s="4" t="s">
        <v>14</v>
      </c>
      <c r="K12" s="4" t="s">
        <v>14</v>
      </c>
      <c r="L12" s="4" t="s">
        <v>14</v>
      </c>
      <c r="M12" s="83" t="s">
        <v>222</v>
      </c>
      <c r="N12" s="4">
        <v>2025</v>
      </c>
    </row>
    <row r="13" spans="1:14">
      <c r="A13" s="4"/>
      <c r="B13" s="50" t="s">
        <v>61</v>
      </c>
      <c r="C13" s="4" t="s">
        <v>53</v>
      </c>
      <c r="D13" s="4" t="s">
        <v>19</v>
      </c>
      <c r="E13" s="4" t="s">
        <v>86</v>
      </c>
      <c r="F13" s="4"/>
      <c r="G13" s="49" t="s">
        <v>89</v>
      </c>
      <c r="H13" s="50" t="s">
        <v>276</v>
      </c>
      <c r="I13" s="7">
        <v>33360.863433566432</v>
      </c>
      <c r="J13" s="4" t="s">
        <v>14</v>
      </c>
      <c r="K13" s="4" t="s">
        <v>14</v>
      </c>
      <c r="L13" s="4" t="s">
        <v>14</v>
      </c>
      <c r="M13" s="83" t="s">
        <v>222</v>
      </c>
      <c r="N13" s="4">
        <v>2025</v>
      </c>
    </row>
    <row r="14" spans="1:14">
      <c r="A14" s="4"/>
      <c r="B14" s="50" t="s">
        <v>17</v>
      </c>
      <c r="C14" s="4" t="s">
        <v>22</v>
      </c>
      <c r="D14" s="4" t="s">
        <v>19</v>
      </c>
      <c r="E14" s="4" t="s">
        <v>86</v>
      </c>
      <c r="F14" s="4"/>
      <c r="G14" s="49" t="s">
        <v>89</v>
      </c>
      <c r="H14" s="50" t="s">
        <v>276</v>
      </c>
      <c r="I14" s="7">
        <v>12312.860643356642</v>
      </c>
      <c r="J14" s="4" t="s">
        <v>14</v>
      </c>
      <c r="K14" s="4" t="s">
        <v>14</v>
      </c>
      <c r="L14" s="4" t="s">
        <v>14</v>
      </c>
      <c r="M14" s="83" t="s">
        <v>222</v>
      </c>
      <c r="N14" s="4">
        <v>2025</v>
      </c>
    </row>
    <row r="15" spans="1:14">
      <c r="A15" s="4"/>
      <c r="B15" s="50" t="s">
        <v>17</v>
      </c>
      <c r="C15" s="4" t="s">
        <v>92</v>
      </c>
      <c r="D15" s="4" t="s">
        <v>19</v>
      </c>
      <c r="E15" s="4" t="s">
        <v>86</v>
      </c>
      <c r="F15" s="4"/>
      <c r="G15" s="49" t="s">
        <v>89</v>
      </c>
      <c r="H15" s="50" t="s">
        <v>276</v>
      </c>
      <c r="I15" s="7">
        <v>6293.7062937062938</v>
      </c>
      <c r="J15" s="4" t="s">
        <v>14</v>
      </c>
      <c r="K15" s="4" t="s">
        <v>14</v>
      </c>
      <c r="L15" s="4" t="s">
        <v>14</v>
      </c>
      <c r="M15" s="83" t="s">
        <v>222</v>
      </c>
      <c r="N15" s="4">
        <v>2025</v>
      </c>
    </row>
    <row r="16" spans="1:14">
      <c r="A16" s="4"/>
      <c r="B16" s="50" t="s">
        <v>29</v>
      </c>
      <c r="C16" s="4" t="s">
        <v>30</v>
      </c>
      <c r="D16" s="4" t="s">
        <v>19</v>
      </c>
      <c r="E16" s="4" t="s">
        <v>86</v>
      </c>
      <c r="F16" s="4"/>
      <c r="G16" s="49" t="s">
        <v>89</v>
      </c>
      <c r="H16" s="50" t="s">
        <v>276</v>
      </c>
      <c r="I16" s="7">
        <v>2197.4179720279722</v>
      </c>
      <c r="J16" s="4" t="s">
        <v>14</v>
      </c>
      <c r="K16" s="4" t="s">
        <v>14</v>
      </c>
      <c r="L16" s="4" t="s">
        <v>14</v>
      </c>
      <c r="M16" s="83" t="s">
        <v>222</v>
      </c>
      <c r="N16" s="4">
        <v>2025</v>
      </c>
    </row>
    <row r="17" spans="1:14">
      <c r="A17" s="4"/>
      <c r="B17" s="50" t="s">
        <v>35</v>
      </c>
      <c r="C17" s="4" t="s">
        <v>41</v>
      </c>
      <c r="D17" s="4" t="s">
        <v>19</v>
      </c>
      <c r="E17" s="4" t="s">
        <v>86</v>
      </c>
      <c r="F17" s="4"/>
      <c r="G17" s="49" t="s">
        <v>89</v>
      </c>
      <c r="H17" s="50" t="s">
        <v>276</v>
      </c>
      <c r="I17" s="7">
        <v>139.86013986013987</v>
      </c>
      <c r="J17" s="4" t="s">
        <v>14</v>
      </c>
      <c r="K17" s="4" t="s">
        <v>14</v>
      </c>
      <c r="L17" s="4" t="s">
        <v>14</v>
      </c>
      <c r="M17" s="83" t="s">
        <v>222</v>
      </c>
      <c r="N17" s="4">
        <v>2025</v>
      </c>
    </row>
    <row r="18" spans="1:14">
      <c r="A18" s="4"/>
      <c r="B18" s="50" t="s">
        <v>42</v>
      </c>
      <c r="C18" s="4" t="s">
        <v>47</v>
      </c>
      <c r="D18" s="4" t="s">
        <v>19</v>
      </c>
      <c r="E18" s="4" t="s">
        <v>86</v>
      </c>
      <c r="F18" s="4"/>
      <c r="G18" s="49" t="s">
        <v>89</v>
      </c>
      <c r="H18" s="50" t="s">
        <v>276</v>
      </c>
      <c r="I18" s="7">
        <v>3496.5034965034965</v>
      </c>
      <c r="J18" s="4" t="s">
        <v>14</v>
      </c>
      <c r="K18" s="4" t="s">
        <v>14</v>
      </c>
      <c r="L18" s="4" t="s">
        <v>14</v>
      </c>
      <c r="M18" s="83" t="s">
        <v>222</v>
      </c>
      <c r="N18" s="4">
        <v>2025</v>
      </c>
    </row>
    <row r="19" spans="1:14">
      <c r="A19" s="4"/>
      <c r="B19" s="50" t="s">
        <v>42</v>
      </c>
      <c r="C19" s="4" t="s">
        <v>48</v>
      </c>
      <c r="D19" s="4" t="s">
        <v>19</v>
      </c>
      <c r="E19" s="4" t="s">
        <v>86</v>
      </c>
      <c r="F19" s="4"/>
      <c r="G19" s="49" t="s">
        <v>89</v>
      </c>
      <c r="H19" s="50" t="s">
        <v>276</v>
      </c>
      <c r="I19" s="7">
        <v>2867.132867132867</v>
      </c>
      <c r="J19" s="4" t="s">
        <v>14</v>
      </c>
      <c r="K19" s="4" t="s">
        <v>14</v>
      </c>
      <c r="L19" s="4" t="s">
        <v>14</v>
      </c>
      <c r="M19" s="83" t="s">
        <v>222</v>
      </c>
      <c r="N19" s="4">
        <v>2025</v>
      </c>
    </row>
    <row r="20" spans="1:14">
      <c r="A20" s="4"/>
      <c r="B20" s="50" t="s">
        <v>42</v>
      </c>
      <c r="C20" s="4" t="s">
        <v>50</v>
      </c>
      <c r="D20" s="4" t="s">
        <v>19</v>
      </c>
      <c r="E20" s="4" t="s">
        <v>86</v>
      </c>
      <c r="F20" s="4"/>
      <c r="G20" s="49" t="s">
        <v>89</v>
      </c>
      <c r="H20" s="50" t="s">
        <v>276</v>
      </c>
      <c r="I20" s="7">
        <v>34508.00225174825</v>
      </c>
      <c r="J20" s="4" t="s">
        <v>14</v>
      </c>
      <c r="K20" s="4" t="s">
        <v>14</v>
      </c>
      <c r="L20" s="4" t="s">
        <v>14</v>
      </c>
      <c r="M20" s="83" t="s">
        <v>222</v>
      </c>
      <c r="N20" s="4">
        <v>2025</v>
      </c>
    </row>
    <row r="21" spans="1:14">
      <c r="A21" s="4"/>
      <c r="B21" s="50" t="s">
        <v>42</v>
      </c>
      <c r="C21" s="4" t="s">
        <v>275</v>
      </c>
      <c r="D21" s="4" t="s">
        <v>19</v>
      </c>
      <c r="E21" s="4" t="s">
        <v>86</v>
      </c>
      <c r="F21" s="4"/>
      <c r="G21" s="49" t="s">
        <v>89</v>
      </c>
      <c r="H21" s="50" t="s">
        <v>276</v>
      </c>
      <c r="I21" s="7">
        <v>2517.4825174825173</v>
      </c>
      <c r="J21" s="4" t="s">
        <v>14</v>
      </c>
      <c r="K21" s="4" t="s">
        <v>14</v>
      </c>
      <c r="L21" s="4" t="s">
        <v>14</v>
      </c>
      <c r="M21" s="83" t="s">
        <v>222</v>
      </c>
      <c r="N21" s="4">
        <v>2025</v>
      </c>
    </row>
    <row r="22" spans="1:14">
      <c r="A22" s="4"/>
      <c r="B22" s="50" t="s">
        <v>17</v>
      </c>
      <c r="C22" s="4" t="s">
        <v>24</v>
      </c>
      <c r="D22" s="4" t="s">
        <v>19</v>
      </c>
      <c r="E22" s="4" t="s">
        <v>86</v>
      </c>
      <c r="F22" s="4"/>
      <c r="G22" s="49" t="s">
        <v>89</v>
      </c>
      <c r="H22" s="50" t="s">
        <v>276</v>
      </c>
      <c r="I22" s="7">
        <v>4803.6579020979016</v>
      </c>
      <c r="J22" s="4" t="s">
        <v>14</v>
      </c>
      <c r="K22" s="4" t="s">
        <v>14</v>
      </c>
      <c r="L22" s="4" t="s">
        <v>14</v>
      </c>
      <c r="M22" s="83" t="s">
        <v>222</v>
      </c>
      <c r="N22" s="4">
        <v>2025</v>
      </c>
    </row>
    <row r="23" spans="1:14">
      <c r="A23" s="4"/>
      <c r="B23" s="50" t="s">
        <v>17</v>
      </c>
      <c r="C23" s="4" t="s">
        <v>25</v>
      </c>
      <c r="D23" s="4" t="s">
        <v>19</v>
      </c>
      <c r="E23" s="4" t="s">
        <v>86</v>
      </c>
      <c r="F23" s="4"/>
      <c r="G23" s="49" t="s">
        <v>89</v>
      </c>
      <c r="H23" s="50" t="s">
        <v>276</v>
      </c>
      <c r="I23" s="7">
        <v>19417.755734265735</v>
      </c>
      <c r="J23" s="4" t="s">
        <v>14</v>
      </c>
      <c r="K23" s="4" t="s">
        <v>14</v>
      </c>
      <c r="L23" s="4" t="s">
        <v>14</v>
      </c>
      <c r="M23" s="83" t="s">
        <v>222</v>
      </c>
      <c r="N23" s="4">
        <v>2025</v>
      </c>
    </row>
    <row r="24" spans="1:14">
      <c r="A24" s="4"/>
      <c r="B24" s="50" t="s">
        <v>17</v>
      </c>
      <c r="C24" s="4" t="s">
        <v>88</v>
      </c>
      <c r="D24" s="4" t="s">
        <v>19</v>
      </c>
      <c r="E24" s="4" t="s">
        <v>86</v>
      </c>
      <c r="F24" s="4"/>
      <c r="G24" s="49" t="s">
        <v>87</v>
      </c>
      <c r="H24" s="50" t="s">
        <v>276</v>
      </c>
      <c r="I24" s="7">
        <v>12847.901776223776</v>
      </c>
      <c r="J24" s="4" t="s">
        <v>14</v>
      </c>
      <c r="K24" s="4" t="s">
        <v>14</v>
      </c>
      <c r="L24" s="4" t="s">
        <v>14</v>
      </c>
      <c r="M24" s="83" t="s">
        <v>222</v>
      </c>
      <c r="N24" s="4">
        <v>2025</v>
      </c>
    </row>
    <row r="25" spans="1:14">
      <c r="A25" s="4"/>
      <c r="B25" s="50" t="s">
        <v>54</v>
      </c>
      <c r="C25" s="4" t="s">
        <v>55</v>
      </c>
      <c r="D25" s="4" t="s">
        <v>19</v>
      </c>
      <c r="E25" s="4" t="s">
        <v>86</v>
      </c>
      <c r="F25" s="4"/>
      <c r="G25" s="49" t="s">
        <v>87</v>
      </c>
      <c r="H25" s="50" t="s">
        <v>276</v>
      </c>
      <c r="I25" s="7">
        <v>26655.710881118885</v>
      </c>
      <c r="J25" s="4" t="s">
        <v>14</v>
      </c>
      <c r="K25" s="4" t="s">
        <v>14</v>
      </c>
      <c r="L25" s="4" t="s">
        <v>14</v>
      </c>
      <c r="M25" s="83" t="s">
        <v>222</v>
      </c>
      <c r="N25" s="4">
        <v>2025</v>
      </c>
    </row>
    <row r="26" spans="1:14">
      <c r="A26" s="4"/>
      <c r="B26" s="50" t="s">
        <v>42</v>
      </c>
      <c r="C26" s="4" t="s">
        <v>224</v>
      </c>
      <c r="D26" s="4" t="s">
        <v>19</v>
      </c>
      <c r="E26" s="4" t="s">
        <v>86</v>
      </c>
      <c r="F26" s="4"/>
      <c r="G26" s="49" t="s">
        <v>87</v>
      </c>
      <c r="H26" s="50" t="s">
        <v>276</v>
      </c>
      <c r="I26" s="7">
        <v>17872.980825174825</v>
      </c>
      <c r="J26" s="4" t="s">
        <v>14</v>
      </c>
      <c r="K26" s="4" t="s">
        <v>14</v>
      </c>
      <c r="L26" s="4" t="s">
        <v>14</v>
      </c>
      <c r="M26" s="83" t="s">
        <v>222</v>
      </c>
      <c r="N26" s="4">
        <v>2025</v>
      </c>
    </row>
    <row r="27" spans="1:14">
      <c r="A27" s="4"/>
      <c r="B27" s="50" t="s">
        <v>35</v>
      </c>
      <c r="C27" s="4" t="s">
        <v>36</v>
      </c>
      <c r="D27" s="4" t="s">
        <v>19</v>
      </c>
      <c r="E27" s="4" t="s">
        <v>86</v>
      </c>
      <c r="F27" s="4"/>
      <c r="G27" s="49" t="s">
        <v>87</v>
      </c>
      <c r="H27" s="50" t="s">
        <v>276</v>
      </c>
      <c r="I27" s="7">
        <v>3030.3029370629374</v>
      </c>
      <c r="J27" s="4" t="s">
        <v>14</v>
      </c>
      <c r="K27" s="4" t="s">
        <v>14</v>
      </c>
      <c r="L27" s="4" t="s">
        <v>14</v>
      </c>
      <c r="M27" s="83" t="s">
        <v>222</v>
      </c>
      <c r="N27" s="4">
        <v>2025</v>
      </c>
    </row>
    <row r="28" spans="1:14">
      <c r="A28" s="4"/>
      <c r="B28" s="50" t="s">
        <v>35</v>
      </c>
      <c r="C28" s="4" t="s">
        <v>37</v>
      </c>
      <c r="D28" s="4" t="s">
        <v>19</v>
      </c>
      <c r="E28" s="4" t="s">
        <v>86</v>
      </c>
      <c r="F28" s="4"/>
      <c r="G28" s="49" t="s">
        <v>87</v>
      </c>
      <c r="H28" s="50" t="s">
        <v>276</v>
      </c>
      <c r="I28" s="7">
        <v>18671.328258741258</v>
      </c>
      <c r="J28" s="4" t="s">
        <v>14</v>
      </c>
      <c r="K28" s="4" t="s">
        <v>14</v>
      </c>
      <c r="L28" s="4" t="s">
        <v>14</v>
      </c>
      <c r="M28" s="83" t="s">
        <v>222</v>
      </c>
      <c r="N28" s="4">
        <v>2025</v>
      </c>
    </row>
    <row r="29" spans="1:14">
      <c r="A29" s="4"/>
      <c r="B29" s="50" t="s">
        <v>42</v>
      </c>
      <c r="C29" s="4" t="s">
        <v>44</v>
      </c>
      <c r="D29" s="4" t="s">
        <v>19</v>
      </c>
      <c r="E29" s="4" t="s">
        <v>86</v>
      </c>
      <c r="F29" s="4"/>
      <c r="G29" s="49" t="s">
        <v>87</v>
      </c>
      <c r="H29" s="50" t="s">
        <v>276</v>
      </c>
      <c r="I29" s="7">
        <v>11687.936783216783</v>
      </c>
      <c r="J29" s="4" t="s">
        <v>14</v>
      </c>
      <c r="K29" s="4" t="s">
        <v>14</v>
      </c>
      <c r="L29" s="4" t="s">
        <v>14</v>
      </c>
      <c r="M29" s="83" t="s">
        <v>222</v>
      </c>
      <c r="N29" s="4">
        <v>2025</v>
      </c>
    </row>
    <row r="30" spans="1:14">
      <c r="A30" s="4"/>
      <c r="B30" s="50" t="s">
        <v>42</v>
      </c>
      <c r="C30" s="4" t="s">
        <v>45</v>
      </c>
      <c r="D30" s="4" t="s">
        <v>19</v>
      </c>
      <c r="E30" s="4" t="s">
        <v>86</v>
      </c>
      <c r="F30" s="4"/>
      <c r="G30" s="49" t="s">
        <v>87</v>
      </c>
      <c r="H30" s="50" t="s">
        <v>276</v>
      </c>
      <c r="I30" s="7">
        <v>24424.53320979021</v>
      </c>
      <c r="J30" s="4" t="s">
        <v>14</v>
      </c>
      <c r="K30" s="4" t="s">
        <v>14</v>
      </c>
      <c r="L30" s="4" t="s">
        <v>14</v>
      </c>
      <c r="M30" s="83" t="s">
        <v>222</v>
      </c>
      <c r="N30" s="4">
        <v>2025</v>
      </c>
    </row>
    <row r="31" spans="1:14">
      <c r="A31" s="4"/>
      <c r="B31" s="50" t="s">
        <v>33</v>
      </c>
      <c r="C31" s="4" t="s">
        <v>34</v>
      </c>
      <c r="D31" s="4" t="s">
        <v>19</v>
      </c>
      <c r="E31" s="4" t="s">
        <v>86</v>
      </c>
      <c r="F31" s="4"/>
      <c r="G31" s="49" t="s">
        <v>87</v>
      </c>
      <c r="H31" s="50" t="s">
        <v>276</v>
      </c>
      <c r="I31" s="7">
        <v>29513.439657342657</v>
      </c>
      <c r="J31" s="4" t="s">
        <v>14</v>
      </c>
      <c r="K31" s="4" t="s">
        <v>14</v>
      </c>
      <c r="L31" s="4" t="s">
        <v>14</v>
      </c>
      <c r="M31" s="83" t="s">
        <v>222</v>
      </c>
      <c r="N31" s="4">
        <v>2025</v>
      </c>
    </row>
    <row r="32" spans="1:14">
      <c r="A32" s="4"/>
      <c r="B32" s="50" t="s">
        <v>61</v>
      </c>
      <c r="C32" s="4" t="s">
        <v>53</v>
      </c>
      <c r="D32" s="4" t="s">
        <v>19</v>
      </c>
      <c r="E32" s="4" t="s">
        <v>86</v>
      </c>
      <c r="F32" s="4"/>
      <c r="G32" s="49" t="s">
        <v>87</v>
      </c>
      <c r="H32" s="50" t="s">
        <v>276</v>
      </c>
      <c r="I32" s="7">
        <v>91309.475818181818</v>
      </c>
      <c r="J32" s="4" t="s">
        <v>14</v>
      </c>
      <c r="K32" s="4" t="s">
        <v>14</v>
      </c>
      <c r="L32" s="4" t="s">
        <v>14</v>
      </c>
      <c r="M32" s="83" t="s">
        <v>222</v>
      </c>
      <c r="N32" s="4">
        <v>2025</v>
      </c>
    </row>
    <row r="33" spans="1:14">
      <c r="A33" s="4"/>
      <c r="B33" s="50" t="s">
        <v>58</v>
      </c>
      <c r="C33" s="4" t="s">
        <v>59</v>
      </c>
      <c r="D33" s="4" t="s">
        <v>19</v>
      </c>
      <c r="E33" s="4" t="s">
        <v>86</v>
      </c>
      <c r="F33" s="4"/>
      <c r="G33" s="49" t="s">
        <v>87</v>
      </c>
      <c r="H33" s="50" t="s">
        <v>276</v>
      </c>
      <c r="I33" s="7">
        <v>6107.2258951048943</v>
      </c>
      <c r="J33" s="4" t="s">
        <v>14</v>
      </c>
      <c r="K33" s="4" t="s">
        <v>14</v>
      </c>
      <c r="L33" s="4" t="s">
        <v>14</v>
      </c>
      <c r="M33" s="83" t="s">
        <v>222</v>
      </c>
      <c r="N33" s="4">
        <v>2025</v>
      </c>
    </row>
    <row r="34" spans="1:14">
      <c r="A34" s="4"/>
      <c r="B34" s="50" t="s">
        <v>17</v>
      </c>
      <c r="C34" s="4" t="s">
        <v>22</v>
      </c>
      <c r="D34" s="4" t="s">
        <v>19</v>
      </c>
      <c r="E34" s="4" t="s">
        <v>86</v>
      </c>
      <c r="F34" s="4"/>
      <c r="G34" s="49" t="s">
        <v>87</v>
      </c>
      <c r="H34" s="50" t="s">
        <v>276</v>
      </c>
      <c r="I34" s="7">
        <v>4905.0115034965038</v>
      </c>
      <c r="J34" s="4" t="s">
        <v>14</v>
      </c>
      <c r="K34" s="4" t="s">
        <v>14</v>
      </c>
      <c r="L34" s="4" t="s">
        <v>14</v>
      </c>
      <c r="M34" s="83" t="s">
        <v>222</v>
      </c>
      <c r="N34" s="4">
        <v>2025</v>
      </c>
    </row>
    <row r="35" spans="1:14">
      <c r="A35" s="4"/>
      <c r="B35" s="50" t="s">
        <v>42</v>
      </c>
      <c r="C35" s="4" t="s">
        <v>46</v>
      </c>
      <c r="D35" s="4" t="s">
        <v>19</v>
      </c>
      <c r="E35" s="4" t="s">
        <v>86</v>
      </c>
      <c r="F35" s="4"/>
      <c r="G35" s="49" t="s">
        <v>87</v>
      </c>
      <c r="H35" s="50" t="s">
        <v>276</v>
      </c>
      <c r="I35" s="7">
        <v>10792.540447552448</v>
      </c>
      <c r="J35" s="4" t="s">
        <v>14</v>
      </c>
      <c r="K35" s="4" t="s">
        <v>14</v>
      </c>
      <c r="L35" s="4" t="s">
        <v>14</v>
      </c>
      <c r="M35" s="83" t="s">
        <v>222</v>
      </c>
      <c r="N35" s="4">
        <v>2025</v>
      </c>
    </row>
    <row r="36" spans="1:14">
      <c r="A36" s="4"/>
      <c r="B36" s="50" t="s">
        <v>29</v>
      </c>
      <c r="C36" s="4" t="s">
        <v>30</v>
      </c>
      <c r="D36" s="4" t="s">
        <v>19</v>
      </c>
      <c r="E36" s="4" t="s">
        <v>86</v>
      </c>
      <c r="F36" s="4"/>
      <c r="G36" s="49" t="s">
        <v>87</v>
      </c>
      <c r="H36" s="50" t="s">
        <v>276</v>
      </c>
      <c r="I36" s="7">
        <v>5119.477713286713</v>
      </c>
      <c r="J36" s="4" t="s">
        <v>14</v>
      </c>
      <c r="K36" s="4" t="s">
        <v>14</v>
      </c>
      <c r="L36" s="4" t="s">
        <v>14</v>
      </c>
      <c r="M36" s="83" t="s">
        <v>222</v>
      </c>
      <c r="N36" s="4">
        <v>2025</v>
      </c>
    </row>
    <row r="37" spans="1:14">
      <c r="A37" s="4"/>
      <c r="B37" s="50" t="s">
        <v>35</v>
      </c>
      <c r="C37" s="4" t="s">
        <v>39</v>
      </c>
      <c r="D37" s="4" t="s">
        <v>19</v>
      </c>
      <c r="E37" s="4" t="s">
        <v>86</v>
      </c>
      <c r="F37" s="4"/>
      <c r="G37" s="49" t="s">
        <v>87</v>
      </c>
      <c r="H37" s="50" t="s">
        <v>276</v>
      </c>
      <c r="I37" s="7">
        <v>1893.9393356643357</v>
      </c>
      <c r="J37" s="4" t="s">
        <v>14</v>
      </c>
      <c r="K37" s="4" t="s">
        <v>14</v>
      </c>
      <c r="L37" s="4" t="s">
        <v>14</v>
      </c>
      <c r="M37" s="83" t="s">
        <v>222</v>
      </c>
      <c r="N37" s="4">
        <v>2025</v>
      </c>
    </row>
    <row r="38" spans="1:14">
      <c r="A38" s="4"/>
      <c r="B38" s="50" t="s">
        <v>35</v>
      </c>
      <c r="C38" s="4" t="s">
        <v>41</v>
      </c>
      <c r="D38" s="4" t="s">
        <v>19</v>
      </c>
      <c r="E38" s="4" t="s">
        <v>86</v>
      </c>
      <c r="F38" s="4"/>
      <c r="G38" s="49" t="s">
        <v>87</v>
      </c>
      <c r="H38" s="50" t="s">
        <v>276</v>
      </c>
      <c r="I38" s="7">
        <v>3021.5616783216783</v>
      </c>
      <c r="J38" s="4" t="s">
        <v>14</v>
      </c>
      <c r="K38" s="4" t="s">
        <v>14</v>
      </c>
      <c r="L38" s="4" t="s">
        <v>14</v>
      </c>
      <c r="M38" s="83" t="s">
        <v>222</v>
      </c>
      <c r="N38" s="4">
        <v>2025</v>
      </c>
    </row>
    <row r="39" spans="1:14">
      <c r="A39" s="4"/>
      <c r="B39" s="50" t="s">
        <v>42</v>
      </c>
      <c r="C39" s="4" t="s">
        <v>47</v>
      </c>
      <c r="D39" s="4" t="s">
        <v>19</v>
      </c>
      <c r="E39" s="4" t="s">
        <v>86</v>
      </c>
      <c r="F39" s="4"/>
      <c r="G39" s="49" t="s">
        <v>87</v>
      </c>
      <c r="H39" s="50" t="s">
        <v>276</v>
      </c>
      <c r="I39" s="7">
        <v>4708.6245594405591</v>
      </c>
      <c r="J39" s="4" t="s">
        <v>14</v>
      </c>
      <c r="K39" s="4" t="s">
        <v>14</v>
      </c>
      <c r="L39" s="4" t="s">
        <v>14</v>
      </c>
      <c r="M39" s="83" t="s">
        <v>222</v>
      </c>
      <c r="N39" s="4">
        <v>2025</v>
      </c>
    </row>
    <row r="40" spans="1:14">
      <c r="A40" s="4"/>
      <c r="B40" s="50" t="s">
        <v>42</v>
      </c>
      <c r="C40" s="4" t="s">
        <v>48</v>
      </c>
      <c r="D40" s="4" t="s">
        <v>19</v>
      </c>
      <c r="E40" s="4" t="s">
        <v>86</v>
      </c>
      <c r="F40" s="4"/>
      <c r="G40" s="49" t="s">
        <v>87</v>
      </c>
      <c r="H40" s="50" t="s">
        <v>276</v>
      </c>
      <c r="I40" s="7">
        <v>17217.423818181818</v>
      </c>
      <c r="J40" s="4" t="s">
        <v>14</v>
      </c>
      <c r="K40" s="4" t="s">
        <v>14</v>
      </c>
      <c r="L40" s="4" t="s">
        <v>14</v>
      </c>
      <c r="M40" s="83" t="s">
        <v>222</v>
      </c>
      <c r="N40" s="4">
        <v>2025</v>
      </c>
    </row>
    <row r="41" spans="1:14">
      <c r="A41" s="4"/>
      <c r="B41" s="50" t="s">
        <v>42</v>
      </c>
      <c r="C41" s="4" t="s">
        <v>50</v>
      </c>
      <c r="D41" s="4" t="s">
        <v>19</v>
      </c>
      <c r="E41" s="4" t="s">
        <v>86</v>
      </c>
      <c r="F41" s="4"/>
      <c r="G41" s="49" t="s">
        <v>87</v>
      </c>
      <c r="H41" s="50" t="s">
        <v>276</v>
      </c>
      <c r="I41" s="7">
        <v>21474.416664335662</v>
      </c>
      <c r="J41" s="4" t="s">
        <v>14</v>
      </c>
      <c r="K41" s="4" t="s">
        <v>14</v>
      </c>
      <c r="L41" s="4" t="s">
        <v>14</v>
      </c>
      <c r="M41" s="83" t="s">
        <v>222</v>
      </c>
      <c r="N41" s="4">
        <v>2025</v>
      </c>
    </row>
    <row r="42" spans="1:14">
      <c r="A42" s="4"/>
      <c r="B42" s="50" t="s">
        <v>42</v>
      </c>
      <c r="C42" s="4" t="s">
        <v>275</v>
      </c>
      <c r="D42" s="4" t="s">
        <v>19</v>
      </c>
      <c r="E42" s="4" t="s">
        <v>86</v>
      </c>
      <c r="F42" s="4"/>
      <c r="G42" s="49" t="s">
        <v>87</v>
      </c>
      <c r="H42" s="50" t="s">
        <v>276</v>
      </c>
      <c r="I42" s="7">
        <v>3863.6362447552447</v>
      </c>
      <c r="J42" s="4" t="s">
        <v>14</v>
      </c>
      <c r="K42" s="4" t="s">
        <v>14</v>
      </c>
      <c r="L42" s="4" t="s">
        <v>14</v>
      </c>
      <c r="M42" s="83" t="s">
        <v>222</v>
      </c>
      <c r="N42" s="4">
        <v>2025</v>
      </c>
    </row>
    <row r="43" spans="1:14">
      <c r="A43" s="4"/>
      <c r="B43" s="50" t="s">
        <v>42</v>
      </c>
      <c r="C43" s="4" t="s">
        <v>51</v>
      </c>
      <c r="D43" s="4" t="s">
        <v>19</v>
      </c>
      <c r="E43" s="4" t="s">
        <v>86</v>
      </c>
      <c r="F43" s="4"/>
      <c r="G43" s="49" t="s">
        <v>87</v>
      </c>
      <c r="H43" s="50" t="s">
        <v>276</v>
      </c>
      <c r="I43" s="7">
        <v>3712.121097902098</v>
      </c>
      <c r="J43" s="4" t="s">
        <v>14</v>
      </c>
      <c r="K43" s="4" t="s">
        <v>14</v>
      </c>
      <c r="L43" s="4" t="s">
        <v>14</v>
      </c>
      <c r="M43" s="83" t="s">
        <v>222</v>
      </c>
      <c r="N43" s="4">
        <v>2025</v>
      </c>
    </row>
    <row r="44" spans="1:14">
      <c r="A44" s="4"/>
      <c r="B44" s="50" t="s">
        <v>17</v>
      </c>
      <c r="C44" s="4" t="s">
        <v>24</v>
      </c>
      <c r="D44" s="4" t="s">
        <v>19</v>
      </c>
      <c r="E44" s="4" t="s">
        <v>86</v>
      </c>
      <c r="F44" s="4"/>
      <c r="G44" s="49" t="s">
        <v>87</v>
      </c>
      <c r="H44" s="50" t="s">
        <v>276</v>
      </c>
      <c r="I44" s="7">
        <v>11360.722258741258</v>
      </c>
      <c r="J44" s="4" t="s">
        <v>14</v>
      </c>
      <c r="K44" s="4" t="s">
        <v>14</v>
      </c>
      <c r="L44" s="4" t="s">
        <v>14</v>
      </c>
      <c r="M44" s="83" t="s">
        <v>222</v>
      </c>
      <c r="N44" s="4">
        <v>2025</v>
      </c>
    </row>
    <row r="45" spans="1:14">
      <c r="A45" s="4"/>
      <c r="B45" s="50" t="s">
        <v>17</v>
      </c>
      <c r="C45" s="4" t="s">
        <v>25</v>
      </c>
      <c r="D45" s="4" t="s">
        <v>19</v>
      </c>
      <c r="E45" s="4" t="s">
        <v>86</v>
      </c>
      <c r="F45" s="4"/>
      <c r="G45" s="49" t="s">
        <v>87</v>
      </c>
      <c r="H45" s="50" t="s">
        <v>276</v>
      </c>
      <c r="I45" s="7">
        <v>12101.454797202798</v>
      </c>
      <c r="J45" s="4" t="s">
        <v>14</v>
      </c>
      <c r="K45" s="4" t="s">
        <v>14</v>
      </c>
      <c r="L45" s="4" t="s">
        <v>14</v>
      </c>
      <c r="M45" s="83" t="s">
        <v>222</v>
      </c>
      <c r="N45" s="4">
        <v>2025</v>
      </c>
    </row>
    <row r="46" spans="1:14">
      <c r="A46" s="4"/>
      <c r="B46" s="50" t="s">
        <v>17</v>
      </c>
      <c r="C46" s="4" t="s">
        <v>26</v>
      </c>
      <c r="D46" s="4" t="s">
        <v>19</v>
      </c>
      <c r="E46" s="4" t="s">
        <v>86</v>
      </c>
      <c r="F46" s="4"/>
      <c r="G46" s="49" t="s">
        <v>87</v>
      </c>
      <c r="H46" s="50" t="s">
        <v>276</v>
      </c>
      <c r="I46" s="7">
        <v>2121.2120559440559</v>
      </c>
      <c r="J46" s="4" t="s">
        <v>14</v>
      </c>
      <c r="K46" s="4" t="s">
        <v>14</v>
      </c>
      <c r="L46" s="4" t="s">
        <v>14</v>
      </c>
      <c r="M46" s="83" t="s">
        <v>222</v>
      </c>
      <c r="N46" s="4">
        <v>2025</v>
      </c>
    </row>
    <row r="47" spans="1:14">
      <c r="A47" s="4"/>
      <c r="B47" s="4" t="s">
        <v>17</v>
      </c>
      <c r="C47" s="4" t="s">
        <v>88</v>
      </c>
      <c r="D47" s="4" t="s">
        <v>19</v>
      </c>
      <c r="E47" s="4" t="s">
        <v>86</v>
      </c>
      <c r="F47" s="4"/>
      <c r="G47" s="84" t="s">
        <v>89</v>
      </c>
      <c r="H47" s="50" t="s">
        <v>276</v>
      </c>
      <c r="I47" s="7">
        <v>20313.33455172414</v>
      </c>
      <c r="J47" s="4" t="s">
        <v>14</v>
      </c>
      <c r="K47" s="4" t="s">
        <v>14</v>
      </c>
      <c r="L47" s="4" t="s">
        <v>14</v>
      </c>
      <c r="M47" s="83" t="s">
        <v>222</v>
      </c>
      <c r="N47" s="4">
        <v>2025</v>
      </c>
    </row>
    <row r="48" spans="1:14">
      <c r="A48" s="4"/>
      <c r="B48" s="4" t="s">
        <v>54</v>
      </c>
      <c r="C48" s="4" t="s">
        <v>55</v>
      </c>
      <c r="D48" s="4" t="s">
        <v>19</v>
      </c>
      <c r="E48" s="4" t="s">
        <v>86</v>
      </c>
      <c r="F48" s="4"/>
      <c r="G48" s="84" t="s">
        <v>89</v>
      </c>
      <c r="H48" s="50" t="s">
        <v>276</v>
      </c>
      <c r="I48" s="7">
        <v>7448.2758620689656</v>
      </c>
      <c r="J48" s="4" t="s">
        <v>14</v>
      </c>
      <c r="K48" s="4" t="s">
        <v>14</v>
      </c>
      <c r="L48" s="4" t="s">
        <v>14</v>
      </c>
      <c r="M48" s="83" t="s">
        <v>222</v>
      </c>
      <c r="N48" s="4">
        <v>2025</v>
      </c>
    </row>
    <row r="49" spans="1:14">
      <c r="A49" s="4"/>
      <c r="B49" s="4" t="s">
        <v>42</v>
      </c>
      <c r="C49" s="4" t="s">
        <v>43</v>
      </c>
      <c r="D49" s="4" t="s">
        <v>19</v>
      </c>
      <c r="E49" s="4" t="s">
        <v>86</v>
      </c>
      <c r="F49" s="4"/>
      <c r="G49" s="84" t="s">
        <v>89</v>
      </c>
      <c r="H49" s="50" t="s">
        <v>276</v>
      </c>
      <c r="I49" s="7">
        <v>3448.2758620689656</v>
      </c>
      <c r="J49" s="4" t="s">
        <v>14</v>
      </c>
      <c r="K49" s="4" t="s">
        <v>14</v>
      </c>
      <c r="L49" s="4" t="s">
        <v>14</v>
      </c>
      <c r="M49" s="83" t="s">
        <v>222</v>
      </c>
      <c r="N49" s="4">
        <v>2025</v>
      </c>
    </row>
    <row r="50" spans="1:14">
      <c r="A50" s="4"/>
      <c r="B50" s="4" t="s">
        <v>35</v>
      </c>
      <c r="C50" s="4" t="s">
        <v>36</v>
      </c>
      <c r="D50" s="4" t="s">
        <v>19</v>
      </c>
      <c r="E50" s="4" t="s">
        <v>86</v>
      </c>
      <c r="F50" s="4"/>
      <c r="G50" s="84" t="s">
        <v>89</v>
      </c>
      <c r="H50" s="50" t="s">
        <v>276</v>
      </c>
      <c r="I50" s="7">
        <v>5310.3448275862065</v>
      </c>
      <c r="J50" s="4" t="s">
        <v>14</v>
      </c>
      <c r="K50" s="4" t="s">
        <v>14</v>
      </c>
      <c r="L50" s="4" t="s">
        <v>14</v>
      </c>
      <c r="M50" s="83" t="s">
        <v>222</v>
      </c>
      <c r="N50" s="4">
        <v>2025</v>
      </c>
    </row>
    <row r="51" spans="1:14">
      <c r="A51" s="4"/>
      <c r="B51" s="4" t="s">
        <v>35</v>
      </c>
      <c r="C51" s="4" t="s">
        <v>37</v>
      </c>
      <c r="D51" s="4" t="s">
        <v>19</v>
      </c>
      <c r="E51" s="4" t="s">
        <v>86</v>
      </c>
      <c r="F51" s="4"/>
      <c r="G51" s="84" t="s">
        <v>89</v>
      </c>
      <c r="H51" s="50" t="s">
        <v>276</v>
      </c>
      <c r="I51" s="7">
        <v>7034.4827586206893</v>
      </c>
      <c r="J51" s="4" t="s">
        <v>14</v>
      </c>
      <c r="K51" s="4" t="s">
        <v>14</v>
      </c>
      <c r="L51" s="4" t="s">
        <v>14</v>
      </c>
      <c r="M51" s="83" t="s">
        <v>222</v>
      </c>
      <c r="N51" s="4">
        <v>2025</v>
      </c>
    </row>
    <row r="52" spans="1:14">
      <c r="A52" s="4"/>
      <c r="B52" s="4" t="s">
        <v>42</v>
      </c>
      <c r="C52" s="4" t="s">
        <v>45</v>
      </c>
      <c r="D52" s="4" t="s">
        <v>19</v>
      </c>
      <c r="E52" s="4" t="s">
        <v>86</v>
      </c>
      <c r="F52" s="4"/>
      <c r="G52" s="84" t="s">
        <v>89</v>
      </c>
      <c r="H52" s="50" t="s">
        <v>276</v>
      </c>
      <c r="I52" s="7">
        <v>5576.1273862068965</v>
      </c>
      <c r="J52" s="4" t="s">
        <v>14</v>
      </c>
      <c r="K52" s="4" t="s">
        <v>14</v>
      </c>
      <c r="L52" s="4" t="s">
        <v>14</v>
      </c>
      <c r="M52" s="83" t="s">
        <v>222</v>
      </c>
      <c r="N52" s="4">
        <v>2025</v>
      </c>
    </row>
    <row r="53" spans="1:14">
      <c r="A53" s="4"/>
      <c r="B53" s="4" t="s">
        <v>33</v>
      </c>
      <c r="C53" s="4" t="s">
        <v>34</v>
      </c>
      <c r="D53" s="4" t="s">
        <v>19</v>
      </c>
      <c r="E53" s="4" t="s">
        <v>86</v>
      </c>
      <c r="F53" s="4"/>
      <c r="G53" s="84" t="s">
        <v>89</v>
      </c>
      <c r="H53" s="50" t="s">
        <v>276</v>
      </c>
      <c r="I53" s="7">
        <v>9763.9258068965519</v>
      </c>
      <c r="J53" s="4" t="s">
        <v>14</v>
      </c>
      <c r="K53" s="4" t="s">
        <v>14</v>
      </c>
      <c r="L53" s="4" t="s">
        <v>14</v>
      </c>
      <c r="M53" s="83" t="s">
        <v>222</v>
      </c>
      <c r="N53" s="4">
        <v>2025</v>
      </c>
    </row>
    <row r="54" spans="1:14">
      <c r="A54" s="4"/>
      <c r="B54" s="4" t="s">
        <v>52</v>
      </c>
      <c r="C54" s="4" t="s">
        <v>62</v>
      </c>
      <c r="D54" s="4" t="s">
        <v>19</v>
      </c>
      <c r="E54" s="4" t="s">
        <v>86</v>
      </c>
      <c r="F54" s="4"/>
      <c r="G54" s="84" t="s">
        <v>89</v>
      </c>
      <c r="H54" s="50" t="s">
        <v>276</v>
      </c>
      <c r="I54" s="7">
        <v>35385.614965517241</v>
      </c>
      <c r="J54" s="4" t="s">
        <v>14</v>
      </c>
      <c r="K54" s="4" t="s">
        <v>14</v>
      </c>
      <c r="L54" s="4" t="s">
        <v>14</v>
      </c>
      <c r="M54" s="83" t="s">
        <v>222</v>
      </c>
      <c r="N54" s="4">
        <v>2025</v>
      </c>
    </row>
    <row r="55" spans="1:14">
      <c r="A55" s="4"/>
      <c r="B55" s="4" t="s">
        <v>58</v>
      </c>
      <c r="C55" s="4" t="s">
        <v>59</v>
      </c>
      <c r="D55" s="4" t="s">
        <v>19</v>
      </c>
      <c r="E55" s="4" t="s">
        <v>86</v>
      </c>
      <c r="F55" s="4"/>
      <c r="G55" s="84" t="s">
        <v>89</v>
      </c>
      <c r="H55" s="50" t="s">
        <v>276</v>
      </c>
      <c r="I55" s="7">
        <v>1098.1432551724138</v>
      </c>
      <c r="J55" s="4" t="s">
        <v>14</v>
      </c>
      <c r="K55" s="4" t="s">
        <v>14</v>
      </c>
      <c r="L55" s="4" t="s">
        <v>14</v>
      </c>
      <c r="M55" s="83" t="s">
        <v>222</v>
      </c>
      <c r="N55" s="4">
        <v>2025</v>
      </c>
    </row>
    <row r="56" spans="1:14">
      <c r="A56" s="4"/>
      <c r="B56" s="4" t="s">
        <v>17</v>
      </c>
      <c r="C56" s="4" t="s">
        <v>22</v>
      </c>
      <c r="D56" s="4" t="s">
        <v>19</v>
      </c>
      <c r="E56" s="4" t="s">
        <v>86</v>
      </c>
      <c r="F56" s="4"/>
      <c r="G56" s="84" t="s">
        <v>89</v>
      </c>
      <c r="H56" s="50" t="s">
        <v>276</v>
      </c>
      <c r="I56" s="7">
        <v>11970.875344827586</v>
      </c>
      <c r="J56" s="4" t="s">
        <v>14</v>
      </c>
      <c r="K56" s="4" t="s">
        <v>14</v>
      </c>
      <c r="L56" s="4" t="s">
        <v>14</v>
      </c>
      <c r="M56" s="83" t="s">
        <v>222</v>
      </c>
      <c r="N56" s="4">
        <v>2025</v>
      </c>
    </row>
    <row r="57" spans="1:14">
      <c r="A57" s="4"/>
      <c r="B57" s="4" t="s">
        <v>17</v>
      </c>
      <c r="C57" s="4" t="s">
        <v>92</v>
      </c>
      <c r="D57" s="4" t="s">
        <v>19</v>
      </c>
      <c r="E57" s="4" t="s">
        <v>86</v>
      </c>
      <c r="F57" s="4"/>
      <c r="G57" s="84" t="s">
        <v>89</v>
      </c>
      <c r="H57" s="50" t="s">
        <v>276</v>
      </c>
      <c r="I57" s="7">
        <v>9586.2068965517246</v>
      </c>
      <c r="J57" s="4" t="s">
        <v>14</v>
      </c>
      <c r="K57" s="4" t="s">
        <v>14</v>
      </c>
      <c r="L57" s="4" t="s">
        <v>14</v>
      </c>
      <c r="M57" s="83" t="s">
        <v>222</v>
      </c>
      <c r="N57" s="4">
        <v>2025</v>
      </c>
    </row>
    <row r="58" spans="1:14">
      <c r="A58" s="4"/>
      <c r="B58" s="4" t="s">
        <v>42</v>
      </c>
      <c r="C58" s="4" t="s">
        <v>47</v>
      </c>
      <c r="D58" s="4" t="s">
        <v>19</v>
      </c>
      <c r="E58" s="4" t="s">
        <v>86</v>
      </c>
      <c r="F58" s="4"/>
      <c r="G58" s="84" t="s">
        <v>89</v>
      </c>
      <c r="H58" s="50" t="s">
        <v>276</v>
      </c>
      <c r="I58" s="7">
        <v>4275.8620689655172</v>
      </c>
      <c r="J58" s="4" t="s">
        <v>14</v>
      </c>
      <c r="K58" s="4" t="s">
        <v>14</v>
      </c>
      <c r="L58" s="4" t="s">
        <v>14</v>
      </c>
      <c r="M58" s="83" t="s">
        <v>222</v>
      </c>
      <c r="N58" s="4">
        <v>2025</v>
      </c>
    </row>
    <row r="59" spans="1:14">
      <c r="A59" s="4"/>
      <c r="B59" s="4" t="s">
        <v>42</v>
      </c>
      <c r="C59" s="4" t="s">
        <v>24</v>
      </c>
      <c r="D59" s="4" t="s">
        <v>19</v>
      </c>
      <c r="E59" s="4" t="s">
        <v>86</v>
      </c>
      <c r="F59" s="4"/>
      <c r="G59" s="84" t="s">
        <v>89</v>
      </c>
      <c r="H59" s="50" t="s">
        <v>276</v>
      </c>
      <c r="I59" s="7">
        <v>6136.3565241379301</v>
      </c>
      <c r="J59" s="4" t="s">
        <v>14</v>
      </c>
      <c r="K59" s="4" t="s">
        <v>14</v>
      </c>
      <c r="L59" s="4" t="s">
        <v>14</v>
      </c>
      <c r="M59" s="83" t="s">
        <v>222</v>
      </c>
      <c r="N59" s="4">
        <v>2025</v>
      </c>
    </row>
    <row r="60" spans="1:14">
      <c r="A60" s="4"/>
      <c r="B60" s="4" t="s">
        <v>42</v>
      </c>
      <c r="C60" s="4" t="s">
        <v>48</v>
      </c>
      <c r="D60" s="4" t="s">
        <v>19</v>
      </c>
      <c r="E60" s="4" t="s">
        <v>86</v>
      </c>
      <c r="F60" s="4"/>
      <c r="G60" s="84" t="s">
        <v>89</v>
      </c>
      <c r="H60" s="50" t="s">
        <v>276</v>
      </c>
      <c r="I60" s="7">
        <v>7248.2758620689656</v>
      </c>
      <c r="J60" s="4" t="s">
        <v>14</v>
      </c>
      <c r="K60" s="4" t="s">
        <v>14</v>
      </c>
      <c r="L60" s="4" t="s">
        <v>14</v>
      </c>
      <c r="M60" s="83" t="s">
        <v>222</v>
      </c>
      <c r="N60" s="4">
        <v>2025</v>
      </c>
    </row>
    <row r="61" spans="1:14">
      <c r="A61" s="4"/>
      <c r="B61" s="4" t="s">
        <v>42</v>
      </c>
      <c r="C61" s="4" t="s">
        <v>50</v>
      </c>
      <c r="D61" s="4" t="s">
        <v>19</v>
      </c>
      <c r="E61" s="4" t="s">
        <v>86</v>
      </c>
      <c r="F61" s="4"/>
      <c r="G61" s="84" t="s">
        <v>89</v>
      </c>
      <c r="H61" s="50" t="s">
        <v>276</v>
      </c>
      <c r="I61" s="7">
        <v>27856.916799999999</v>
      </c>
      <c r="J61" s="4" t="s">
        <v>14</v>
      </c>
      <c r="K61" s="4" t="s">
        <v>14</v>
      </c>
      <c r="L61" s="4" t="s">
        <v>14</v>
      </c>
      <c r="M61" s="83" t="s">
        <v>222</v>
      </c>
      <c r="N61" s="4">
        <v>2025</v>
      </c>
    </row>
    <row r="62" spans="1:14">
      <c r="A62" s="4"/>
      <c r="B62" s="4" t="s">
        <v>42</v>
      </c>
      <c r="C62" s="4" t="s">
        <v>49</v>
      </c>
      <c r="D62" s="4" t="s">
        <v>19</v>
      </c>
      <c r="E62" s="4" t="s">
        <v>86</v>
      </c>
      <c r="F62" s="4"/>
      <c r="G62" s="84" t="s">
        <v>89</v>
      </c>
      <c r="H62" s="50" t="s">
        <v>276</v>
      </c>
      <c r="I62" s="7">
        <v>3586.2068965517242</v>
      </c>
      <c r="J62" s="4" t="s">
        <v>14</v>
      </c>
      <c r="K62" s="4" t="s">
        <v>14</v>
      </c>
      <c r="L62" s="4" t="s">
        <v>14</v>
      </c>
      <c r="M62" s="83" t="s">
        <v>222</v>
      </c>
      <c r="N62" s="4">
        <v>2025</v>
      </c>
    </row>
    <row r="63" spans="1:14">
      <c r="A63" s="4"/>
      <c r="B63" s="4" t="s">
        <v>17</v>
      </c>
      <c r="C63" s="4" t="s">
        <v>25</v>
      </c>
      <c r="D63" s="4" t="s">
        <v>19</v>
      </c>
      <c r="E63" s="4" t="s">
        <v>86</v>
      </c>
      <c r="F63" s="4"/>
      <c r="G63" s="84" t="s">
        <v>89</v>
      </c>
      <c r="H63" s="50" t="s">
        <v>276</v>
      </c>
      <c r="I63" s="7">
        <v>19060.530517241379</v>
      </c>
      <c r="J63" s="4" t="s">
        <v>14</v>
      </c>
      <c r="K63" s="4" t="s">
        <v>14</v>
      </c>
      <c r="L63" s="4" t="s">
        <v>14</v>
      </c>
      <c r="M63" s="83" t="s">
        <v>222</v>
      </c>
      <c r="N63" s="4">
        <v>2025</v>
      </c>
    </row>
    <row r="64" spans="1:14">
      <c r="A64" s="4"/>
      <c r="B64" s="83" t="s">
        <v>17</v>
      </c>
      <c r="C64" s="4" t="s">
        <v>88</v>
      </c>
      <c r="D64" s="4" t="s">
        <v>19</v>
      </c>
      <c r="E64" s="4" t="s">
        <v>86</v>
      </c>
      <c r="F64" s="4"/>
      <c r="G64" s="84" t="s">
        <v>89</v>
      </c>
      <c r="H64" s="83" t="s">
        <v>273</v>
      </c>
      <c r="I64" s="7">
        <v>17947.427020689654</v>
      </c>
      <c r="J64" s="4" t="s">
        <v>14</v>
      </c>
      <c r="K64" s="4" t="s">
        <v>14</v>
      </c>
      <c r="L64" s="4" t="s">
        <v>14</v>
      </c>
      <c r="M64" s="83" t="s">
        <v>222</v>
      </c>
      <c r="N64" s="4">
        <v>2025</v>
      </c>
    </row>
    <row r="65" spans="1:14">
      <c r="A65" s="4"/>
      <c r="B65" s="83" t="s">
        <v>35</v>
      </c>
      <c r="C65" s="4" t="s">
        <v>36</v>
      </c>
      <c r="D65" s="4" t="s">
        <v>19</v>
      </c>
      <c r="E65" s="4" t="s">
        <v>86</v>
      </c>
      <c r="F65" s="4"/>
      <c r="G65" s="84" t="s">
        <v>89</v>
      </c>
      <c r="H65" s="83" t="s">
        <v>273</v>
      </c>
      <c r="I65" s="7">
        <v>491.37931034482756</v>
      </c>
      <c r="J65" s="4" t="s">
        <v>14</v>
      </c>
      <c r="K65" s="4" t="s">
        <v>14</v>
      </c>
      <c r="L65" s="4" t="s">
        <v>14</v>
      </c>
      <c r="M65" s="83" t="s">
        <v>222</v>
      </c>
      <c r="N65" s="4">
        <v>2025</v>
      </c>
    </row>
    <row r="66" spans="1:14">
      <c r="A66" s="4"/>
      <c r="B66" s="83" t="s">
        <v>35</v>
      </c>
      <c r="C66" s="4" t="s">
        <v>37</v>
      </c>
      <c r="D66" s="4" t="s">
        <v>19</v>
      </c>
      <c r="E66" s="4" t="s">
        <v>86</v>
      </c>
      <c r="F66" s="4"/>
      <c r="G66" s="84" t="s">
        <v>89</v>
      </c>
      <c r="H66" s="83" t="s">
        <v>273</v>
      </c>
      <c r="I66" s="7">
        <v>1693.6339310344829</v>
      </c>
      <c r="J66" s="4" t="s">
        <v>14</v>
      </c>
      <c r="K66" s="4" t="s">
        <v>14</v>
      </c>
      <c r="L66" s="4" t="s">
        <v>14</v>
      </c>
      <c r="M66" s="83" t="s">
        <v>222</v>
      </c>
      <c r="N66" s="4">
        <v>2025</v>
      </c>
    </row>
    <row r="67" spans="1:14">
      <c r="A67" s="4"/>
      <c r="B67" s="83" t="s">
        <v>42</v>
      </c>
      <c r="C67" s="4" t="s">
        <v>45</v>
      </c>
      <c r="D67" s="4" t="s">
        <v>19</v>
      </c>
      <c r="E67" s="4" t="s">
        <v>86</v>
      </c>
      <c r="F67" s="4"/>
      <c r="G67" s="84" t="s">
        <v>89</v>
      </c>
      <c r="H67" s="83" t="s">
        <v>273</v>
      </c>
      <c r="I67" s="7">
        <v>12935.119289655171</v>
      </c>
      <c r="J67" s="4" t="s">
        <v>14</v>
      </c>
      <c r="K67" s="4" t="s">
        <v>14</v>
      </c>
      <c r="L67" s="4" t="s">
        <v>14</v>
      </c>
      <c r="M67" s="83" t="s">
        <v>222</v>
      </c>
      <c r="N67" s="4">
        <v>2025</v>
      </c>
    </row>
    <row r="68" spans="1:14">
      <c r="A68" s="4"/>
      <c r="B68" s="83" t="s">
        <v>33</v>
      </c>
      <c r="C68" s="4" t="s">
        <v>34</v>
      </c>
      <c r="D68" s="4" t="s">
        <v>19</v>
      </c>
      <c r="E68" s="4" t="s">
        <v>86</v>
      </c>
      <c r="F68" s="4"/>
      <c r="G68" s="84" t="s">
        <v>89</v>
      </c>
      <c r="H68" s="83" t="s">
        <v>273</v>
      </c>
      <c r="I68" s="7">
        <v>463.1299724137931</v>
      </c>
      <c r="J68" s="4" t="s">
        <v>14</v>
      </c>
      <c r="K68" s="4" t="s">
        <v>14</v>
      </c>
      <c r="L68" s="4" t="s">
        <v>14</v>
      </c>
      <c r="M68" s="83" t="s">
        <v>222</v>
      </c>
      <c r="N68" s="4">
        <v>2025</v>
      </c>
    </row>
    <row r="69" spans="1:14">
      <c r="A69" s="4"/>
      <c r="B69" s="83" t="s">
        <v>52</v>
      </c>
      <c r="C69" s="83" t="s">
        <v>62</v>
      </c>
      <c r="D69" s="4" t="s">
        <v>19</v>
      </c>
      <c r="E69" s="4" t="s">
        <v>86</v>
      </c>
      <c r="F69" s="4"/>
      <c r="G69" s="84" t="s">
        <v>89</v>
      </c>
      <c r="H69" s="83" t="s">
        <v>273</v>
      </c>
      <c r="I69" s="7">
        <v>97870.454503448273</v>
      </c>
      <c r="J69" s="4" t="s">
        <v>14</v>
      </c>
      <c r="K69" s="4" t="s">
        <v>14</v>
      </c>
      <c r="L69" s="4" t="s">
        <v>14</v>
      </c>
      <c r="M69" s="83" t="s">
        <v>222</v>
      </c>
      <c r="N69" s="4">
        <v>2025</v>
      </c>
    </row>
    <row r="70" spans="1:14">
      <c r="A70" s="4"/>
      <c r="B70" s="83" t="s">
        <v>17</v>
      </c>
      <c r="C70" s="4" t="s">
        <v>22</v>
      </c>
      <c r="D70" s="4" t="s">
        <v>19</v>
      </c>
      <c r="E70" s="4" t="s">
        <v>86</v>
      </c>
      <c r="F70" s="4"/>
      <c r="G70" s="84" t="s">
        <v>89</v>
      </c>
      <c r="H70" s="83" t="s">
        <v>273</v>
      </c>
      <c r="I70" s="7">
        <v>18048.132606896554</v>
      </c>
      <c r="J70" s="4" t="s">
        <v>14</v>
      </c>
      <c r="K70" s="4" t="s">
        <v>14</v>
      </c>
      <c r="L70" s="4" t="s">
        <v>14</v>
      </c>
      <c r="M70" s="83" t="s">
        <v>222</v>
      </c>
      <c r="N70" s="4">
        <v>2025</v>
      </c>
    </row>
    <row r="71" spans="1:14">
      <c r="A71" s="4"/>
      <c r="B71" s="83" t="s">
        <v>42</v>
      </c>
      <c r="C71" s="4" t="s">
        <v>47</v>
      </c>
      <c r="D71" s="4" t="s">
        <v>19</v>
      </c>
      <c r="E71" s="4" t="s">
        <v>86</v>
      </c>
      <c r="F71" s="4"/>
      <c r="G71" s="84" t="s">
        <v>89</v>
      </c>
      <c r="H71" s="83" t="s">
        <v>273</v>
      </c>
      <c r="I71" s="7">
        <v>7634.7479862068967</v>
      </c>
      <c r="J71" s="4" t="s">
        <v>14</v>
      </c>
      <c r="K71" s="4" t="s">
        <v>14</v>
      </c>
      <c r="L71" s="4" t="s">
        <v>14</v>
      </c>
      <c r="M71" s="83" t="s">
        <v>222</v>
      </c>
      <c r="N71" s="4">
        <v>2025</v>
      </c>
    </row>
    <row r="72" spans="1:14">
      <c r="A72" s="4"/>
      <c r="B72" s="83" t="s">
        <v>17</v>
      </c>
      <c r="C72" s="83" t="s">
        <v>24</v>
      </c>
      <c r="D72" s="4" t="s">
        <v>19</v>
      </c>
      <c r="E72" s="4" t="s">
        <v>86</v>
      </c>
      <c r="F72" s="4"/>
      <c r="G72" s="84" t="s">
        <v>89</v>
      </c>
      <c r="H72" s="83" t="s">
        <v>273</v>
      </c>
      <c r="I72" s="7">
        <v>14487.533131034483</v>
      </c>
      <c r="J72" s="4" t="s">
        <v>14</v>
      </c>
      <c r="K72" s="4" t="s">
        <v>14</v>
      </c>
      <c r="L72" s="4" t="s">
        <v>14</v>
      </c>
      <c r="M72" s="83" t="s">
        <v>222</v>
      </c>
      <c r="N72" s="4">
        <v>2025</v>
      </c>
    </row>
    <row r="73" spans="1:14">
      <c r="A73" s="4"/>
      <c r="B73" s="83" t="s">
        <v>42</v>
      </c>
      <c r="C73" s="4" t="s">
        <v>48</v>
      </c>
      <c r="D73" s="4" t="s">
        <v>19</v>
      </c>
      <c r="E73" s="4" t="s">
        <v>86</v>
      </c>
      <c r="F73" s="4"/>
      <c r="G73" s="84" t="s">
        <v>89</v>
      </c>
      <c r="H73" s="83" t="s">
        <v>273</v>
      </c>
      <c r="I73" s="7">
        <v>2426.6578137931033</v>
      </c>
      <c r="J73" s="4" t="s">
        <v>14</v>
      </c>
      <c r="K73" s="4" t="s">
        <v>14</v>
      </c>
      <c r="L73" s="4" t="s">
        <v>14</v>
      </c>
      <c r="M73" s="83" t="s">
        <v>222</v>
      </c>
      <c r="N73" s="4">
        <v>2025</v>
      </c>
    </row>
    <row r="74" spans="1:14">
      <c r="A74" s="4"/>
      <c r="B74" s="83" t="s">
        <v>42</v>
      </c>
      <c r="C74" s="4" t="s">
        <v>50</v>
      </c>
      <c r="D74" s="4" t="s">
        <v>19</v>
      </c>
      <c r="E74" s="4" t="s">
        <v>86</v>
      </c>
      <c r="F74" s="4"/>
      <c r="G74" s="84" t="s">
        <v>89</v>
      </c>
      <c r="H74" s="83" t="s">
        <v>273</v>
      </c>
      <c r="I74" s="7">
        <v>82017.670986206896</v>
      </c>
      <c r="J74" s="4" t="s">
        <v>14</v>
      </c>
      <c r="K74" s="4" t="s">
        <v>14</v>
      </c>
      <c r="L74" s="4" t="s">
        <v>14</v>
      </c>
      <c r="M74" s="83" t="s">
        <v>222</v>
      </c>
      <c r="N74" s="4">
        <v>2025</v>
      </c>
    </row>
    <row r="75" spans="1:14">
      <c r="A75" s="4"/>
      <c r="B75" s="83" t="s">
        <v>42</v>
      </c>
      <c r="C75" s="4" t="s">
        <v>275</v>
      </c>
      <c r="D75" s="4" t="s">
        <v>19</v>
      </c>
      <c r="E75" s="4" t="s">
        <v>86</v>
      </c>
      <c r="F75" s="4"/>
      <c r="G75" s="84" t="s">
        <v>89</v>
      </c>
      <c r="H75" s="83" t="s">
        <v>273</v>
      </c>
      <c r="I75" s="7">
        <v>1159.1511931034483</v>
      </c>
      <c r="J75" s="4" t="s">
        <v>14</v>
      </c>
      <c r="K75" s="4" t="s">
        <v>14</v>
      </c>
      <c r="L75" s="4" t="s">
        <v>14</v>
      </c>
      <c r="M75" s="83" t="s">
        <v>222</v>
      </c>
      <c r="N75" s="4">
        <v>2025</v>
      </c>
    </row>
    <row r="76" spans="1:14">
      <c r="A76" s="4"/>
      <c r="B76" s="83" t="s">
        <v>17</v>
      </c>
      <c r="C76" s="4" t="s">
        <v>25</v>
      </c>
      <c r="D76" s="4" t="s">
        <v>19</v>
      </c>
      <c r="E76" s="4" t="s">
        <v>86</v>
      </c>
      <c r="F76" s="4"/>
      <c r="G76" s="84" t="s">
        <v>89</v>
      </c>
      <c r="H76" s="83" t="s">
        <v>273</v>
      </c>
      <c r="I76" s="7">
        <v>123845.51149655171</v>
      </c>
      <c r="J76" s="4" t="s">
        <v>14</v>
      </c>
      <c r="K76" s="4" t="s">
        <v>14</v>
      </c>
      <c r="L76" s="4" t="s">
        <v>14</v>
      </c>
      <c r="M76" s="83" t="s">
        <v>222</v>
      </c>
      <c r="N76" s="4">
        <v>2025</v>
      </c>
    </row>
    <row r="77" spans="1:14">
      <c r="A77" s="4"/>
      <c r="B77" s="83" t="s">
        <v>17</v>
      </c>
      <c r="C77" s="4" t="s">
        <v>26</v>
      </c>
      <c r="D77" s="4" t="s">
        <v>19</v>
      </c>
      <c r="E77" s="4" t="s">
        <v>86</v>
      </c>
      <c r="F77" s="4"/>
      <c r="G77" s="84" t="s">
        <v>89</v>
      </c>
      <c r="H77" s="83" t="s">
        <v>273</v>
      </c>
      <c r="I77" s="7">
        <v>478.24933103448279</v>
      </c>
      <c r="J77" s="4" t="s">
        <v>14</v>
      </c>
      <c r="K77" s="4" t="s">
        <v>14</v>
      </c>
      <c r="L77" s="4" t="s">
        <v>14</v>
      </c>
      <c r="M77" s="83" t="s">
        <v>222</v>
      </c>
      <c r="N77" s="4">
        <v>2025</v>
      </c>
    </row>
    <row r="78" spans="1:14">
      <c r="A78" s="4"/>
      <c r="B78" s="83" t="s">
        <v>17</v>
      </c>
      <c r="C78" s="4" t="s">
        <v>88</v>
      </c>
      <c r="D78" s="4" t="s">
        <v>19</v>
      </c>
      <c r="E78" s="4" t="s">
        <v>86</v>
      </c>
      <c r="F78" s="4"/>
      <c r="G78" s="84" t="s">
        <v>87</v>
      </c>
      <c r="H78" s="83" t="s">
        <v>273</v>
      </c>
      <c r="I78" s="7">
        <v>13410.015779310344</v>
      </c>
      <c r="J78" s="4" t="s">
        <v>14</v>
      </c>
      <c r="K78" s="4" t="s">
        <v>14</v>
      </c>
      <c r="L78" s="4" t="s">
        <v>14</v>
      </c>
      <c r="M78" s="83" t="s">
        <v>222</v>
      </c>
      <c r="N78" s="4">
        <v>2025</v>
      </c>
    </row>
    <row r="79" spans="1:14">
      <c r="A79" s="4"/>
      <c r="B79" s="83" t="s">
        <v>54</v>
      </c>
      <c r="C79" s="4" t="s">
        <v>55</v>
      </c>
      <c r="D79" s="4" t="s">
        <v>19</v>
      </c>
      <c r="E79" s="4" t="s">
        <v>86</v>
      </c>
      <c r="F79" s="4"/>
      <c r="G79" s="84" t="s">
        <v>87</v>
      </c>
      <c r="H79" s="83" t="s">
        <v>273</v>
      </c>
      <c r="I79" s="7">
        <v>13125.294344827587</v>
      </c>
      <c r="J79" s="4" t="s">
        <v>14</v>
      </c>
      <c r="K79" s="4" t="s">
        <v>14</v>
      </c>
      <c r="L79" s="4" t="s">
        <v>14</v>
      </c>
      <c r="M79" s="83" t="s">
        <v>222</v>
      </c>
      <c r="N79" s="4">
        <v>2025</v>
      </c>
    </row>
    <row r="80" spans="1:14">
      <c r="A80" s="4"/>
      <c r="B80" s="83" t="s">
        <v>42</v>
      </c>
      <c r="C80" s="83" t="s">
        <v>43</v>
      </c>
      <c r="D80" s="4" t="s">
        <v>19</v>
      </c>
      <c r="E80" s="4" t="s">
        <v>86</v>
      </c>
      <c r="F80" s="4"/>
      <c r="G80" s="84" t="s">
        <v>87</v>
      </c>
      <c r="H80" s="83" t="s">
        <v>273</v>
      </c>
      <c r="I80" s="7">
        <v>13809.681551724138</v>
      </c>
      <c r="J80" s="4" t="s">
        <v>14</v>
      </c>
      <c r="K80" s="4" t="s">
        <v>14</v>
      </c>
      <c r="L80" s="4" t="s">
        <v>14</v>
      </c>
      <c r="M80" s="83" t="s">
        <v>222</v>
      </c>
      <c r="N80" s="4">
        <v>2025</v>
      </c>
    </row>
    <row r="81" spans="1:14">
      <c r="A81" s="4"/>
      <c r="B81" s="83" t="s">
        <v>35</v>
      </c>
      <c r="C81" s="4" t="s">
        <v>36</v>
      </c>
      <c r="D81" s="4" t="s">
        <v>19</v>
      </c>
      <c r="E81" s="4" t="s">
        <v>86</v>
      </c>
      <c r="F81" s="4"/>
      <c r="G81" s="84" t="s">
        <v>87</v>
      </c>
      <c r="H81" s="83" t="s">
        <v>273</v>
      </c>
      <c r="I81" s="7">
        <v>3134.3426482758618</v>
      </c>
      <c r="J81" s="4" t="s">
        <v>14</v>
      </c>
      <c r="K81" s="4" t="s">
        <v>14</v>
      </c>
      <c r="L81" s="4" t="s">
        <v>14</v>
      </c>
      <c r="M81" s="83" t="s">
        <v>222</v>
      </c>
      <c r="N81" s="4">
        <v>2025</v>
      </c>
    </row>
    <row r="82" spans="1:14">
      <c r="A82" s="4"/>
      <c r="B82" s="83" t="s">
        <v>35</v>
      </c>
      <c r="C82" s="4" t="s">
        <v>37</v>
      </c>
      <c r="D82" s="4" t="s">
        <v>19</v>
      </c>
      <c r="E82" s="4" t="s">
        <v>86</v>
      </c>
      <c r="F82" s="4"/>
      <c r="G82" s="84" t="s">
        <v>87</v>
      </c>
      <c r="H82" s="83" t="s">
        <v>273</v>
      </c>
      <c r="I82" s="7">
        <v>29056.975993103446</v>
      </c>
      <c r="J82" s="4" t="s">
        <v>14</v>
      </c>
      <c r="K82" s="4" t="s">
        <v>14</v>
      </c>
      <c r="L82" s="4" t="s">
        <v>14</v>
      </c>
      <c r="M82" s="83" t="s">
        <v>222</v>
      </c>
      <c r="N82" s="4">
        <v>2025</v>
      </c>
    </row>
    <row r="83" spans="1:14">
      <c r="A83" s="4"/>
      <c r="B83" s="83" t="s">
        <v>42</v>
      </c>
      <c r="C83" s="4" t="s">
        <v>44</v>
      </c>
      <c r="D83" s="4" t="s">
        <v>19</v>
      </c>
      <c r="E83" s="4" t="s">
        <v>86</v>
      </c>
      <c r="F83" s="4"/>
      <c r="G83" s="84" t="s">
        <v>87</v>
      </c>
      <c r="H83" s="83" t="s">
        <v>273</v>
      </c>
      <c r="I83" s="7">
        <v>25730.371310344828</v>
      </c>
      <c r="J83" s="4" t="s">
        <v>14</v>
      </c>
      <c r="K83" s="4" t="s">
        <v>14</v>
      </c>
      <c r="L83" s="4" t="s">
        <v>14</v>
      </c>
      <c r="M83" s="83" t="s">
        <v>222</v>
      </c>
      <c r="N83" s="4">
        <v>2025</v>
      </c>
    </row>
    <row r="84" spans="1:14">
      <c r="A84" s="4"/>
      <c r="B84" s="83" t="s">
        <v>42</v>
      </c>
      <c r="C84" s="4" t="s">
        <v>45</v>
      </c>
      <c r="D84" s="4" t="s">
        <v>19</v>
      </c>
      <c r="E84" s="4" t="s">
        <v>86</v>
      </c>
      <c r="F84" s="4"/>
      <c r="G84" s="84" t="s">
        <v>87</v>
      </c>
      <c r="H84" s="83" t="s">
        <v>273</v>
      </c>
      <c r="I84" s="7">
        <v>45028.558744827584</v>
      </c>
      <c r="J84" s="4" t="s">
        <v>14</v>
      </c>
      <c r="K84" s="4" t="s">
        <v>14</v>
      </c>
      <c r="L84" s="4" t="s">
        <v>14</v>
      </c>
      <c r="M84" s="83" t="s">
        <v>222</v>
      </c>
      <c r="N84" s="4">
        <v>2025</v>
      </c>
    </row>
    <row r="85" spans="1:14">
      <c r="A85" s="4"/>
      <c r="B85" s="83" t="s">
        <v>33</v>
      </c>
      <c r="C85" s="4" t="s">
        <v>34</v>
      </c>
      <c r="D85" s="4" t="s">
        <v>19</v>
      </c>
      <c r="E85" s="4" t="s">
        <v>86</v>
      </c>
      <c r="F85" s="4"/>
      <c r="G85" s="84" t="s">
        <v>87</v>
      </c>
      <c r="H85" s="83" t="s">
        <v>273</v>
      </c>
      <c r="I85" s="7">
        <v>20232.753289655171</v>
      </c>
      <c r="J85" s="4" t="s">
        <v>14</v>
      </c>
      <c r="K85" s="4" t="s">
        <v>14</v>
      </c>
      <c r="L85" s="4" t="s">
        <v>14</v>
      </c>
      <c r="M85" s="83" t="s">
        <v>222</v>
      </c>
      <c r="N85" s="4">
        <v>2025</v>
      </c>
    </row>
    <row r="86" spans="1:14">
      <c r="A86" s="4"/>
      <c r="B86" s="83" t="s">
        <v>52</v>
      </c>
      <c r="C86" s="83" t="s">
        <v>62</v>
      </c>
      <c r="D86" s="4" t="s">
        <v>19</v>
      </c>
      <c r="E86" s="4" t="s">
        <v>86</v>
      </c>
      <c r="F86" s="4"/>
      <c r="G86" s="84" t="s">
        <v>87</v>
      </c>
      <c r="H86" s="83" t="s">
        <v>273</v>
      </c>
      <c r="I86" s="7">
        <v>168116.49788965518</v>
      </c>
      <c r="J86" s="4" t="s">
        <v>14</v>
      </c>
      <c r="K86" s="4" t="s">
        <v>14</v>
      </c>
      <c r="L86" s="4" t="s">
        <v>14</v>
      </c>
      <c r="M86" s="83" t="s">
        <v>222</v>
      </c>
      <c r="N86" s="4">
        <v>2025</v>
      </c>
    </row>
    <row r="87" spans="1:14">
      <c r="A87" s="4"/>
      <c r="B87" s="83" t="s">
        <v>17</v>
      </c>
      <c r="C87" s="4" t="s">
        <v>22</v>
      </c>
      <c r="D87" s="4" t="s">
        <v>19</v>
      </c>
      <c r="E87" s="4" t="s">
        <v>86</v>
      </c>
      <c r="F87" s="4"/>
      <c r="G87" s="84" t="s">
        <v>87</v>
      </c>
      <c r="H87" s="83" t="s">
        <v>273</v>
      </c>
      <c r="I87" s="7">
        <v>3045.0927793103451</v>
      </c>
      <c r="J87" s="4" t="s">
        <v>14</v>
      </c>
      <c r="K87" s="4" t="s">
        <v>14</v>
      </c>
      <c r="L87" s="4" t="s">
        <v>14</v>
      </c>
      <c r="M87" s="83" t="s">
        <v>222</v>
      </c>
      <c r="N87" s="4">
        <v>2025</v>
      </c>
    </row>
    <row r="88" spans="1:14">
      <c r="A88" s="4"/>
      <c r="B88" s="83" t="s">
        <v>35</v>
      </c>
      <c r="C88" s="4" t="s">
        <v>41</v>
      </c>
      <c r="D88" s="4" t="s">
        <v>19</v>
      </c>
      <c r="E88" s="4" t="s">
        <v>86</v>
      </c>
      <c r="F88" s="4"/>
      <c r="G88" s="84" t="s">
        <v>87</v>
      </c>
      <c r="H88" s="83" t="s">
        <v>273</v>
      </c>
      <c r="I88" s="7">
        <v>1358.090151724138</v>
      </c>
      <c r="J88" s="4" t="s">
        <v>14</v>
      </c>
      <c r="K88" s="4" t="s">
        <v>14</v>
      </c>
      <c r="L88" s="4" t="s">
        <v>14</v>
      </c>
      <c r="M88" s="83" t="s">
        <v>222</v>
      </c>
      <c r="N88" s="4">
        <v>2025</v>
      </c>
    </row>
    <row r="89" spans="1:14">
      <c r="A89" s="4"/>
      <c r="B89" s="83" t="s">
        <v>42</v>
      </c>
      <c r="C89" s="4" t="s">
        <v>47</v>
      </c>
      <c r="D89" s="4" t="s">
        <v>19</v>
      </c>
      <c r="E89" s="4" t="s">
        <v>86</v>
      </c>
      <c r="F89" s="4"/>
      <c r="G89" s="84" t="s">
        <v>87</v>
      </c>
      <c r="H89" s="83" t="s">
        <v>273</v>
      </c>
      <c r="I89" s="7">
        <v>12542.408455172415</v>
      </c>
      <c r="J89" s="4" t="s">
        <v>14</v>
      </c>
      <c r="K89" s="4" t="s">
        <v>14</v>
      </c>
      <c r="L89" s="4" t="s">
        <v>14</v>
      </c>
      <c r="M89" s="83" t="s">
        <v>222</v>
      </c>
      <c r="N89" s="4">
        <v>2025</v>
      </c>
    </row>
    <row r="90" spans="1:14">
      <c r="A90" s="4"/>
      <c r="B90" s="83" t="s">
        <v>17</v>
      </c>
      <c r="C90" s="4" t="s">
        <v>319</v>
      </c>
      <c r="D90" s="4" t="s">
        <v>19</v>
      </c>
      <c r="E90" s="4" t="s">
        <v>86</v>
      </c>
      <c r="F90" s="4"/>
      <c r="G90" s="84" t="s">
        <v>87</v>
      </c>
      <c r="H90" s="83" t="s">
        <v>273</v>
      </c>
      <c r="I90" s="7">
        <v>7034.0795310344829</v>
      </c>
      <c r="J90" s="4" t="s">
        <v>14</v>
      </c>
      <c r="K90" s="4" t="s">
        <v>14</v>
      </c>
      <c r="L90" s="4" t="s">
        <v>14</v>
      </c>
      <c r="M90" s="83" t="s">
        <v>222</v>
      </c>
      <c r="N90" s="4">
        <v>2025</v>
      </c>
    </row>
    <row r="91" spans="1:14">
      <c r="A91" s="4"/>
      <c r="B91" s="83" t="s">
        <v>42</v>
      </c>
      <c r="C91" s="4" t="s">
        <v>48</v>
      </c>
      <c r="D91" s="4" t="s">
        <v>19</v>
      </c>
      <c r="E91" s="4" t="s">
        <v>86</v>
      </c>
      <c r="F91" s="4"/>
      <c r="G91" s="84" t="s">
        <v>87</v>
      </c>
      <c r="H91" s="83" t="s">
        <v>273</v>
      </c>
      <c r="I91" s="7">
        <v>24003.183027586208</v>
      </c>
      <c r="J91" s="4" t="s">
        <v>14</v>
      </c>
      <c r="K91" s="4" t="s">
        <v>14</v>
      </c>
      <c r="L91" s="4" t="s">
        <v>14</v>
      </c>
      <c r="M91" s="83" t="s">
        <v>222</v>
      </c>
      <c r="N91" s="4">
        <v>2025</v>
      </c>
    </row>
    <row r="92" spans="1:14">
      <c r="A92" s="4"/>
      <c r="B92" s="83" t="s">
        <v>42</v>
      </c>
      <c r="C92" s="4" t="s">
        <v>50</v>
      </c>
      <c r="D92" s="4" t="s">
        <v>19</v>
      </c>
      <c r="E92" s="4" t="s">
        <v>86</v>
      </c>
      <c r="F92" s="4"/>
      <c r="G92" s="84" t="s">
        <v>87</v>
      </c>
      <c r="H92" s="83" t="s">
        <v>273</v>
      </c>
      <c r="I92" s="7">
        <v>73887.058179310348</v>
      </c>
      <c r="J92" s="4" t="s">
        <v>14</v>
      </c>
      <c r="K92" s="4" t="s">
        <v>14</v>
      </c>
      <c r="L92" s="4" t="s">
        <v>14</v>
      </c>
      <c r="M92" s="83" t="s">
        <v>222</v>
      </c>
      <c r="N92" s="4">
        <v>2025</v>
      </c>
    </row>
    <row r="93" spans="1:14">
      <c r="A93" s="4"/>
      <c r="B93" s="83" t="s">
        <v>42</v>
      </c>
      <c r="C93" s="83" t="s">
        <v>49</v>
      </c>
      <c r="D93" s="4" t="s">
        <v>19</v>
      </c>
      <c r="E93" s="4" t="s">
        <v>86</v>
      </c>
      <c r="F93" s="4"/>
      <c r="G93" s="84" t="s">
        <v>87</v>
      </c>
      <c r="H93" s="83" t="s">
        <v>273</v>
      </c>
      <c r="I93" s="7">
        <v>4257.5490896551719</v>
      </c>
      <c r="J93" s="4" t="s">
        <v>14</v>
      </c>
      <c r="K93" s="4" t="s">
        <v>14</v>
      </c>
      <c r="L93" s="4" t="s">
        <v>14</v>
      </c>
      <c r="M93" s="83" t="s">
        <v>222</v>
      </c>
      <c r="N93" s="4">
        <v>2025</v>
      </c>
    </row>
    <row r="94" spans="1:14">
      <c r="A94" s="4"/>
      <c r="B94" s="83" t="s">
        <v>42</v>
      </c>
      <c r="C94" s="4" t="s">
        <v>51</v>
      </c>
      <c r="D94" s="4" t="s">
        <v>19</v>
      </c>
      <c r="E94" s="4" t="s">
        <v>86</v>
      </c>
      <c r="F94" s="4"/>
      <c r="G94" s="84" t="s">
        <v>87</v>
      </c>
      <c r="H94" s="83" t="s">
        <v>273</v>
      </c>
      <c r="I94" s="7">
        <v>12323.225372413792</v>
      </c>
      <c r="J94" s="4" t="s">
        <v>14</v>
      </c>
      <c r="K94" s="4" t="s">
        <v>14</v>
      </c>
      <c r="L94" s="4" t="s">
        <v>14</v>
      </c>
      <c r="M94" s="83" t="s">
        <v>222</v>
      </c>
      <c r="N94" s="4">
        <v>2025</v>
      </c>
    </row>
    <row r="95" spans="1:14">
      <c r="A95" s="4"/>
      <c r="B95" s="83" t="s">
        <v>17</v>
      </c>
      <c r="C95" s="4" t="s">
        <v>25</v>
      </c>
      <c r="D95" s="4" t="s">
        <v>19</v>
      </c>
      <c r="E95" s="4" t="s">
        <v>86</v>
      </c>
      <c r="F95" s="4"/>
      <c r="G95" s="84" t="s">
        <v>87</v>
      </c>
      <c r="H95" s="83" t="s">
        <v>273</v>
      </c>
      <c r="I95" s="7">
        <v>22707.426931034483</v>
      </c>
      <c r="J95" s="4" t="s">
        <v>14</v>
      </c>
      <c r="K95" s="4" t="s">
        <v>14</v>
      </c>
      <c r="L95" s="4" t="s">
        <v>14</v>
      </c>
      <c r="M95" s="83" t="s">
        <v>222</v>
      </c>
      <c r="N95" s="4">
        <v>2025</v>
      </c>
    </row>
    <row r="96" spans="1:14">
      <c r="A96" s="4"/>
      <c r="B96" s="83" t="s">
        <v>17</v>
      </c>
      <c r="C96" s="4" t="s">
        <v>88</v>
      </c>
      <c r="D96" s="4" t="s">
        <v>19</v>
      </c>
      <c r="E96" s="4" t="s">
        <v>86</v>
      </c>
      <c r="F96" s="4"/>
      <c r="G96" s="84" t="s">
        <v>87</v>
      </c>
      <c r="H96" s="83" t="s">
        <v>91</v>
      </c>
      <c r="I96" s="7">
        <v>15495.553972413794</v>
      </c>
      <c r="J96" s="4" t="s">
        <v>14</v>
      </c>
      <c r="K96" s="4" t="s">
        <v>14</v>
      </c>
      <c r="L96" s="4" t="s">
        <v>14</v>
      </c>
      <c r="M96" s="83" t="s">
        <v>222</v>
      </c>
      <c r="N96" s="4">
        <v>2025</v>
      </c>
    </row>
    <row r="97" spans="1:14">
      <c r="A97" s="4"/>
      <c r="B97" s="83" t="s">
        <v>54</v>
      </c>
      <c r="C97" s="4" t="s">
        <v>55</v>
      </c>
      <c r="D97" s="4" t="s">
        <v>19</v>
      </c>
      <c r="E97" s="4" t="s">
        <v>86</v>
      </c>
      <c r="F97" s="4"/>
      <c r="G97" s="84" t="s">
        <v>87</v>
      </c>
      <c r="H97" s="83" t="s">
        <v>91</v>
      </c>
      <c r="I97" s="7">
        <v>25463.244634482759</v>
      </c>
      <c r="J97" s="4" t="s">
        <v>14</v>
      </c>
      <c r="K97" s="4" t="s">
        <v>14</v>
      </c>
      <c r="L97" s="4" t="s">
        <v>14</v>
      </c>
      <c r="M97" s="83" t="s">
        <v>222</v>
      </c>
      <c r="N97" s="4">
        <v>2025</v>
      </c>
    </row>
    <row r="98" spans="1:14">
      <c r="A98" s="4"/>
      <c r="B98" s="83" t="s">
        <v>42</v>
      </c>
      <c r="C98" s="4" t="s">
        <v>43</v>
      </c>
      <c r="D98" s="4" t="s">
        <v>19</v>
      </c>
      <c r="E98" s="4" t="s">
        <v>86</v>
      </c>
      <c r="F98" s="4"/>
      <c r="G98" s="84" t="s">
        <v>87</v>
      </c>
      <c r="H98" s="83" t="s">
        <v>91</v>
      </c>
      <c r="I98" s="7">
        <v>14007.957586206896</v>
      </c>
      <c r="J98" s="4" t="s">
        <v>14</v>
      </c>
      <c r="K98" s="4" t="s">
        <v>14</v>
      </c>
      <c r="L98" s="4" t="s">
        <v>14</v>
      </c>
      <c r="M98" s="83" t="s">
        <v>222</v>
      </c>
      <c r="N98" s="4">
        <v>2025</v>
      </c>
    </row>
    <row r="99" spans="1:14">
      <c r="A99" s="4"/>
      <c r="B99" s="83" t="s">
        <v>35</v>
      </c>
      <c r="C99" s="4" t="s">
        <v>36</v>
      </c>
      <c r="D99" s="4" t="s">
        <v>19</v>
      </c>
      <c r="E99" s="4" t="s">
        <v>86</v>
      </c>
      <c r="F99" s="4"/>
      <c r="G99" s="84" t="s">
        <v>87</v>
      </c>
      <c r="H99" s="83" t="s">
        <v>91</v>
      </c>
      <c r="I99" s="7">
        <v>3517.2413793103447</v>
      </c>
      <c r="J99" s="4" t="s">
        <v>14</v>
      </c>
      <c r="K99" s="4" t="s">
        <v>14</v>
      </c>
      <c r="L99" s="4" t="s">
        <v>14</v>
      </c>
      <c r="M99" s="83" t="s">
        <v>222</v>
      </c>
      <c r="N99" s="4">
        <v>2025</v>
      </c>
    </row>
    <row r="100" spans="1:14">
      <c r="A100" s="4"/>
      <c r="B100" s="83" t="s">
        <v>35</v>
      </c>
      <c r="C100" s="4" t="s">
        <v>37</v>
      </c>
      <c r="D100" s="4" t="s">
        <v>19</v>
      </c>
      <c r="E100" s="4" t="s">
        <v>86</v>
      </c>
      <c r="F100" s="4"/>
      <c r="G100" s="84" t="s">
        <v>87</v>
      </c>
      <c r="H100" s="83" t="s">
        <v>91</v>
      </c>
      <c r="I100" s="7">
        <v>17013.793131034483</v>
      </c>
      <c r="J100" s="4" t="s">
        <v>14</v>
      </c>
      <c r="K100" s="4" t="s">
        <v>14</v>
      </c>
      <c r="L100" s="4" t="s">
        <v>14</v>
      </c>
      <c r="M100" s="83" t="s">
        <v>222</v>
      </c>
      <c r="N100" s="4">
        <v>2025</v>
      </c>
    </row>
    <row r="101" spans="1:14">
      <c r="A101" s="4"/>
      <c r="B101" s="83" t="s">
        <v>42</v>
      </c>
      <c r="C101" s="4" t="s">
        <v>44</v>
      </c>
      <c r="D101" s="4" t="s">
        <v>19</v>
      </c>
      <c r="E101" s="4" t="s">
        <v>86</v>
      </c>
      <c r="F101" s="4"/>
      <c r="G101" s="84" t="s">
        <v>87</v>
      </c>
      <c r="H101" s="83" t="s">
        <v>91</v>
      </c>
      <c r="I101" s="7">
        <v>12383.023827586207</v>
      </c>
      <c r="J101" s="4" t="s">
        <v>14</v>
      </c>
      <c r="K101" s="4" t="s">
        <v>14</v>
      </c>
      <c r="L101" s="4" t="s">
        <v>14</v>
      </c>
      <c r="M101" s="83" t="s">
        <v>222</v>
      </c>
      <c r="N101" s="4">
        <v>2025</v>
      </c>
    </row>
    <row r="102" spans="1:14">
      <c r="A102" s="4"/>
      <c r="B102" s="83" t="s">
        <v>42</v>
      </c>
      <c r="C102" s="4" t="s">
        <v>45</v>
      </c>
      <c r="D102" s="4" t="s">
        <v>19</v>
      </c>
      <c r="E102" s="4" t="s">
        <v>86</v>
      </c>
      <c r="F102" s="4"/>
      <c r="G102" s="84" t="s">
        <v>87</v>
      </c>
      <c r="H102" s="83" t="s">
        <v>91</v>
      </c>
      <c r="I102" s="7">
        <v>22242.175117241379</v>
      </c>
      <c r="J102" s="4" t="s">
        <v>14</v>
      </c>
      <c r="K102" s="4" t="s">
        <v>14</v>
      </c>
      <c r="L102" s="4" t="s">
        <v>14</v>
      </c>
      <c r="M102" s="83" t="s">
        <v>222</v>
      </c>
      <c r="N102" s="4">
        <v>2025</v>
      </c>
    </row>
    <row r="103" spans="1:14">
      <c r="A103" s="4"/>
      <c r="B103" s="83" t="s">
        <v>33</v>
      </c>
      <c r="C103" s="4" t="s">
        <v>34</v>
      </c>
      <c r="D103" s="4" t="s">
        <v>19</v>
      </c>
      <c r="E103" s="4" t="s">
        <v>86</v>
      </c>
      <c r="F103" s="4"/>
      <c r="G103" s="84" t="s">
        <v>87</v>
      </c>
      <c r="H103" s="83" t="s">
        <v>91</v>
      </c>
      <c r="I103" s="7">
        <v>24432.413993103448</v>
      </c>
      <c r="J103" s="4" t="s">
        <v>14</v>
      </c>
      <c r="K103" s="4" t="s">
        <v>14</v>
      </c>
      <c r="L103" s="4" t="s">
        <v>14</v>
      </c>
      <c r="M103" s="83" t="s">
        <v>222</v>
      </c>
      <c r="N103" s="4">
        <v>2025</v>
      </c>
    </row>
    <row r="104" spans="1:14">
      <c r="A104" s="4"/>
      <c r="B104" s="83" t="s">
        <v>52</v>
      </c>
      <c r="C104" s="83" t="s">
        <v>62</v>
      </c>
      <c r="D104" s="4" t="s">
        <v>19</v>
      </c>
      <c r="E104" s="4" t="s">
        <v>86</v>
      </c>
      <c r="F104" s="4"/>
      <c r="G104" s="84" t="s">
        <v>87</v>
      </c>
      <c r="H104" s="83" t="s">
        <v>91</v>
      </c>
      <c r="I104" s="7">
        <v>93100.960620689657</v>
      </c>
      <c r="J104" s="4" t="s">
        <v>14</v>
      </c>
      <c r="K104" s="4" t="s">
        <v>14</v>
      </c>
      <c r="L104" s="4" t="s">
        <v>14</v>
      </c>
      <c r="M104" s="83" t="s">
        <v>222</v>
      </c>
      <c r="N104" s="4">
        <v>2025</v>
      </c>
    </row>
    <row r="105" spans="1:14">
      <c r="A105" s="4"/>
      <c r="B105" s="83" t="s">
        <v>58</v>
      </c>
      <c r="C105" s="4" t="s">
        <v>59</v>
      </c>
      <c r="D105" s="4" t="s">
        <v>19</v>
      </c>
      <c r="E105" s="4" t="s">
        <v>86</v>
      </c>
      <c r="F105" s="4"/>
      <c r="G105" s="84" t="s">
        <v>87</v>
      </c>
      <c r="H105" s="83" t="s">
        <v>91</v>
      </c>
      <c r="I105" s="7">
        <v>4758.6207724137921</v>
      </c>
      <c r="J105" s="4" t="s">
        <v>14</v>
      </c>
      <c r="K105" s="4" t="s">
        <v>14</v>
      </c>
      <c r="L105" s="4" t="s">
        <v>14</v>
      </c>
      <c r="M105" s="83" t="s">
        <v>222</v>
      </c>
      <c r="N105" s="4">
        <v>2025</v>
      </c>
    </row>
    <row r="106" spans="1:14">
      <c r="A106" s="4"/>
      <c r="B106" s="83" t="s">
        <v>17</v>
      </c>
      <c r="C106" s="4" t="s">
        <v>22</v>
      </c>
      <c r="D106" s="4" t="s">
        <v>19</v>
      </c>
      <c r="E106" s="4" t="s">
        <v>86</v>
      </c>
      <c r="F106" s="4"/>
      <c r="G106" s="84" t="s">
        <v>87</v>
      </c>
      <c r="H106" s="83" t="s">
        <v>91</v>
      </c>
      <c r="I106" s="7">
        <v>4814.3236275862064</v>
      </c>
      <c r="J106" s="4" t="s">
        <v>14</v>
      </c>
      <c r="K106" s="4" t="s">
        <v>14</v>
      </c>
      <c r="L106" s="4" t="s">
        <v>14</v>
      </c>
      <c r="M106" s="83" t="s">
        <v>222</v>
      </c>
      <c r="N106" s="4">
        <v>2025</v>
      </c>
    </row>
    <row r="107" spans="1:14">
      <c r="A107" s="4"/>
      <c r="B107" s="83" t="s">
        <v>42</v>
      </c>
      <c r="C107" s="4" t="s">
        <v>46</v>
      </c>
      <c r="D107" s="4" t="s">
        <v>19</v>
      </c>
      <c r="E107" s="4" t="s">
        <v>86</v>
      </c>
      <c r="F107" s="4"/>
      <c r="G107" s="84" t="s">
        <v>87</v>
      </c>
      <c r="H107" s="83" t="s">
        <v>91</v>
      </c>
      <c r="I107" s="7">
        <v>15318.30244137931</v>
      </c>
      <c r="J107" s="4" t="s">
        <v>14</v>
      </c>
      <c r="K107" s="4" t="s">
        <v>14</v>
      </c>
      <c r="L107" s="4" t="s">
        <v>14</v>
      </c>
      <c r="M107" s="83" t="s">
        <v>222</v>
      </c>
      <c r="N107" s="4">
        <v>2025</v>
      </c>
    </row>
    <row r="108" spans="1:14">
      <c r="A108" s="4"/>
      <c r="B108" s="83" t="s">
        <v>35</v>
      </c>
      <c r="C108" s="4" t="s">
        <v>39</v>
      </c>
      <c r="D108" s="4" t="s">
        <v>19</v>
      </c>
      <c r="E108" s="4" t="s">
        <v>86</v>
      </c>
      <c r="F108" s="4"/>
      <c r="G108" s="84" t="s">
        <v>87</v>
      </c>
      <c r="H108" s="83" t="s">
        <v>91</v>
      </c>
      <c r="I108" s="7">
        <v>1724.1379310344828</v>
      </c>
      <c r="J108" s="4" t="s">
        <v>14</v>
      </c>
      <c r="K108" s="4" t="s">
        <v>14</v>
      </c>
      <c r="L108" s="4" t="s">
        <v>14</v>
      </c>
      <c r="M108" s="83" t="s">
        <v>222</v>
      </c>
      <c r="N108" s="4">
        <v>2025</v>
      </c>
    </row>
    <row r="109" spans="1:14">
      <c r="A109" s="4"/>
      <c r="B109" s="83" t="s">
        <v>35</v>
      </c>
      <c r="C109" s="4" t="s">
        <v>41</v>
      </c>
      <c r="D109" s="4" t="s">
        <v>19</v>
      </c>
      <c r="E109" s="4" t="s">
        <v>86</v>
      </c>
      <c r="F109" s="4"/>
      <c r="G109" s="84" t="s">
        <v>87</v>
      </c>
      <c r="H109" s="83" t="s">
        <v>91</v>
      </c>
      <c r="I109" s="7">
        <v>1793.1034482758621</v>
      </c>
      <c r="J109" s="4" t="s">
        <v>14</v>
      </c>
      <c r="K109" s="4" t="s">
        <v>14</v>
      </c>
      <c r="L109" s="4" t="s">
        <v>14</v>
      </c>
      <c r="M109" s="83" t="s">
        <v>222</v>
      </c>
      <c r="N109" s="4">
        <v>2025</v>
      </c>
    </row>
    <row r="110" spans="1:14">
      <c r="A110" s="4"/>
      <c r="B110" s="83" t="s">
        <v>42</v>
      </c>
      <c r="C110" s="4" t="s">
        <v>47</v>
      </c>
      <c r="D110" s="4" t="s">
        <v>19</v>
      </c>
      <c r="E110" s="4" t="s">
        <v>86</v>
      </c>
      <c r="F110" s="4"/>
      <c r="G110" s="84" t="s">
        <v>87</v>
      </c>
      <c r="H110" s="83" t="s">
        <v>91</v>
      </c>
      <c r="I110" s="7">
        <v>8435.0132965517241</v>
      </c>
      <c r="J110" s="4" t="s">
        <v>14</v>
      </c>
      <c r="K110" s="4" t="s">
        <v>14</v>
      </c>
      <c r="L110" s="4" t="s">
        <v>14</v>
      </c>
      <c r="M110" s="83" t="s">
        <v>222</v>
      </c>
      <c r="N110" s="4">
        <v>2025</v>
      </c>
    </row>
    <row r="111" spans="1:14">
      <c r="A111" s="4"/>
      <c r="B111" s="83" t="s">
        <v>17</v>
      </c>
      <c r="C111" s="4" t="s">
        <v>24</v>
      </c>
      <c r="D111" s="4" t="s">
        <v>19</v>
      </c>
      <c r="E111" s="4" t="s">
        <v>86</v>
      </c>
      <c r="F111" s="4"/>
      <c r="G111" s="84" t="s">
        <v>87</v>
      </c>
      <c r="H111" s="83" t="s">
        <v>91</v>
      </c>
      <c r="I111" s="7">
        <v>11701.326289655173</v>
      </c>
      <c r="J111" s="4" t="s">
        <v>14</v>
      </c>
      <c r="K111" s="4" t="s">
        <v>14</v>
      </c>
      <c r="L111" s="4" t="s">
        <v>14</v>
      </c>
      <c r="M111" s="83" t="s">
        <v>222</v>
      </c>
      <c r="N111" s="4">
        <v>2025</v>
      </c>
    </row>
    <row r="112" spans="1:14">
      <c r="A112" s="4"/>
      <c r="B112" s="83" t="s">
        <v>42</v>
      </c>
      <c r="C112" s="4" t="s">
        <v>48</v>
      </c>
      <c r="D112" s="4" t="s">
        <v>19</v>
      </c>
      <c r="E112" s="4" t="s">
        <v>86</v>
      </c>
      <c r="F112" s="4"/>
      <c r="G112" s="84" t="s">
        <v>87</v>
      </c>
      <c r="H112" s="83" t="s">
        <v>91</v>
      </c>
      <c r="I112" s="7">
        <v>23344.35428965517</v>
      </c>
      <c r="J112" s="4" t="s">
        <v>14</v>
      </c>
      <c r="K112" s="4" t="s">
        <v>14</v>
      </c>
      <c r="L112" s="4" t="s">
        <v>14</v>
      </c>
      <c r="M112" s="83" t="s">
        <v>222</v>
      </c>
      <c r="N112" s="4">
        <v>2025</v>
      </c>
    </row>
    <row r="113" spans="1:14">
      <c r="A113" s="4"/>
      <c r="B113" s="83" t="s">
        <v>42</v>
      </c>
      <c r="C113" s="4" t="s">
        <v>50</v>
      </c>
      <c r="D113" s="4" t="s">
        <v>19</v>
      </c>
      <c r="E113" s="4" t="s">
        <v>86</v>
      </c>
      <c r="F113" s="4"/>
      <c r="G113" s="84" t="s">
        <v>87</v>
      </c>
      <c r="H113" s="83" t="s">
        <v>91</v>
      </c>
      <c r="I113" s="7">
        <v>20814.376696551724</v>
      </c>
      <c r="J113" s="4" t="s">
        <v>14</v>
      </c>
      <c r="K113" s="4" t="s">
        <v>14</v>
      </c>
      <c r="L113" s="4" t="s">
        <v>14</v>
      </c>
      <c r="M113" s="83" t="s">
        <v>222</v>
      </c>
      <c r="N113" s="4">
        <v>2025</v>
      </c>
    </row>
    <row r="114" spans="1:14">
      <c r="A114" s="4"/>
      <c r="B114" s="83" t="s">
        <v>42</v>
      </c>
      <c r="C114" s="4" t="s">
        <v>49</v>
      </c>
      <c r="D114" s="4" t="s">
        <v>19</v>
      </c>
      <c r="E114" s="4" t="s">
        <v>86</v>
      </c>
      <c r="F114" s="4"/>
      <c r="G114" s="84" t="s">
        <v>87</v>
      </c>
      <c r="H114" s="83" t="s">
        <v>91</v>
      </c>
      <c r="I114" s="7">
        <v>1793.1034482758621</v>
      </c>
      <c r="J114" s="4" t="s">
        <v>14</v>
      </c>
      <c r="K114" s="4" t="s">
        <v>14</v>
      </c>
      <c r="L114" s="4" t="s">
        <v>14</v>
      </c>
      <c r="M114" s="83" t="s">
        <v>222</v>
      </c>
      <c r="N114" s="4">
        <v>2025</v>
      </c>
    </row>
    <row r="115" spans="1:14">
      <c r="A115" s="4"/>
      <c r="B115" s="83" t="s">
        <v>42</v>
      </c>
      <c r="C115" s="4" t="s">
        <v>51</v>
      </c>
      <c r="D115" s="4" t="s">
        <v>19</v>
      </c>
      <c r="E115" s="4" t="s">
        <v>86</v>
      </c>
      <c r="F115" s="4"/>
      <c r="G115" s="84" t="s">
        <v>87</v>
      </c>
      <c r="H115" s="83" t="s">
        <v>91</v>
      </c>
      <c r="I115" s="7">
        <v>1724.1379310344828</v>
      </c>
      <c r="J115" s="4" t="s">
        <v>14</v>
      </c>
      <c r="K115" s="4" t="s">
        <v>14</v>
      </c>
      <c r="L115" s="4" t="s">
        <v>14</v>
      </c>
      <c r="M115" s="83" t="s">
        <v>222</v>
      </c>
      <c r="N115" s="4">
        <v>2025</v>
      </c>
    </row>
    <row r="116" spans="1:14">
      <c r="A116" s="4"/>
      <c r="B116" s="83" t="s">
        <v>17</v>
      </c>
      <c r="C116" s="4" t="s">
        <v>25</v>
      </c>
      <c r="D116" s="4" t="s">
        <v>19</v>
      </c>
      <c r="E116" s="4" t="s">
        <v>86</v>
      </c>
      <c r="F116" s="4"/>
      <c r="G116" s="84" t="s">
        <v>87</v>
      </c>
      <c r="H116" s="83" t="s">
        <v>91</v>
      </c>
      <c r="I116" s="7">
        <v>13019.151241379312</v>
      </c>
      <c r="J116" s="4" t="s">
        <v>14</v>
      </c>
      <c r="K116" s="4" t="s">
        <v>14</v>
      </c>
      <c r="L116" s="4" t="s">
        <v>14</v>
      </c>
      <c r="M116" s="83" t="s">
        <v>222</v>
      </c>
      <c r="N116" s="4">
        <v>2025</v>
      </c>
    </row>
    <row r="117" spans="1:14">
      <c r="A117" s="4"/>
      <c r="B117" s="83" t="s">
        <v>17</v>
      </c>
      <c r="C117" s="4" t="s">
        <v>26</v>
      </c>
      <c r="D117" s="4" t="s">
        <v>19</v>
      </c>
      <c r="E117" s="4" t="s">
        <v>86</v>
      </c>
      <c r="F117" s="4"/>
      <c r="G117" s="84" t="s">
        <v>87</v>
      </c>
      <c r="H117" s="83" t="s">
        <v>91</v>
      </c>
      <c r="I117" s="7">
        <v>543.76657931034481</v>
      </c>
      <c r="J117" s="4" t="s">
        <v>14</v>
      </c>
      <c r="K117" s="4" t="s">
        <v>14</v>
      </c>
      <c r="L117" s="4" t="s">
        <v>14</v>
      </c>
      <c r="M117" s="83" t="s">
        <v>222</v>
      </c>
      <c r="N117" s="4">
        <v>2025</v>
      </c>
    </row>
    <row r="118" spans="1:14">
      <c r="A118" s="4"/>
      <c r="B118" s="83" t="s">
        <v>54</v>
      </c>
      <c r="C118" s="4" t="s">
        <v>55</v>
      </c>
      <c r="D118" s="4" t="s">
        <v>19</v>
      </c>
      <c r="E118" s="4" t="s">
        <v>86</v>
      </c>
      <c r="F118" s="4"/>
      <c r="G118" s="49" t="s">
        <v>90</v>
      </c>
      <c r="H118" s="83" t="s">
        <v>273</v>
      </c>
      <c r="I118" s="7">
        <v>18465.517200000002</v>
      </c>
      <c r="J118" s="4" t="s">
        <v>14</v>
      </c>
      <c r="K118" s="4" t="s">
        <v>14</v>
      </c>
      <c r="L118" s="4" t="s">
        <v>14</v>
      </c>
      <c r="M118" s="83" t="s">
        <v>222</v>
      </c>
      <c r="N118" s="4">
        <v>2025</v>
      </c>
    </row>
    <row r="119" spans="1:14">
      <c r="A119" s="4"/>
      <c r="B119" s="83" t="s">
        <v>42</v>
      </c>
      <c r="C119" s="4" t="s">
        <v>224</v>
      </c>
      <c r="D119" s="4" t="s">
        <v>19</v>
      </c>
      <c r="E119" s="4" t="s">
        <v>86</v>
      </c>
      <c r="F119" s="4"/>
      <c r="G119" s="49" t="s">
        <v>90</v>
      </c>
      <c r="H119" s="83" t="s">
        <v>273</v>
      </c>
      <c r="I119" s="7">
        <v>6366.0477586206898</v>
      </c>
      <c r="J119" s="4" t="s">
        <v>14</v>
      </c>
      <c r="K119" s="4" t="s">
        <v>14</v>
      </c>
      <c r="L119" s="4" t="s">
        <v>14</v>
      </c>
      <c r="M119" s="83" t="s">
        <v>222</v>
      </c>
      <c r="N119" s="4">
        <v>2025</v>
      </c>
    </row>
    <row r="120" spans="1:14">
      <c r="A120" s="4"/>
      <c r="B120" s="83" t="s">
        <v>35</v>
      </c>
      <c r="C120" s="4" t="s">
        <v>36</v>
      </c>
      <c r="D120" s="4" t="s">
        <v>19</v>
      </c>
      <c r="E120" s="4" t="s">
        <v>86</v>
      </c>
      <c r="F120" s="4"/>
      <c r="G120" s="49" t="s">
        <v>90</v>
      </c>
      <c r="H120" s="83" t="s">
        <v>273</v>
      </c>
      <c r="I120" s="7">
        <v>509.28382068965522</v>
      </c>
      <c r="J120" s="4" t="s">
        <v>14</v>
      </c>
      <c r="K120" s="4" t="s">
        <v>14</v>
      </c>
      <c r="L120" s="4" t="s">
        <v>14</v>
      </c>
      <c r="M120" s="83" t="s">
        <v>222</v>
      </c>
      <c r="N120" s="4">
        <v>2025</v>
      </c>
    </row>
    <row r="121" spans="1:14">
      <c r="A121" s="4"/>
      <c r="B121" s="83" t="s">
        <v>42</v>
      </c>
      <c r="C121" s="4" t="s">
        <v>45</v>
      </c>
      <c r="D121" s="4" t="s">
        <v>19</v>
      </c>
      <c r="E121" s="4" t="s">
        <v>86</v>
      </c>
      <c r="F121" s="4"/>
      <c r="G121" s="49" t="s">
        <v>90</v>
      </c>
      <c r="H121" s="83" t="s">
        <v>273</v>
      </c>
      <c r="I121" s="7">
        <v>6368.1366068965517</v>
      </c>
      <c r="J121" s="4" t="s">
        <v>14</v>
      </c>
      <c r="K121" s="4" t="s">
        <v>14</v>
      </c>
      <c r="L121" s="4" t="s">
        <v>14</v>
      </c>
      <c r="M121" s="83" t="s">
        <v>222</v>
      </c>
      <c r="N121" s="4">
        <v>2025</v>
      </c>
    </row>
    <row r="122" spans="1:14">
      <c r="A122" s="4"/>
      <c r="B122" s="83" t="s">
        <v>33</v>
      </c>
      <c r="C122" s="4" t="s">
        <v>34</v>
      </c>
      <c r="D122" s="4" t="s">
        <v>19</v>
      </c>
      <c r="E122" s="4" t="s">
        <v>86</v>
      </c>
      <c r="F122" s="4"/>
      <c r="G122" s="49" t="s">
        <v>90</v>
      </c>
      <c r="H122" s="83" t="s">
        <v>273</v>
      </c>
      <c r="I122" s="7">
        <v>6763.6605724137935</v>
      </c>
      <c r="J122" s="4" t="s">
        <v>14</v>
      </c>
      <c r="K122" s="4" t="s">
        <v>14</v>
      </c>
      <c r="L122" s="4" t="s">
        <v>14</v>
      </c>
      <c r="M122" s="83" t="s">
        <v>222</v>
      </c>
      <c r="N122" s="4">
        <v>2025</v>
      </c>
    </row>
    <row r="123" spans="1:14">
      <c r="A123" s="4"/>
      <c r="B123" s="83" t="s">
        <v>61</v>
      </c>
      <c r="C123" s="83" t="s">
        <v>62</v>
      </c>
      <c r="D123" s="4" t="s">
        <v>19</v>
      </c>
      <c r="E123" s="4" t="s">
        <v>86</v>
      </c>
      <c r="F123" s="4"/>
      <c r="G123" s="49" t="s">
        <v>90</v>
      </c>
      <c r="H123" s="83" t="s">
        <v>273</v>
      </c>
      <c r="I123" s="7">
        <v>27083.852875862071</v>
      </c>
      <c r="J123" s="4" t="s">
        <v>14</v>
      </c>
      <c r="K123" s="4" t="s">
        <v>14</v>
      </c>
      <c r="L123" s="4" t="s">
        <v>14</v>
      </c>
      <c r="M123" s="83" t="s">
        <v>222</v>
      </c>
      <c r="N123" s="4">
        <v>2025</v>
      </c>
    </row>
    <row r="124" spans="1:14">
      <c r="A124" s="4"/>
      <c r="B124" s="83" t="s">
        <v>58</v>
      </c>
      <c r="C124" s="4" t="s">
        <v>59</v>
      </c>
      <c r="D124" s="4" t="s">
        <v>19</v>
      </c>
      <c r="E124" s="4" t="s">
        <v>86</v>
      </c>
      <c r="F124" s="4"/>
      <c r="G124" s="49" t="s">
        <v>90</v>
      </c>
      <c r="H124" s="83" t="s">
        <v>273</v>
      </c>
      <c r="I124" s="7">
        <v>1293.1034482758621</v>
      </c>
      <c r="J124" s="4" t="s">
        <v>14</v>
      </c>
      <c r="K124" s="4" t="s">
        <v>14</v>
      </c>
      <c r="L124" s="4" t="s">
        <v>14</v>
      </c>
      <c r="M124" s="83" t="s">
        <v>222</v>
      </c>
      <c r="N124" s="4">
        <v>2025</v>
      </c>
    </row>
    <row r="125" spans="1:14">
      <c r="A125" s="4"/>
      <c r="B125" s="83" t="s">
        <v>42</v>
      </c>
      <c r="C125" s="4" t="s">
        <v>50</v>
      </c>
      <c r="D125" s="4" t="s">
        <v>19</v>
      </c>
      <c r="E125" s="4" t="s">
        <v>86</v>
      </c>
      <c r="F125" s="4"/>
      <c r="G125" s="49" t="s">
        <v>90</v>
      </c>
      <c r="H125" s="83" t="s">
        <v>273</v>
      </c>
      <c r="I125" s="7">
        <v>26425.232213793104</v>
      </c>
      <c r="J125" s="4" t="s">
        <v>14</v>
      </c>
      <c r="K125" s="4" t="s">
        <v>14</v>
      </c>
      <c r="L125" s="4" t="s">
        <v>14</v>
      </c>
      <c r="M125" s="83" t="s">
        <v>222</v>
      </c>
      <c r="N125" s="4">
        <v>2025</v>
      </c>
    </row>
    <row r="126" spans="1:14">
      <c r="A126" s="4"/>
      <c r="B126" s="4"/>
      <c r="C126" s="4"/>
      <c r="D126" s="4"/>
      <c r="E126" s="4"/>
      <c r="F126" s="4"/>
      <c r="H126" s="4"/>
      <c r="I126" s="7"/>
      <c r="J126" s="4"/>
      <c r="K126" s="4"/>
      <c r="L126" s="4"/>
      <c r="M126" s="4"/>
      <c r="N126" s="4"/>
    </row>
    <row r="127" spans="1:14">
      <c r="A127" s="4"/>
      <c r="B127" s="4"/>
      <c r="C127" s="4"/>
      <c r="D127" s="4"/>
      <c r="E127" s="4"/>
      <c r="F127" s="4"/>
      <c r="H127" s="4"/>
      <c r="I127" s="7"/>
      <c r="J127" s="4"/>
      <c r="K127" s="4"/>
      <c r="L127" s="4"/>
      <c r="M127" s="4"/>
      <c r="N127" s="4"/>
    </row>
    <row r="128" spans="1:14">
      <c r="A128" s="4"/>
      <c r="B128" s="4"/>
      <c r="C128" s="4"/>
      <c r="D128" s="4"/>
      <c r="E128" s="4"/>
      <c r="F128" s="4"/>
      <c r="H128" s="4"/>
      <c r="I128" s="7"/>
      <c r="J128" s="4"/>
      <c r="K128" s="4"/>
      <c r="L128" s="4"/>
      <c r="M128" s="4"/>
      <c r="N128" s="4"/>
    </row>
    <row r="129" spans="1:14">
      <c r="A129" s="4"/>
      <c r="B129" s="4"/>
      <c r="C129" s="4"/>
      <c r="D129" s="4"/>
      <c r="E129" s="4"/>
      <c r="F129" s="4"/>
      <c r="H129" s="4"/>
      <c r="I129" s="7"/>
      <c r="J129" s="4"/>
      <c r="K129" s="4"/>
      <c r="L129" s="4"/>
      <c r="M129" s="4"/>
      <c r="N129" s="4"/>
    </row>
    <row r="130" spans="1:14">
      <c r="A130" s="4"/>
      <c r="B130" s="4"/>
      <c r="C130" s="4"/>
      <c r="D130" s="4"/>
      <c r="E130" s="4"/>
      <c r="F130" s="4"/>
      <c r="H130" s="4"/>
      <c r="I130" s="7"/>
      <c r="J130" s="4"/>
      <c r="K130" s="4"/>
      <c r="L130" s="4"/>
      <c r="M130" s="4"/>
      <c r="N130" s="4"/>
    </row>
    <row r="131" spans="1:14">
      <c r="A131" s="4"/>
      <c r="B131" s="4"/>
      <c r="C131" s="4"/>
      <c r="D131" s="4"/>
      <c r="E131" s="4"/>
      <c r="F131" s="4"/>
      <c r="H131" s="4"/>
      <c r="I131" s="7"/>
      <c r="J131" s="4"/>
      <c r="K131" s="4"/>
      <c r="L131" s="4"/>
      <c r="M131" s="4"/>
      <c r="N131" s="4"/>
    </row>
    <row r="132" spans="1:14">
      <c r="A132" s="4"/>
      <c r="B132" s="4"/>
      <c r="C132" s="4"/>
      <c r="D132" s="4"/>
      <c r="E132" s="4"/>
      <c r="F132" s="4"/>
      <c r="H132" s="4"/>
      <c r="I132" s="7"/>
      <c r="J132" s="4"/>
      <c r="K132" s="4"/>
      <c r="L132" s="4"/>
      <c r="M132" s="4"/>
      <c r="N132" s="4"/>
    </row>
    <row r="133" spans="1:14">
      <c r="A133" s="4"/>
      <c r="B133" s="4"/>
      <c r="C133" s="4"/>
      <c r="D133" s="4"/>
      <c r="E133" s="4"/>
      <c r="F133" s="4"/>
      <c r="H133" s="4"/>
      <c r="I133" s="7"/>
      <c r="J133" s="4"/>
      <c r="K133" s="4"/>
      <c r="L133" s="4"/>
      <c r="M133" s="4"/>
      <c r="N133" s="4"/>
    </row>
    <row r="134" spans="1:14">
      <c r="A134" s="4"/>
      <c r="B134" s="4"/>
      <c r="C134" s="4"/>
      <c r="D134" s="4"/>
      <c r="E134" s="4"/>
      <c r="F134" s="4"/>
      <c r="H134" s="4"/>
      <c r="I134" s="7"/>
      <c r="J134" s="4"/>
      <c r="K134" s="4"/>
      <c r="L134" s="4"/>
      <c r="M134" s="4"/>
      <c r="N134" s="4"/>
    </row>
    <row r="135" spans="1:14">
      <c r="A135" s="4"/>
      <c r="B135" s="4"/>
      <c r="C135" s="4"/>
      <c r="D135" s="4"/>
      <c r="E135" s="4"/>
      <c r="F135" s="4"/>
      <c r="H135" s="4"/>
      <c r="I135" s="7"/>
      <c r="J135" s="4"/>
      <c r="K135" s="4"/>
      <c r="L135" s="4"/>
      <c r="M135" s="4"/>
      <c r="N135" s="4"/>
    </row>
    <row r="136" spans="1:14">
      <c r="A136" s="4"/>
      <c r="B136" s="4"/>
      <c r="C136" s="4"/>
      <c r="D136" s="4"/>
      <c r="E136" s="4"/>
      <c r="F136" s="4"/>
      <c r="H136" s="4"/>
      <c r="I136" s="7"/>
      <c r="J136" s="4"/>
      <c r="K136" s="4"/>
      <c r="L136" s="4"/>
      <c r="M136" s="4"/>
      <c r="N136" s="4"/>
    </row>
    <row r="137" spans="1:14">
      <c r="A137" s="4"/>
      <c r="B137" s="4"/>
      <c r="C137" s="4"/>
      <c r="D137" s="4"/>
      <c r="E137" s="4"/>
      <c r="F137" s="4"/>
      <c r="H137" s="4"/>
      <c r="I137" s="7"/>
      <c r="J137" s="4"/>
      <c r="K137" s="4"/>
      <c r="L137" s="4"/>
      <c r="M137" s="4"/>
      <c r="N137" s="4"/>
    </row>
    <row r="138" spans="1:14">
      <c r="A138" s="4"/>
      <c r="B138" s="4"/>
      <c r="C138" s="4"/>
      <c r="D138" s="4"/>
      <c r="E138" s="4"/>
      <c r="F138" s="4"/>
      <c r="H138" s="4"/>
      <c r="I138" s="7"/>
      <c r="J138" s="4"/>
      <c r="K138" s="4"/>
      <c r="L138" s="4"/>
      <c r="M138" s="4"/>
      <c r="N138" s="4"/>
    </row>
    <row r="139" spans="1:14">
      <c r="A139" s="4"/>
      <c r="B139" s="4"/>
      <c r="C139" s="4"/>
      <c r="D139" s="4"/>
      <c r="E139" s="4"/>
      <c r="F139" s="4"/>
      <c r="H139" s="4"/>
      <c r="I139" s="7"/>
      <c r="J139" s="4"/>
      <c r="K139" s="4"/>
      <c r="L139" s="4"/>
      <c r="M139" s="4"/>
      <c r="N139" s="4"/>
    </row>
    <row r="140" spans="1:14">
      <c r="A140" s="4"/>
      <c r="B140" s="4"/>
      <c r="C140" s="4"/>
      <c r="D140" s="4"/>
      <c r="E140" s="4"/>
      <c r="F140" s="4"/>
      <c r="H140" s="4"/>
      <c r="I140" s="7"/>
      <c r="J140" s="4"/>
      <c r="K140" s="4"/>
      <c r="L140" s="4"/>
      <c r="M140" s="4"/>
      <c r="N140" s="4"/>
    </row>
    <row r="141" spans="1:14">
      <c r="A141" s="4"/>
      <c r="B141" s="4"/>
      <c r="C141" s="4"/>
      <c r="D141" s="4"/>
      <c r="E141" s="4"/>
      <c r="F141" s="4"/>
      <c r="H141" s="4"/>
      <c r="I141" s="7"/>
      <c r="J141" s="4"/>
      <c r="K141" s="4"/>
      <c r="L141" s="4"/>
      <c r="M141" s="4"/>
      <c r="N141" s="4"/>
    </row>
    <row r="142" spans="1:14">
      <c r="A142" s="4"/>
      <c r="B142" s="4"/>
      <c r="C142" s="4"/>
      <c r="D142" s="4"/>
      <c r="E142" s="4"/>
      <c r="F142" s="4"/>
      <c r="H142" s="4"/>
      <c r="I142" s="7"/>
      <c r="J142" s="4"/>
      <c r="K142" s="4"/>
      <c r="L142" s="4"/>
      <c r="M142" s="4"/>
      <c r="N142" s="4"/>
    </row>
    <row r="143" spans="1:14">
      <c r="A143" s="4"/>
      <c r="B143" s="4"/>
      <c r="C143" s="4"/>
      <c r="D143" s="4"/>
      <c r="E143" s="4"/>
      <c r="F143" s="4"/>
      <c r="H143" s="4"/>
      <c r="I143" s="7"/>
      <c r="J143" s="4"/>
      <c r="K143" s="4"/>
      <c r="L143" s="4"/>
      <c r="M143" s="4"/>
      <c r="N143" s="4"/>
    </row>
    <row r="144" spans="1:14">
      <c r="A144" s="4"/>
      <c r="B144" s="4"/>
      <c r="C144" s="4"/>
      <c r="D144" s="4"/>
      <c r="E144" s="4"/>
      <c r="F144" s="4"/>
      <c r="H144" s="4"/>
      <c r="I144" s="7"/>
      <c r="J144" s="4"/>
      <c r="K144" s="4"/>
      <c r="L144" s="4"/>
      <c r="M144" s="4"/>
      <c r="N144" s="4"/>
    </row>
    <row r="145" spans="1:14">
      <c r="A145" s="4"/>
      <c r="B145" s="4"/>
      <c r="C145" s="4"/>
      <c r="D145" s="4"/>
      <c r="E145" s="4"/>
      <c r="F145" s="4"/>
      <c r="H145" s="4"/>
      <c r="I145" s="7"/>
      <c r="J145" s="4"/>
      <c r="K145" s="4"/>
      <c r="L145" s="4"/>
      <c r="M145" s="4"/>
      <c r="N145" s="4"/>
    </row>
    <row r="146" spans="1:14">
      <c r="A146" s="4"/>
      <c r="B146" s="4"/>
      <c r="C146" s="4"/>
      <c r="D146" s="4"/>
      <c r="E146" s="4"/>
      <c r="F146" s="4"/>
      <c r="H146" s="4"/>
      <c r="I146" s="7"/>
      <c r="J146" s="4"/>
      <c r="K146" s="4"/>
      <c r="L146" s="4"/>
      <c r="M146" s="4"/>
      <c r="N146" s="4"/>
    </row>
    <row r="147" spans="1:14">
      <c r="A147" s="4"/>
      <c r="B147" s="4"/>
      <c r="C147" s="4"/>
      <c r="D147" s="4"/>
      <c r="E147" s="4"/>
      <c r="F147" s="4"/>
      <c r="H147" s="4"/>
      <c r="I147" s="7"/>
      <c r="J147" s="4"/>
      <c r="K147" s="4"/>
      <c r="L147" s="4"/>
      <c r="M147" s="4"/>
      <c r="N147" s="4"/>
    </row>
    <row r="148" spans="1:14">
      <c r="A148" s="4"/>
      <c r="B148" s="4"/>
      <c r="C148" s="4"/>
      <c r="D148" s="4"/>
      <c r="E148" s="4"/>
      <c r="F148" s="4"/>
      <c r="H148" s="4"/>
      <c r="I148" s="7"/>
      <c r="J148" s="4"/>
      <c r="K148" s="4"/>
      <c r="L148" s="4"/>
      <c r="M148" s="4"/>
      <c r="N148" s="4"/>
    </row>
    <row r="149" spans="1:14">
      <c r="A149" s="4"/>
      <c r="B149" s="4"/>
      <c r="C149" s="4"/>
      <c r="D149" s="4"/>
      <c r="E149" s="4"/>
      <c r="F149" s="4"/>
      <c r="H149" s="4"/>
      <c r="I149" s="7"/>
      <c r="J149" s="4"/>
      <c r="K149" s="4"/>
      <c r="L149" s="4"/>
      <c r="M149" s="4"/>
      <c r="N149" s="4"/>
    </row>
    <row r="150" spans="1:14">
      <c r="A150" s="4"/>
      <c r="B150" s="4"/>
      <c r="C150" s="4"/>
      <c r="D150" s="4"/>
      <c r="E150" s="4"/>
      <c r="F150" s="4"/>
      <c r="H150" s="4"/>
      <c r="I150" s="7"/>
      <c r="J150" s="4"/>
      <c r="K150" s="4"/>
      <c r="L150" s="4"/>
      <c r="M150" s="4"/>
      <c r="N150" s="4"/>
    </row>
    <row r="151" spans="1:14">
      <c r="A151" s="4"/>
      <c r="B151" s="4"/>
      <c r="C151" s="4"/>
      <c r="D151" s="4"/>
      <c r="E151" s="4"/>
      <c r="F151" s="4"/>
      <c r="H151" s="4"/>
      <c r="I151" s="7"/>
      <c r="J151" s="4"/>
      <c r="K151" s="4"/>
      <c r="L151" s="4"/>
      <c r="M151" s="4"/>
      <c r="N151" s="4"/>
    </row>
    <row r="152" spans="1:14">
      <c r="A152" s="4"/>
      <c r="B152" s="4"/>
      <c r="C152" s="4"/>
      <c r="D152" s="4"/>
      <c r="E152" s="4"/>
      <c r="F152" s="4"/>
      <c r="H152" s="4"/>
      <c r="I152" s="7"/>
      <c r="J152" s="4"/>
      <c r="K152" s="4"/>
      <c r="L152" s="4"/>
      <c r="M152" s="4"/>
      <c r="N152" s="4"/>
    </row>
    <row r="153" spans="1:14">
      <c r="A153" s="4"/>
      <c r="B153" s="4"/>
      <c r="C153" s="4"/>
      <c r="D153" s="4"/>
      <c r="E153" s="4"/>
      <c r="F153" s="4"/>
      <c r="H153" s="4"/>
      <c r="I153" s="7"/>
      <c r="J153" s="4"/>
      <c r="K153" s="4"/>
      <c r="L153" s="4"/>
      <c r="M153" s="4"/>
      <c r="N153" s="4"/>
    </row>
    <row r="154" spans="1:14">
      <c r="A154" s="4"/>
      <c r="B154" s="4"/>
      <c r="C154" s="4"/>
      <c r="D154" s="4"/>
      <c r="E154" s="4"/>
      <c r="F154" s="4"/>
      <c r="H154" s="4"/>
      <c r="I154" s="7"/>
      <c r="J154" s="4"/>
      <c r="K154" s="4"/>
      <c r="L154" s="4"/>
      <c r="M154" s="4"/>
      <c r="N154" s="4"/>
    </row>
    <row r="155" spans="1:14">
      <c r="A155" s="4"/>
      <c r="B155" s="4"/>
      <c r="C155" s="4"/>
      <c r="D155" s="4"/>
      <c r="E155" s="4"/>
      <c r="F155" s="4"/>
      <c r="H155" s="4"/>
      <c r="I155" s="7"/>
      <c r="J155" s="4"/>
      <c r="K155" s="4"/>
      <c r="L155" s="4"/>
      <c r="M155" s="4"/>
      <c r="N155" s="4"/>
    </row>
    <row r="156" spans="1:14">
      <c r="A156" s="4"/>
      <c r="B156" s="4"/>
      <c r="C156" s="4"/>
      <c r="D156" s="4"/>
      <c r="E156" s="4"/>
      <c r="F156" s="4"/>
      <c r="H156" s="4"/>
      <c r="I156" s="7"/>
      <c r="J156" s="4"/>
      <c r="K156" s="4"/>
      <c r="L156" s="4"/>
      <c r="M156" s="4"/>
      <c r="N156" s="4"/>
    </row>
    <row r="157" spans="1:14">
      <c r="A157" s="4"/>
      <c r="B157" s="4"/>
      <c r="C157" s="4"/>
      <c r="D157" s="4"/>
      <c r="E157" s="4"/>
      <c r="F157" s="4"/>
      <c r="H157" s="4"/>
      <c r="I157" s="7"/>
      <c r="J157" s="4"/>
      <c r="K157" s="4"/>
      <c r="L157" s="4"/>
      <c r="M157" s="4"/>
      <c r="N157" s="4"/>
    </row>
    <row r="158" spans="1:14">
      <c r="A158" s="4"/>
      <c r="B158" s="4"/>
      <c r="C158" s="4"/>
      <c r="D158" s="4"/>
      <c r="E158" s="4"/>
      <c r="F158" s="4"/>
      <c r="H158" s="4"/>
      <c r="I158" s="7"/>
      <c r="J158" s="4"/>
      <c r="K158" s="4"/>
      <c r="L158" s="4"/>
      <c r="M158" s="4"/>
      <c r="N158" s="4"/>
    </row>
    <row r="159" spans="1:14">
      <c r="A159" s="4"/>
      <c r="B159" s="4"/>
      <c r="C159" s="4"/>
      <c r="D159" s="4"/>
      <c r="E159" s="4"/>
      <c r="F159" s="4"/>
      <c r="H159" s="4"/>
      <c r="I159" s="7"/>
      <c r="J159" s="4"/>
      <c r="K159" s="4"/>
      <c r="L159" s="4"/>
      <c r="M159" s="4"/>
      <c r="N159" s="4"/>
    </row>
    <row r="160" spans="1:14">
      <c r="A160" s="4"/>
      <c r="B160" s="4"/>
      <c r="C160" s="4"/>
      <c r="D160" s="4"/>
      <c r="E160" s="4"/>
      <c r="F160" s="4"/>
      <c r="H160" s="4"/>
      <c r="I160" s="7"/>
      <c r="J160" s="4"/>
      <c r="K160" s="4"/>
      <c r="L160" s="4"/>
      <c r="M160" s="4"/>
      <c r="N160" s="4"/>
    </row>
    <row r="161" spans="1:14">
      <c r="A161" s="4"/>
      <c r="B161" s="4"/>
      <c r="C161" s="4"/>
      <c r="D161" s="4"/>
      <c r="E161" s="4"/>
      <c r="F161" s="4"/>
      <c r="H161" s="4"/>
      <c r="I161" s="7"/>
      <c r="J161" s="4"/>
      <c r="K161" s="4"/>
      <c r="L161" s="4"/>
      <c r="M161" s="4"/>
      <c r="N161" s="4"/>
    </row>
    <row r="162" spans="1:14">
      <c r="A162" s="4"/>
      <c r="B162" s="4"/>
      <c r="C162" s="4"/>
      <c r="D162" s="4"/>
      <c r="E162" s="4"/>
      <c r="F162" s="4"/>
      <c r="H162" s="4"/>
      <c r="I162" s="7"/>
      <c r="J162" s="4"/>
      <c r="K162" s="4"/>
      <c r="L162" s="4"/>
      <c r="M162" s="4"/>
      <c r="N162" s="4"/>
    </row>
    <row r="163" spans="1:14">
      <c r="A163" s="4"/>
      <c r="B163" s="4"/>
      <c r="C163" s="4"/>
      <c r="D163" s="4"/>
      <c r="E163" s="4"/>
      <c r="F163" s="4"/>
      <c r="H163" s="4"/>
      <c r="I163" s="7"/>
      <c r="J163" s="4"/>
      <c r="K163" s="4"/>
      <c r="L163" s="4"/>
      <c r="M163" s="4"/>
      <c r="N163" s="4"/>
    </row>
    <row r="164" spans="1:14">
      <c r="A164" s="4"/>
      <c r="B164" s="4"/>
      <c r="C164" s="4"/>
      <c r="D164" s="4"/>
      <c r="E164" s="4"/>
      <c r="F164" s="4"/>
      <c r="H164" s="4"/>
      <c r="I164" s="7"/>
      <c r="J164" s="4"/>
      <c r="K164" s="4"/>
      <c r="L164" s="4"/>
      <c r="M164" s="4"/>
      <c r="N164" s="4"/>
    </row>
    <row r="165" spans="1:14">
      <c r="A165" s="4"/>
      <c r="B165" s="4"/>
      <c r="C165" s="4"/>
      <c r="D165" s="4"/>
      <c r="E165" s="4"/>
      <c r="F165" s="4"/>
      <c r="H165" s="4"/>
      <c r="I165" s="7"/>
      <c r="J165" s="4"/>
      <c r="K165" s="4"/>
      <c r="L165" s="4"/>
      <c r="M165" s="4"/>
      <c r="N165" s="4"/>
    </row>
    <row r="166" spans="1:14">
      <c r="A166" s="4"/>
      <c r="B166" s="4"/>
      <c r="C166" s="4"/>
      <c r="D166" s="4"/>
      <c r="E166" s="4"/>
      <c r="F166" s="4"/>
      <c r="H166" s="4"/>
      <c r="I166" s="7"/>
      <c r="J166" s="4"/>
      <c r="K166" s="4"/>
      <c r="L166" s="4"/>
      <c r="M166" s="4"/>
      <c r="N166" s="4"/>
    </row>
    <row r="167" spans="1:14">
      <c r="A167" s="4"/>
      <c r="B167" s="4"/>
      <c r="C167" s="4"/>
      <c r="D167" s="4"/>
      <c r="E167" s="4"/>
      <c r="F167" s="4"/>
      <c r="H167" s="4"/>
      <c r="I167" s="7"/>
      <c r="J167" s="4"/>
      <c r="K167" s="4"/>
      <c r="L167" s="4"/>
      <c r="M167" s="4"/>
      <c r="N167" s="4"/>
    </row>
    <row r="168" spans="1:14">
      <c r="A168" s="4"/>
      <c r="B168" s="4"/>
      <c r="C168" s="4"/>
      <c r="D168" s="4"/>
      <c r="E168" s="4"/>
      <c r="F168" s="4"/>
      <c r="H168" s="4"/>
      <c r="I168" s="7"/>
      <c r="J168" s="4"/>
      <c r="K168" s="4"/>
      <c r="L168" s="4"/>
      <c r="M168" s="4"/>
      <c r="N168" s="4"/>
    </row>
    <row r="169" spans="1:14">
      <c r="A169" s="4"/>
      <c r="B169" s="4"/>
      <c r="C169" s="4"/>
      <c r="D169" s="4"/>
      <c r="E169" s="4"/>
      <c r="F169" s="4"/>
      <c r="H169" s="4"/>
      <c r="I169" s="7"/>
      <c r="J169" s="4"/>
      <c r="K169" s="4"/>
      <c r="L169" s="4"/>
      <c r="M169" s="4"/>
      <c r="N169" s="4"/>
    </row>
    <row r="170" spans="1:14">
      <c r="A170" s="4"/>
      <c r="B170" s="4"/>
      <c r="C170" s="4"/>
      <c r="D170" s="4"/>
      <c r="E170" s="4"/>
      <c r="F170" s="4"/>
      <c r="H170" s="4"/>
      <c r="I170" s="7"/>
      <c r="J170" s="4"/>
      <c r="K170" s="4"/>
      <c r="L170" s="4"/>
      <c r="M170" s="4"/>
      <c r="N170" s="4"/>
    </row>
    <row r="171" spans="1:14">
      <c r="A171" s="4"/>
      <c r="B171" s="4"/>
      <c r="C171" s="4"/>
      <c r="D171" s="4"/>
      <c r="E171" s="4"/>
      <c r="F171" s="4"/>
      <c r="H171" s="4"/>
      <c r="I171" s="7"/>
      <c r="J171" s="4"/>
      <c r="K171" s="4"/>
      <c r="L171" s="4"/>
      <c r="M171" s="4"/>
      <c r="N171" s="4"/>
    </row>
    <row r="172" spans="1:14">
      <c r="A172" s="4"/>
      <c r="B172" s="4"/>
      <c r="C172" s="4"/>
      <c r="D172" s="4"/>
      <c r="E172" s="4"/>
      <c r="F172" s="4"/>
      <c r="H172" s="4"/>
      <c r="I172" s="7"/>
      <c r="J172" s="4"/>
      <c r="K172" s="4"/>
      <c r="L172" s="4"/>
      <c r="M172" s="4"/>
      <c r="N172" s="4"/>
    </row>
    <row r="173" spans="1:14">
      <c r="A173" s="4"/>
      <c r="B173" s="4"/>
      <c r="C173" s="4"/>
      <c r="D173" s="4"/>
      <c r="E173" s="4"/>
      <c r="F173" s="4"/>
      <c r="H173" s="4"/>
      <c r="I173" s="7"/>
      <c r="J173" s="4"/>
      <c r="K173" s="4"/>
      <c r="L173" s="4"/>
      <c r="M173" s="4"/>
      <c r="N173" s="4"/>
    </row>
    <row r="174" spans="1:14">
      <c r="A174" s="4"/>
      <c r="B174" s="4"/>
      <c r="C174" s="4"/>
      <c r="D174" s="4"/>
      <c r="E174" s="4"/>
      <c r="F174" s="4"/>
      <c r="H174" s="4"/>
      <c r="I174" s="7"/>
      <c r="J174" s="4"/>
      <c r="K174" s="4"/>
      <c r="L174" s="4"/>
      <c r="M174" s="4"/>
      <c r="N174" s="4"/>
    </row>
    <row r="175" spans="1:14">
      <c r="A175" s="4"/>
      <c r="B175" s="4"/>
      <c r="C175" s="4"/>
      <c r="D175" s="4"/>
      <c r="E175" s="4"/>
      <c r="F175" s="4"/>
      <c r="H175" s="4"/>
      <c r="I175" s="7"/>
      <c r="J175" s="4"/>
      <c r="K175" s="4"/>
      <c r="L175" s="4"/>
      <c r="M175" s="4"/>
      <c r="N175" s="4"/>
    </row>
    <row r="176" spans="1:14">
      <c r="A176" s="4"/>
      <c r="B176" s="4"/>
      <c r="C176" s="4"/>
      <c r="D176" s="4"/>
      <c r="E176" s="4"/>
      <c r="F176" s="4"/>
      <c r="H176" s="4"/>
      <c r="I176" s="7"/>
      <c r="J176" s="4"/>
      <c r="K176" s="4"/>
      <c r="L176" s="4"/>
      <c r="M176" s="4"/>
      <c r="N176" s="4"/>
    </row>
    <row r="177" spans="1:14">
      <c r="A177" s="4"/>
      <c r="B177" s="4"/>
      <c r="C177" s="4"/>
      <c r="D177" s="4"/>
      <c r="E177" s="4"/>
      <c r="F177" s="4"/>
      <c r="H177" s="4"/>
      <c r="I177" s="7"/>
      <c r="J177" s="4"/>
      <c r="K177" s="4"/>
      <c r="L177" s="4"/>
      <c r="M177" s="4"/>
      <c r="N177" s="4"/>
    </row>
    <row r="178" spans="1:14">
      <c r="A178" s="4"/>
      <c r="B178" s="4"/>
      <c r="C178" s="4"/>
      <c r="D178" s="4"/>
      <c r="E178" s="4"/>
      <c r="F178" s="4"/>
      <c r="H178" s="4"/>
      <c r="I178" s="7"/>
      <c r="J178" s="4"/>
      <c r="K178" s="4"/>
      <c r="L178" s="4"/>
      <c r="M178" s="4"/>
      <c r="N178" s="4"/>
    </row>
    <row r="179" spans="1:14">
      <c r="A179" s="4"/>
      <c r="B179" s="4"/>
      <c r="C179" s="4"/>
      <c r="D179" s="4"/>
      <c r="E179" s="4"/>
      <c r="F179" s="4"/>
      <c r="H179" s="4"/>
      <c r="I179" s="7"/>
      <c r="J179" s="4"/>
      <c r="K179" s="4"/>
      <c r="L179" s="4"/>
      <c r="M179" s="4"/>
      <c r="N179" s="4"/>
    </row>
    <row r="180" spans="1:14">
      <c r="A180" s="4"/>
      <c r="B180" s="4"/>
      <c r="C180" s="4"/>
      <c r="D180" s="4"/>
      <c r="E180" s="4"/>
      <c r="F180" s="4"/>
      <c r="H180" s="4"/>
      <c r="I180" s="7"/>
      <c r="J180" s="4"/>
      <c r="K180" s="4"/>
      <c r="L180" s="4"/>
      <c r="M180" s="4"/>
      <c r="N180" s="4"/>
    </row>
    <row r="181" spans="1:14">
      <c r="A181" s="4"/>
      <c r="B181" s="4"/>
      <c r="C181" s="4"/>
      <c r="D181" s="4"/>
      <c r="E181" s="4"/>
      <c r="F181" s="4"/>
      <c r="H181" s="4"/>
      <c r="I181" s="7"/>
      <c r="J181" s="4"/>
      <c r="K181" s="4"/>
      <c r="L181" s="4"/>
      <c r="M181" s="4"/>
      <c r="N181" s="4"/>
    </row>
    <row r="182" spans="1:14">
      <c r="A182" s="4"/>
      <c r="B182" s="4"/>
      <c r="C182" s="4"/>
      <c r="D182" s="4"/>
      <c r="E182" s="4"/>
      <c r="F182" s="4"/>
      <c r="H182" s="4"/>
      <c r="I182" s="7"/>
      <c r="J182" s="4"/>
      <c r="K182" s="4"/>
      <c r="L182" s="4"/>
      <c r="M182" s="4"/>
      <c r="N182" s="4"/>
    </row>
    <row r="183" spans="1:14">
      <c r="A183" s="4"/>
      <c r="B183" s="4"/>
      <c r="C183" s="4"/>
      <c r="D183" s="4"/>
      <c r="E183" s="4"/>
      <c r="F183" s="4"/>
      <c r="H183" s="4"/>
      <c r="I183" s="7"/>
      <c r="J183" s="4"/>
      <c r="K183" s="4"/>
      <c r="L183" s="4"/>
      <c r="M183" s="4"/>
      <c r="N183" s="4"/>
    </row>
    <row r="184" spans="1:14">
      <c r="A184" s="4"/>
      <c r="B184" s="4"/>
      <c r="C184" s="4"/>
      <c r="D184" s="4"/>
      <c r="E184" s="4"/>
      <c r="F184" s="4"/>
      <c r="H184" s="4"/>
      <c r="I184" s="7"/>
      <c r="J184" s="4"/>
      <c r="K184" s="4"/>
      <c r="L184" s="4"/>
      <c r="M184" s="4"/>
      <c r="N184" s="4"/>
    </row>
    <row r="185" spans="1:14">
      <c r="A185" s="4"/>
      <c r="B185" s="4"/>
      <c r="C185" s="4"/>
      <c r="D185" s="4"/>
      <c r="E185" s="4"/>
      <c r="F185" s="4"/>
      <c r="H185" s="4"/>
      <c r="I185" s="7"/>
      <c r="J185" s="4"/>
      <c r="K185" s="4"/>
      <c r="L185" s="4"/>
      <c r="M185" s="4"/>
      <c r="N185" s="4"/>
    </row>
    <row r="186" spans="1:14">
      <c r="A186" s="4"/>
      <c r="B186" s="4"/>
      <c r="C186" s="4"/>
      <c r="D186" s="4"/>
      <c r="E186" s="4"/>
      <c r="F186" s="4"/>
      <c r="H186" s="4"/>
      <c r="I186" s="7"/>
      <c r="J186" s="4"/>
      <c r="K186" s="4"/>
      <c r="L186" s="4"/>
      <c r="M186" s="4"/>
      <c r="N186" s="4"/>
    </row>
    <row r="187" spans="1:14">
      <c r="A187" s="4"/>
      <c r="B187" s="4"/>
      <c r="C187" s="4"/>
      <c r="D187" s="4"/>
      <c r="E187" s="4"/>
      <c r="F187" s="4"/>
      <c r="H187" s="4"/>
      <c r="I187" s="7"/>
      <c r="J187" s="4"/>
      <c r="K187" s="4"/>
      <c r="L187" s="4"/>
      <c r="M187" s="4"/>
      <c r="N187" s="4"/>
    </row>
    <row r="188" spans="1:14">
      <c r="A188" s="4"/>
      <c r="B188" s="4"/>
      <c r="C188" s="4"/>
      <c r="D188" s="4"/>
      <c r="E188" s="4"/>
      <c r="F188" s="4"/>
      <c r="H188" s="4"/>
      <c r="I188" s="7"/>
      <c r="J188" s="4"/>
      <c r="K188" s="4"/>
      <c r="L188" s="4"/>
      <c r="M188" s="4"/>
      <c r="N188" s="4"/>
    </row>
    <row r="189" spans="1:14">
      <c r="A189" s="4"/>
      <c r="B189" s="4"/>
      <c r="C189" s="4"/>
      <c r="D189" s="4"/>
      <c r="E189" s="4"/>
      <c r="F189" s="4"/>
      <c r="H189" s="4"/>
      <c r="I189" s="7"/>
      <c r="J189" s="4"/>
      <c r="K189" s="4"/>
      <c r="L189" s="4"/>
      <c r="M189" s="4"/>
      <c r="N189" s="4"/>
    </row>
    <row r="190" spans="1:14">
      <c r="A190" s="4"/>
      <c r="B190" s="4"/>
      <c r="C190" s="4"/>
      <c r="D190" s="4"/>
      <c r="E190" s="4"/>
      <c r="F190" s="4"/>
      <c r="H190" s="4"/>
      <c r="I190" s="7"/>
      <c r="J190" s="4"/>
      <c r="K190" s="4"/>
      <c r="L190" s="4"/>
      <c r="M190" s="4"/>
      <c r="N190" s="4"/>
    </row>
    <row r="191" spans="1:14">
      <c r="A191" s="4"/>
      <c r="B191" s="4"/>
      <c r="C191" s="4"/>
      <c r="D191" s="4"/>
      <c r="E191" s="4"/>
      <c r="F191" s="4"/>
      <c r="H191" s="4"/>
      <c r="I191" s="7"/>
      <c r="J191" s="4"/>
      <c r="K191" s="4"/>
      <c r="L191" s="4"/>
      <c r="M191" s="4"/>
      <c r="N191" s="4"/>
    </row>
    <row r="192" spans="1:14">
      <c r="A192" s="4"/>
      <c r="B192" s="4"/>
      <c r="C192" s="4"/>
      <c r="D192" s="4"/>
      <c r="E192" s="4"/>
      <c r="F192" s="4"/>
      <c r="H192" s="4"/>
      <c r="I192" s="7"/>
      <c r="J192" s="4"/>
      <c r="K192" s="4"/>
      <c r="L192" s="4"/>
      <c r="M192" s="4"/>
      <c r="N192" s="4"/>
    </row>
    <row r="193" spans="1:14">
      <c r="A193" s="4"/>
      <c r="B193" s="4"/>
      <c r="C193" s="4"/>
      <c r="D193" s="4"/>
      <c r="E193" s="4"/>
      <c r="F193" s="4"/>
      <c r="H193" s="4"/>
      <c r="I193" s="7"/>
      <c r="J193" s="4"/>
      <c r="K193" s="4"/>
      <c r="L193" s="4"/>
      <c r="M193" s="4"/>
      <c r="N193" s="4"/>
    </row>
    <row r="194" spans="1:14">
      <c r="A194" s="4"/>
      <c r="B194" s="4"/>
      <c r="C194" s="4"/>
      <c r="D194" s="4"/>
      <c r="E194" s="4"/>
      <c r="F194" s="4"/>
      <c r="H194" s="4"/>
      <c r="I194" s="7"/>
      <c r="J194" s="4"/>
      <c r="K194" s="4"/>
      <c r="L194" s="4"/>
      <c r="M194" s="4"/>
      <c r="N194" s="4"/>
    </row>
    <row r="195" spans="1:14">
      <c r="A195" s="4"/>
      <c r="B195" s="4"/>
      <c r="C195" s="4"/>
      <c r="D195" s="4"/>
      <c r="E195" s="4"/>
      <c r="F195" s="4"/>
      <c r="H195" s="4"/>
      <c r="I195" s="7"/>
      <c r="J195" s="4"/>
      <c r="K195" s="4"/>
      <c r="L195" s="4"/>
      <c r="M195" s="4"/>
      <c r="N195" s="4"/>
    </row>
    <row r="196" spans="1:14">
      <c r="A196" s="4"/>
      <c r="B196" s="4"/>
      <c r="C196" s="4"/>
      <c r="D196" s="4"/>
      <c r="E196" s="4"/>
      <c r="F196" s="4"/>
      <c r="H196" s="4"/>
      <c r="I196" s="7"/>
      <c r="J196" s="4"/>
      <c r="K196" s="4"/>
      <c r="L196" s="4"/>
      <c r="M196" s="4"/>
      <c r="N196" s="4"/>
    </row>
    <row r="197" spans="1:14">
      <c r="A197" s="4"/>
      <c r="B197" s="4"/>
      <c r="C197" s="4"/>
      <c r="D197" s="4"/>
      <c r="E197" s="4"/>
      <c r="F197" s="4"/>
      <c r="H197" s="4"/>
      <c r="I197" s="7"/>
      <c r="J197" s="4"/>
      <c r="K197" s="4"/>
      <c r="L197" s="4"/>
      <c r="M197" s="4"/>
      <c r="N197" s="4"/>
    </row>
    <row r="198" spans="1:14">
      <c r="A198" s="4"/>
      <c r="B198" s="4"/>
      <c r="C198" s="4"/>
      <c r="D198" s="4"/>
      <c r="E198" s="4"/>
      <c r="F198" s="4"/>
      <c r="H198" s="4"/>
      <c r="I198" s="7"/>
      <c r="J198" s="4"/>
      <c r="K198" s="4"/>
      <c r="L198" s="4"/>
      <c r="M198" s="4"/>
      <c r="N198" s="4"/>
    </row>
    <row r="199" spans="1:14">
      <c r="A199" s="4"/>
      <c r="B199" s="4"/>
      <c r="C199" s="4"/>
      <c r="D199" s="4"/>
      <c r="E199" s="4"/>
      <c r="F199" s="4"/>
      <c r="H199" s="4"/>
      <c r="I199" s="7"/>
      <c r="J199" s="4"/>
      <c r="K199" s="4"/>
      <c r="L199" s="4"/>
      <c r="M199" s="4"/>
      <c r="N199" s="4"/>
    </row>
    <row r="200" spans="1:14">
      <c r="A200" s="4"/>
      <c r="B200" s="4"/>
      <c r="C200" s="4"/>
      <c r="D200" s="4"/>
      <c r="E200" s="4"/>
      <c r="F200" s="4"/>
      <c r="H200" s="4"/>
      <c r="I200" s="7"/>
      <c r="J200" s="4"/>
      <c r="K200" s="4"/>
      <c r="L200" s="4"/>
      <c r="M200" s="4"/>
      <c r="N200" s="4"/>
    </row>
    <row r="201" spans="1:14">
      <c r="A201" s="4"/>
      <c r="B201" s="4"/>
      <c r="C201" s="4"/>
      <c r="D201" s="4"/>
      <c r="E201" s="4"/>
      <c r="F201" s="4"/>
      <c r="H201" s="4"/>
      <c r="I201" s="7"/>
      <c r="J201" s="4"/>
      <c r="K201" s="4"/>
      <c r="L201" s="4"/>
      <c r="M201" s="4"/>
      <c r="N201" s="4"/>
    </row>
    <row r="202" spans="1:14">
      <c r="A202" s="4"/>
      <c r="B202" s="4"/>
      <c r="C202" s="4"/>
      <c r="D202" s="4"/>
      <c r="E202" s="4"/>
      <c r="F202" s="4"/>
      <c r="H202" s="4"/>
      <c r="I202" s="7"/>
      <c r="J202" s="4"/>
      <c r="K202" s="4"/>
      <c r="L202" s="4"/>
      <c r="M202" s="4"/>
      <c r="N202" s="4"/>
    </row>
    <row r="203" spans="1:14">
      <c r="A203" s="4"/>
      <c r="B203" s="4"/>
      <c r="C203" s="4"/>
      <c r="D203" s="4"/>
      <c r="E203" s="4"/>
      <c r="F203" s="4"/>
      <c r="H203" s="4"/>
      <c r="I203" s="7"/>
      <c r="J203" s="4"/>
      <c r="K203" s="4"/>
      <c r="L203" s="4"/>
      <c r="M203" s="4"/>
      <c r="N203" s="4"/>
    </row>
    <row r="204" spans="1:14">
      <c r="A204" s="4"/>
      <c r="B204" s="4"/>
      <c r="C204" s="4"/>
      <c r="D204" s="4"/>
      <c r="E204" s="4"/>
      <c r="F204" s="4"/>
      <c r="H204" s="4"/>
      <c r="I204" s="7"/>
      <c r="J204" s="4"/>
      <c r="K204" s="4"/>
      <c r="L204" s="4"/>
      <c r="M204" s="4"/>
      <c r="N204" s="4"/>
    </row>
    <row r="205" spans="1:14">
      <c r="A205" s="4"/>
      <c r="B205" s="4"/>
      <c r="C205" s="4"/>
      <c r="D205" s="4"/>
      <c r="E205" s="4"/>
      <c r="F205" s="4"/>
      <c r="H205" s="4"/>
      <c r="I205" s="7"/>
      <c r="J205" s="4"/>
      <c r="K205" s="4"/>
      <c r="L205" s="4"/>
      <c r="M205" s="4"/>
      <c r="N205" s="4"/>
    </row>
    <row r="206" spans="1:14">
      <c r="A206" s="4"/>
      <c r="B206" s="4"/>
      <c r="C206" s="4"/>
      <c r="D206" s="4"/>
      <c r="E206" s="4"/>
      <c r="F206" s="4"/>
      <c r="H206" s="4"/>
      <c r="I206" s="7"/>
      <c r="J206" s="4"/>
      <c r="K206" s="4"/>
      <c r="L206" s="4"/>
      <c r="M206" s="4"/>
      <c r="N206" s="4"/>
    </row>
    <row r="207" spans="1:14">
      <c r="A207" s="4"/>
      <c r="B207" s="4"/>
      <c r="C207" s="4"/>
      <c r="D207" s="4"/>
      <c r="E207" s="4"/>
      <c r="F207" s="4"/>
      <c r="H207" s="4"/>
      <c r="I207" s="7"/>
      <c r="J207" s="4"/>
      <c r="K207" s="4"/>
      <c r="L207" s="4"/>
      <c r="M207" s="4"/>
      <c r="N207" s="4"/>
    </row>
    <row r="208" spans="1:14">
      <c r="A208" s="4"/>
      <c r="B208" s="4"/>
      <c r="C208" s="4"/>
      <c r="D208" s="4"/>
      <c r="E208" s="4"/>
      <c r="F208" s="4"/>
      <c r="H208" s="4"/>
      <c r="I208" s="7"/>
      <c r="J208" s="4"/>
      <c r="K208" s="4"/>
      <c r="L208" s="4"/>
      <c r="M208" s="4"/>
      <c r="N208" s="4"/>
    </row>
    <row r="209" spans="1:14">
      <c r="A209" s="4"/>
      <c r="B209" s="4"/>
      <c r="C209" s="4"/>
      <c r="D209" s="4"/>
      <c r="E209" s="4"/>
      <c r="F209" s="4"/>
      <c r="H209" s="4"/>
      <c r="I209" s="7"/>
      <c r="J209" s="4"/>
      <c r="K209" s="4"/>
      <c r="L209" s="4"/>
      <c r="M209" s="4"/>
      <c r="N209" s="4"/>
    </row>
    <row r="210" spans="1:14">
      <c r="A210" s="4"/>
      <c r="B210" s="4"/>
      <c r="C210" s="4"/>
      <c r="D210" s="4"/>
      <c r="E210" s="4"/>
      <c r="F210" s="4"/>
      <c r="H210" s="4"/>
      <c r="I210" s="7"/>
      <c r="J210" s="4"/>
      <c r="K210" s="4"/>
      <c r="L210" s="4"/>
      <c r="M210" s="4"/>
      <c r="N210" s="4"/>
    </row>
    <row r="211" spans="1:14">
      <c r="A211" s="4"/>
      <c r="B211" s="4"/>
      <c r="C211" s="4"/>
      <c r="D211" s="4"/>
      <c r="E211" s="4"/>
      <c r="F211" s="4"/>
      <c r="H211" s="4"/>
      <c r="I211" s="7"/>
      <c r="J211" s="4"/>
      <c r="K211" s="4"/>
      <c r="L211" s="4"/>
      <c r="M211" s="4"/>
      <c r="N211" s="4"/>
    </row>
    <row r="212" spans="1:14">
      <c r="A212" s="4"/>
      <c r="B212" s="4"/>
      <c r="C212" s="4"/>
      <c r="D212" s="4"/>
      <c r="E212" s="4"/>
      <c r="F212" s="4"/>
      <c r="H212" s="4"/>
      <c r="I212" s="7"/>
      <c r="J212" s="4"/>
      <c r="K212" s="4"/>
      <c r="L212" s="4"/>
      <c r="M212" s="4"/>
      <c r="N212" s="4"/>
    </row>
    <row r="213" spans="1:14">
      <c r="A213" s="4"/>
      <c r="B213" s="4"/>
      <c r="C213" s="4"/>
      <c r="D213" s="4"/>
      <c r="E213" s="4"/>
      <c r="F213" s="4"/>
      <c r="H213" s="4"/>
      <c r="I213" s="7"/>
      <c r="J213" s="4"/>
      <c r="K213" s="4"/>
      <c r="L213" s="4"/>
      <c r="M213" s="4"/>
      <c r="N213" s="4"/>
    </row>
    <row r="214" spans="1:14">
      <c r="A214" s="4"/>
      <c r="B214" s="4"/>
      <c r="C214" s="4"/>
      <c r="D214" s="4"/>
      <c r="E214" s="4"/>
      <c r="F214" s="4"/>
      <c r="H214" s="4"/>
      <c r="I214" s="7"/>
      <c r="J214" s="4"/>
      <c r="K214" s="4"/>
      <c r="L214" s="4"/>
      <c r="M214" s="4"/>
      <c r="N214" s="4"/>
    </row>
    <row r="215" spans="1:14">
      <c r="A215" s="4"/>
      <c r="B215" s="4"/>
      <c r="C215" s="4"/>
      <c r="D215" s="4"/>
      <c r="E215" s="4"/>
      <c r="F215" s="4"/>
      <c r="H215" s="4"/>
      <c r="I215" s="7"/>
      <c r="J215" s="4"/>
      <c r="K215" s="4"/>
      <c r="L215" s="4"/>
      <c r="M215" s="4"/>
      <c r="N215" s="4"/>
    </row>
    <row r="216" spans="1:14">
      <c r="A216" s="4"/>
      <c r="B216" s="4"/>
      <c r="C216" s="4"/>
      <c r="D216" s="4"/>
      <c r="E216" s="4"/>
      <c r="F216" s="4"/>
      <c r="H216" s="4"/>
      <c r="I216" s="7"/>
      <c r="J216" s="4"/>
      <c r="K216" s="4"/>
      <c r="L216" s="4"/>
      <c r="M216" s="4"/>
      <c r="N216" s="4"/>
    </row>
    <row r="217" spans="1:14">
      <c r="A217" s="4"/>
      <c r="B217" s="4"/>
      <c r="C217" s="4"/>
      <c r="D217" s="4"/>
      <c r="E217" s="4"/>
      <c r="F217" s="4"/>
      <c r="H217" s="4"/>
      <c r="I217" s="7"/>
      <c r="J217" s="4"/>
      <c r="K217" s="4"/>
      <c r="L217" s="4"/>
      <c r="M217" s="4"/>
      <c r="N217" s="4"/>
    </row>
    <row r="218" spans="1:14">
      <c r="A218" s="4"/>
      <c r="B218" s="4"/>
      <c r="C218" s="4"/>
      <c r="D218" s="4"/>
      <c r="E218" s="4"/>
      <c r="F218" s="4"/>
      <c r="H218" s="4"/>
      <c r="I218" s="7"/>
      <c r="J218" s="4"/>
      <c r="K218" s="4"/>
      <c r="L218" s="4"/>
      <c r="M218" s="4"/>
      <c r="N218" s="4"/>
    </row>
    <row r="219" spans="1:14">
      <c r="A219" s="4"/>
      <c r="B219" s="4"/>
      <c r="C219" s="4"/>
      <c r="D219" s="4"/>
      <c r="E219" s="4"/>
      <c r="F219" s="4"/>
      <c r="H219" s="4"/>
      <c r="I219" s="7"/>
      <c r="J219" s="4"/>
      <c r="K219" s="4"/>
      <c r="L219" s="4"/>
      <c r="M219" s="4"/>
      <c r="N219" s="4"/>
    </row>
    <row r="220" spans="1:14">
      <c r="A220" s="4"/>
      <c r="B220" s="4"/>
      <c r="C220" s="4"/>
      <c r="D220" s="4"/>
      <c r="E220" s="4"/>
      <c r="F220" s="4"/>
      <c r="H220" s="4"/>
      <c r="I220" s="7"/>
      <c r="J220" s="4"/>
      <c r="K220" s="4"/>
      <c r="L220" s="4"/>
      <c r="M220" s="4"/>
      <c r="N220" s="4"/>
    </row>
    <row r="221" spans="1:14">
      <c r="A221" s="4"/>
      <c r="B221" s="4"/>
      <c r="C221" s="4"/>
      <c r="D221" s="4"/>
      <c r="E221" s="4"/>
      <c r="F221" s="4"/>
      <c r="H221" s="4"/>
      <c r="I221" s="7"/>
      <c r="J221" s="4"/>
      <c r="K221" s="4"/>
      <c r="L221" s="4"/>
      <c r="M221" s="4"/>
      <c r="N221" s="4"/>
    </row>
    <row r="222" spans="1:14">
      <c r="A222" s="4"/>
      <c r="B222" s="4"/>
      <c r="C222" s="4"/>
      <c r="D222" s="4"/>
      <c r="E222" s="4"/>
      <c r="F222" s="4"/>
      <c r="H222" s="4"/>
      <c r="I222" s="7"/>
      <c r="J222" s="4"/>
      <c r="K222" s="4"/>
      <c r="L222" s="4"/>
      <c r="M222" s="4"/>
      <c r="N222" s="4"/>
    </row>
    <row r="223" spans="1:14">
      <c r="A223" s="4"/>
      <c r="B223" s="4"/>
      <c r="C223" s="4"/>
      <c r="D223" s="4"/>
      <c r="E223" s="4"/>
      <c r="F223" s="4"/>
      <c r="H223" s="4"/>
      <c r="I223" s="7"/>
      <c r="J223" s="4"/>
      <c r="K223" s="4"/>
      <c r="L223" s="4"/>
      <c r="M223" s="4"/>
      <c r="N223" s="4"/>
    </row>
    <row r="224" spans="1:14">
      <c r="A224" s="4"/>
      <c r="B224" s="4"/>
      <c r="C224" s="4"/>
      <c r="D224" s="4"/>
      <c r="E224" s="4"/>
      <c r="F224" s="4"/>
      <c r="H224" s="4"/>
      <c r="I224" s="7"/>
      <c r="J224" s="4"/>
      <c r="K224" s="4"/>
      <c r="L224" s="4"/>
      <c r="M224" s="4"/>
      <c r="N224" s="4"/>
    </row>
    <row r="225" spans="1:14">
      <c r="A225" s="4"/>
      <c r="B225" s="4"/>
      <c r="C225" s="4"/>
      <c r="D225" s="4"/>
      <c r="E225" s="4"/>
      <c r="F225" s="4"/>
      <c r="H225" s="4"/>
      <c r="I225" s="7"/>
      <c r="J225" s="4"/>
      <c r="K225" s="4"/>
      <c r="L225" s="4"/>
      <c r="M225" s="4"/>
      <c r="N225" s="4"/>
    </row>
    <row r="226" spans="1:14">
      <c r="A226" s="4"/>
      <c r="B226" s="4"/>
      <c r="C226" s="4"/>
      <c r="D226" s="4"/>
      <c r="E226" s="4"/>
      <c r="F226" s="4"/>
      <c r="H226" s="4"/>
      <c r="I226" s="7"/>
      <c r="J226" s="4"/>
      <c r="K226" s="4"/>
      <c r="L226" s="4"/>
      <c r="M226" s="4"/>
      <c r="N226" s="4"/>
    </row>
    <row r="227" spans="1:14">
      <c r="A227" s="4"/>
      <c r="B227" s="4"/>
      <c r="C227" s="4"/>
      <c r="D227" s="4"/>
      <c r="E227" s="4"/>
      <c r="F227" s="4"/>
      <c r="H227" s="4"/>
      <c r="I227" s="7"/>
      <c r="J227" s="4"/>
      <c r="K227" s="4"/>
      <c r="L227" s="4"/>
      <c r="M227" s="4"/>
      <c r="N227" s="4"/>
    </row>
    <row r="228" spans="1:14">
      <c r="A228" s="4"/>
      <c r="B228" s="4"/>
      <c r="C228" s="4"/>
      <c r="D228" s="4"/>
      <c r="E228" s="4"/>
      <c r="F228" s="4"/>
      <c r="H228" s="4"/>
      <c r="I228" s="7"/>
      <c r="J228" s="4"/>
      <c r="K228" s="4"/>
      <c r="L228" s="4"/>
      <c r="M228" s="4"/>
      <c r="N228" s="4"/>
    </row>
    <row r="229" spans="1:14">
      <c r="A229" s="4"/>
      <c r="B229" s="4"/>
      <c r="C229" s="4"/>
      <c r="D229" s="4"/>
      <c r="E229" s="4"/>
      <c r="F229" s="4"/>
      <c r="H229" s="4"/>
      <c r="I229" s="7"/>
      <c r="J229" s="4"/>
      <c r="K229" s="4"/>
      <c r="L229" s="4"/>
      <c r="M229" s="4"/>
      <c r="N229" s="4"/>
    </row>
    <row r="230" spans="1:14">
      <c r="A230" s="4"/>
      <c r="B230" s="4"/>
      <c r="C230" s="4"/>
      <c r="D230" s="4"/>
      <c r="E230" s="4"/>
      <c r="F230" s="4"/>
      <c r="H230" s="4"/>
      <c r="I230" s="7"/>
      <c r="J230" s="4"/>
      <c r="K230" s="4"/>
      <c r="L230" s="4"/>
      <c r="M230" s="4"/>
      <c r="N230" s="4"/>
    </row>
    <row r="231" spans="1:14">
      <c r="A231" s="4"/>
      <c r="B231" s="4"/>
      <c r="C231" s="4"/>
      <c r="D231" s="4"/>
      <c r="E231" s="4"/>
      <c r="F231" s="4"/>
      <c r="H231" s="4"/>
      <c r="I231" s="7"/>
      <c r="J231" s="4"/>
      <c r="K231" s="4"/>
      <c r="L231" s="4"/>
      <c r="M231" s="4"/>
      <c r="N231" s="4"/>
    </row>
    <row r="232" spans="1:14">
      <c r="A232" s="4"/>
      <c r="B232" s="4"/>
      <c r="C232" s="4"/>
      <c r="D232" s="4"/>
      <c r="E232" s="4"/>
      <c r="F232" s="4"/>
      <c r="H232" s="4"/>
      <c r="I232" s="7"/>
      <c r="J232" s="4"/>
      <c r="K232" s="4"/>
      <c r="L232" s="4"/>
      <c r="M232" s="4"/>
      <c r="N232" s="4"/>
    </row>
    <row r="233" spans="1:14">
      <c r="A233" s="4"/>
      <c r="B233" s="4"/>
      <c r="C233" s="4"/>
      <c r="D233" s="4"/>
      <c r="E233" s="4"/>
      <c r="F233" s="4"/>
      <c r="H233" s="4"/>
      <c r="I233" s="7"/>
      <c r="J233" s="4"/>
      <c r="K233" s="4"/>
      <c r="L233" s="4"/>
      <c r="M233" s="4"/>
      <c r="N233" s="4"/>
    </row>
    <row r="234" spans="1:14">
      <c r="A234" s="4"/>
      <c r="B234" s="4"/>
      <c r="C234" s="4"/>
      <c r="D234" s="4"/>
      <c r="E234" s="4"/>
      <c r="F234" s="4"/>
      <c r="H234" s="4"/>
      <c r="I234" s="7"/>
      <c r="J234" s="4"/>
      <c r="K234" s="4"/>
      <c r="L234" s="4"/>
      <c r="M234" s="4"/>
      <c r="N234" s="4"/>
    </row>
    <row r="235" spans="1:14">
      <c r="A235" s="4"/>
      <c r="B235" s="4"/>
      <c r="C235" s="4"/>
      <c r="D235" s="4"/>
      <c r="E235" s="4"/>
      <c r="F235" s="4"/>
      <c r="H235" s="4"/>
      <c r="I235" s="7"/>
      <c r="J235" s="4"/>
      <c r="K235" s="4"/>
      <c r="L235" s="4"/>
      <c r="M235" s="4"/>
      <c r="N235" s="4"/>
    </row>
    <row r="236" spans="1:14">
      <c r="A236" s="4"/>
      <c r="B236" s="4"/>
      <c r="C236" s="4"/>
      <c r="D236" s="4"/>
      <c r="E236" s="4"/>
      <c r="F236" s="4"/>
      <c r="H236" s="4"/>
      <c r="I236" s="7"/>
      <c r="J236" s="4"/>
      <c r="K236" s="4"/>
      <c r="L236" s="4"/>
      <c r="M236" s="4"/>
      <c r="N236" s="4"/>
    </row>
    <row r="237" spans="1:14">
      <c r="A237" s="4"/>
      <c r="B237" s="4"/>
      <c r="C237" s="4"/>
      <c r="D237" s="4"/>
      <c r="E237" s="4"/>
      <c r="F237" s="4"/>
      <c r="H237" s="4"/>
      <c r="I237" s="7"/>
      <c r="J237" s="4"/>
      <c r="K237" s="4"/>
      <c r="L237" s="4"/>
      <c r="M237" s="4"/>
      <c r="N237" s="4"/>
    </row>
    <row r="238" spans="1:14">
      <c r="A238" s="4"/>
      <c r="B238" s="4"/>
      <c r="C238" s="4"/>
      <c r="D238" s="4"/>
      <c r="E238" s="4"/>
      <c r="F238" s="4"/>
      <c r="H238" s="4"/>
      <c r="I238" s="7"/>
      <c r="J238" s="4"/>
      <c r="K238" s="4"/>
      <c r="L238" s="4"/>
      <c r="M238" s="4"/>
      <c r="N238" s="4"/>
    </row>
    <row r="239" spans="1:14">
      <c r="A239" s="4"/>
      <c r="B239" s="4"/>
      <c r="C239" s="4"/>
      <c r="D239" s="4"/>
      <c r="E239" s="4"/>
      <c r="F239" s="4"/>
      <c r="H239" s="4"/>
      <c r="I239" s="7"/>
      <c r="J239" s="4"/>
      <c r="K239" s="4"/>
      <c r="L239" s="4"/>
      <c r="M239" s="4"/>
      <c r="N239" s="4"/>
    </row>
    <row r="240" spans="1:14">
      <c r="A240" s="4"/>
      <c r="B240" s="4"/>
      <c r="C240" s="4"/>
      <c r="D240" s="4"/>
      <c r="E240" s="4"/>
      <c r="F240" s="4"/>
      <c r="H240" s="4"/>
      <c r="I240" s="7"/>
      <c r="J240" s="4"/>
      <c r="K240" s="4"/>
      <c r="L240" s="4"/>
      <c r="M240" s="4"/>
      <c r="N240" s="4"/>
    </row>
    <row r="241" spans="1:14">
      <c r="A241" s="4"/>
      <c r="B241" s="4"/>
      <c r="C241" s="4"/>
      <c r="D241" s="4"/>
      <c r="E241" s="4"/>
      <c r="F241" s="4"/>
      <c r="H241" s="4"/>
      <c r="I241" s="7"/>
      <c r="J241" s="4"/>
      <c r="K241" s="4"/>
      <c r="L241" s="4"/>
      <c r="M241" s="4"/>
      <c r="N241" s="4"/>
    </row>
    <row r="242" spans="1:14">
      <c r="A242" s="4"/>
      <c r="B242" s="4"/>
      <c r="C242" s="4"/>
      <c r="D242" s="4"/>
      <c r="E242" s="4"/>
      <c r="F242" s="4"/>
      <c r="H242" s="4"/>
      <c r="I242" s="7"/>
      <c r="J242" s="4"/>
      <c r="K242" s="4"/>
      <c r="L242" s="4"/>
      <c r="M242" s="4"/>
      <c r="N242" s="4"/>
    </row>
    <row r="243" spans="1:14">
      <c r="A243" s="4"/>
      <c r="B243" s="4"/>
      <c r="C243" s="4"/>
      <c r="D243" s="4"/>
      <c r="E243" s="4"/>
      <c r="F243" s="4"/>
      <c r="H243" s="4"/>
      <c r="I243" s="7"/>
      <c r="J243" s="4"/>
      <c r="K243" s="4"/>
      <c r="L243" s="4"/>
      <c r="M243" s="4"/>
      <c r="N243" s="4"/>
    </row>
    <row r="244" spans="1:14">
      <c r="A244" s="4"/>
      <c r="B244" s="4"/>
      <c r="C244" s="4"/>
      <c r="D244" s="4"/>
      <c r="E244" s="4"/>
      <c r="F244" s="4"/>
      <c r="H244" s="4"/>
      <c r="I244" s="7"/>
      <c r="J244" s="4"/>
      <c r="K244" s="4"/>
      <c r="L244" s="4"/>
      <c r="M244" s="4"/>
      <c r="N244" s="4"/>
    </row>
    <row r="245" spans="1:14">
      <c r="A245" s="4"/>
      <c r="B245" s="4"/>
      <c r="C245" s="4"/>
      <c r="D245" s="4"/>
      <c r="E245" s="4"/>
      <c r="F245" s="4"/>
      <c r="H245" s="4"/>
      <c r="I245" s="7"/>
      <c r="J245" s="4"/>
      <c r="K245" s="4"/>
      <c r="L245" s="4"/>
      <c r="M245" s="4"/>
      <c r="N245" s="4"/>
    </row>
    <row r="246" spans="1:14">
      <c r="A246" s="4"/>
      <c r="B246" s="4"/>
      <c r="C246" s="4"/>
      <c r="D246" s="4"/>
      <c r="E246" s="4"/>
      <c r="F246" s="4"/>
      <c r="H246" s="4"/>
      <c r="I246" s="7"/>
      <c r="J246" s="4"/>
      <c r="K246" s="4"/>
      <c r="L246" s="4"/>
      <c r="M246" s="4"/>
      <c r="N246" s="4"/>
    </row>
    <row r="247" spans="1:14">
      <c r="A247" s="4"/>
      <c r="B247" s="4"/>
      <c r="C247" s="4"/>
      <c r="D247" s="4"/>
      <c r="E247" s="4"/>
      <c r="F247" s="4"/>
      <c r="H247" s="4"/>
      <c r="I247" s="7"/>
      <c r="J247" s="4"/>
      <c r="K247" s="4"/>
      <c r="L247" s="4"/>
      <c r="M247" s="4"/>
      <c r="N247" s="4"/>
    </row>
    <row r="248" spans="1:14">
      <c r="A248" s="4"/>
      <c r="B248" s="4"/>
      <c r="C248" s="4"/>
      <c r="D248" s="4"/>
      <c r="E248" s="4"/>
      <c r="F248" s="4"/>
      <c r="H248" s="4"/>
      <c r="I248" s="7"/>
      <c r="J248" s="4"/>
      <c r="K248" s="4"/>
      <c r="L248" s="4"/>
      <c r="M248" s="4"/>
      <c r="N248" s="4"/>
    </row>
    <row r="249" spans="1:14">
      <c r="A249" s="4"/>
      <c r="B249" s="4"/>
      <c r="C249" s="4"/>
      <c r="D249" s="4"/>
      <c r="E249" s="4"/>
      <c r="F249" s="4"/>
      <c r="H249" s="4"/>
      <c r="I249" s="7"/>
      <c r="J249" s="4"/>
      <c r="K249" s="4"/>
      <c r="L249" s="4"/>
      <c r="M249" s="4"/>
      <c r="N249" s="4"/>
    </row>
    <row r="250" spans="1:14">
      <c r="A250" s="4"/>
      <c r="B250" s="4"/>
      <c r="C250" s="4"/>
      <c r="D250" s="4"/>
      <c r="E250" s="4"/>
      <c r="F250" s="4"/>
      <c r="H250" s="4"/>
      <c r="I250" s="7"/>
      <c r="J250" s="4"/>
      <c r="K250" s="4"/>
      <c r="L250" s="4"/>
      <c r="M250" s="4"/>
      <c r="N250" s="4"/>
    </row>
    <row r="251" spans="1:14">
      <c r="A251" s="4"/>
      <c r="B251" s="4"/>
      <c r="C251" s="4"/>
      <c r="D251" s="4"/>
      <c r="E251" s="4"/>
      <c r="F251" s="4"/>
      <c r="H251" s="4"/>
      <c r="I251" s="7"/>
      <c r="J251" s="4"/>
      <c r="K251" s="4"/>
      <c r="L251" s="4"/>
      <c r="M251" s="4"/>
      <c r="N251" s="4"/>
    </row>
    <row r="252" spans="1:14">
      <c r="A252" s="4"/>
      <c r="B252" s="4"/>
      <c r="C252" s="4"/>
      <c r="D252" s="4"/>
      <c r="E252" s="4"/>
      <c r="F252" s="4"/>
      <c r="H252" s="4"/>
      <c r="I252" s="7"/>
      <c r="J252" s="4"/>
      <c r="K252" s="4"/>
      <c r="L252" s="4"/>
      <c r="M252" s="4"/>
      <c r="N252" s="4"/>
    </row>
    <row r="253" spans="1:14">
      <c r="A253" s="4"/>
      <c r="B253" s="4"/>
      <c r="C253" s="4"/>
      <c r="D253" s="4"/>
      <c r="E253" s="4"/>
      <c r="F253" s="4"/>
      <c r="H253" s="4"/>
      <c r="I253" s="7"/>
      <c r="J253" s="4"/>
      <c r="K253" s="4"/>
      <c r="L253" s="4"/>
      <c r="M253" s="4"/>
      <c r="N253" s="4"/>
    </row>
    <row r="254" spans="1:14">
      <c r="A254" s="4"/>
      <c r="B254" s="4"/>
      <c r="C254" s="4"/>
      <c r="D254" s="4"/>
      <c r="E254" s="4"/>
      <c r="F254" s="4"/>
      <c r="H254" s="4"/>
      <c r="I254" s="7"/>
      <c r="J254" s="4"/>
      <c r="K254" s="4"/>
      <c r="L254" s="4"/>
      <c r="M254" s="4"/>
      <c r="N254" s="4"/>
    </row>
    <row r="255" spans="1:14">
      <c r="A255" s="4"/>
      <c r="B255" s="4"/>
      <c r="C255" s="4"/>
      <c r="D255" s="4"/>
      <c r="E255" s="4"/>
      <c r="F255" s="4"/>
      <c r="H255" s="4"/>
      <c r="I255" s="7"/>
      <c r="J255" s="4"/>
      <c r="K255" s="4"/>
      <c r="L255" s="4"/>
      <c r="M255" s="4"/>
      <c r="N255" s="4"/>
    </row>
    <row r="256" spans="1:14">
      <c r="A256" s="4"/>
      <c r="B256" s="4"/>
      <c r="C256" s="4"/>
      <c r="D256" s="4"/>
      <c r="E256" s="4"/>
      <c r="F256" s="4"/>
      <c r="H256" s="4"/>
      <c r="I256" s="7"/>
      <c r="J256" s="4"/>
      <c r="K256" s="4"/>
      <c r="L256" s="4"/>
      <c r="M256" s="4"/>
      <c r="N256" s="4"/>
    </row>
    <row r="257" spans="1:14">
      <c r="A257" s="4"/>
      <c r="B257" s="4"/>
      <c r="C257" s="4"/>
      <c r="D257" s="4"/>
      <c r="E257" s="4"/>
      <c r="F257" s="4"/>
      <c r="H257" s="4"/>
      <c r="I257" s="7"/>
      <c r="J257" s="4"/>
      <c r="K257" s="4"/>
      <c r="L257" s="4"/>
      <c r="M257" s="4"/>
      <c r="N257" s="4"/>
    </row>
    <row r="258" spans="1:14">
      <c r="A258" s="4"/>
      <c r="B258" s="4"/>
      <c r="C258" s="4"/>
      <c r="D258" s="4"/>
      <c r="E258" s="4"/>
      <c r="F258" s="4"/>
      <c r="H258" s="4"/>
      <c r="I258" s="7"/>
      <c r="J258" s="4"/>
      <c r="K258" s="4"/>
      <c r="L258" s="4"/>
      <c r="M258" s="4"/>
      <c r="N258" s="4"/>
    </row>
    <row r="259" spans="1:14">
      <c r="A259" s="4"/>
      <c r="B259" s="4"/>
      <c r="C259" s="4"/>
      <c r="D259" s="4"/>
      <c r="E259" s="4"/>
      <c r="F259" s="4"/>
      <c r="H259" s="4"/>
      <c r="I259" s="7"/>
      <c r="J259" s="4"/>
      <c r="K259" s="4"/>
      <c r="L259" s="4"/>
      <c r="M259" s="4"/>
      <c r="N259" s="4"/>
    </row>
    <row r="260" spans="1:14">
      <c r="A260" s="4"/>
      <c r="B260" s="4"/>
      <c r="C260" s="4"/>
      <c r="D260" s="4"/>
      <c r="E260" s="4"/>
      <c r="F260" s="4"/>
      <c r="H260" s="4"/>
      <c r="I260" s="7"/>
      <c r="J260" s="4"/>
      <c r="K260" s="4"/>
      <c r="L260" s="4"/>
      <c r="M260" s="4"/>
      <c r="N260" s="4"/>
    </row>
    <row r="261" spans="1:14">
      <c r="A261" s="4"/>
      <c r="B261" s="4"/>
      <c r="C261" s="4"/>
      <c r="D261" s="4"/>
      <c r="E261" s="4"/>
      <c r="F261" s="4"/>
      <c r="H261" s="4"/>
      <c r="I261" s="7"/>
      <c r="J261" s="4"/>
      <c r="K261" s="4"/>
      <c r="L261" s="4"/>
      <c r="M261" s="4"/>
      <c r="N261" s="4"/>
    </row>
    <row r="262" spans="1:14">
      <c r="A262" s="4"/>
      <c r="B262" s="4"/>
      <c r="C262" s="4"/>
      <c r="D262" s="4"/>
      <c r="E262" s="4"/>
      <c r="F262" s="4"/>
      <c r="H262" s="4"/>
      <c r="I262" s="7"/>
      <c r="J262" s="4"/>
      <c r="K262" s="4"/>
      <c r="L262" s="4"/>
      <c r="M262" s="4"/>
      <c r="N262" s="4"/>
    </row>
    <row r="263" spans="1:14">
      <c r="A263" s="4"/>
      <c r="B263" s="4"/>
      <c r="C263" s="4"/>
      <c r="D263" s="4"/>
      <c r="E263" s="4"/>
      <c r="F263" s="4"/>
      <c r="H263" s="4"/>
      <c r="I263" s="7"/>
      <c r="J263" s="4"/>
      <c r="K263" s="4"/>
      <c r="L263" s="4"/>
      <c r="M263" s="4"/>
      <c r="N263" s="4"/>
    </row>
    <row r="264" spans="1:14">
      <c r="A264" s="4"/>
      <c r="B264" s="4"/>
      <c r="C264" s="4"/>
      <c r="D264" s="4"/>
      <c r="E264" s="4"/>
      <c r="F264" s="4"/>
      <c r="H264" s="4"/>
      <c r="I264" s="7"/>
      <c r="J264" s="4"/>
      <c r="K264" s="4"/>
      <c r="L264" s="4"/>
      <c r="M264" s="4"/>
      <c r="N264" s="4"/>
    </row>
    <row r="265" spans="1:14">
      <c r="A265" s="4"/>
      <c r="B265" s="4"/>
      <c r="C265" s="4"/>
      <c r="D265" s="4"/>
      <c r="E265" s="4"/>
      <c r="F265" s="4"/>
      <c r="H265" s="4"/>
      <c r="I265" s="7"/>
      <c r="J265" s="4"/>
      <c r="K265" s="4"/>
      <c r="L265" s="4"/>
      <c r="M265" s="4"/>
      <c r="N265" s="4"/>
    </row>
    <row r="266" spans="1:14">
      <c r="A266" s="4"/>
      <c r="B266" s="4"/>
      <c r="C266" s="4"/>
      <c r="D266" s="4"/>
      <c r="E266" s="4"/>
      <c r="F266" s="4"/>
      <c r="H266" s="4"/>
      <c r="I266" s="7"/>
      <c r="J266" s="4"/>
      <c r="K266" s="4"/>
      <c r="L266" s="4"/>
      <c r="M266" s="4"/>
      <c r="N266" s="4"/>
    </row>
    <row r="267" spans="1:14">
      <c r="A267" s="4"/>
      <c r="B267" s="4"/>
      <c r="C267" s="4"/>
      <c r="D267" s="4"/>
      <c r="E267" s="4"/>
      <c r="F267" s="4"/>
      <c r="H267" s="4"/>
      <c r="I267" s="7"/>
      <c r="J267" s="4"/>
      <c r="K267" s="4"/>
      <c r="L267" s="4"/>
      <c r="M267" s="4"/>
      <c r="N267" s="4"/>
    </row>
    <row r="268" spans="1:14">
      <c r="A268" s="4"/>
      <c r="B268" s="4"/>
      <c r="C268" s="4"/>
      <c r="D268" s="4"/>
      <c r="E268" s="4"/>
      <c r="F268" s="4"/>
      <c r="H268" s="4"/>
      <c r="I268" s="7"/>
      <c r="J268" s="4"/>
      <c r="K268" s="4"/>
      <c r="L268" s="4"/>
      <c r="M268" s="4"/>
      <c r="N268" s="4"/>
    </row>
    <row r="269" spans="1:14">
      <c r="A269" s="4"/>
      <c r="B269" s="4"/>
      <c r="C269" s="4"/>
      <c r="D269" s="4"/>
      <c r="E269" s="4"/>
      <c r="F269" s="4"/>
      <c r="H269" s="4"/>
      <c r="I269" s="7"/>
      <c r="J269" s="4"/>
      <c r="K269" s="4"/>
      <c r="L269" s="4"/>
      <c r="M269" s="4"/>
      <c r="N269" s="4"/>
    </row>
    <row r="270" spans="1:14">
      <c r="A270" s="4"/>
      <c r="B270" s="4"/>
      <c r="C270" s="4"/>
      <c r="D270" s="4"/>
      <c r="E270" s="4"/>
      <c r="F270" s="4"/>
      <c r="H270" s="4"/>
      <c r="I270" s="7"/>
      <c r="J270" s="4"/>
      <c r="K270" s="4"/>
      <c r="L270" s="4"/>
      <c r="M270" s="4"/>
      <c r="N270" s="4"/>
    </row>
    <row r="271" spans="1:14">
      <c r="A271" s="4"/>
      <c r="B271" s="4"/>
      <c r="C271" s="4"/>
      <c r="D271" s="4"/>
      <c r="E271" s="4"/>
      <c r="F271" s="4"/>
      <c r="H271" s="4"/>
      <c r="I271" s="7"/>
      <c r="J271" s="4"/>
      <c r="K271" s="4"/>
      <c r="L271" s="4"/>
      <c r="M271" s="4"/>
      <c r="N271" s="4"/>
    </row>
    <row r="272" spans="1:14">
      <c r="A272" s="4"/>
      <c r="B272" s="4"/>
      <c r="C272" s="4"/>
      <c r="D272" s="4"/>
      <c r="E272" s="4"/>
      <c r="F272" s="4"/>
      <c r="H272" s="4"/>
      <c r="I272" s="7"/>
      <c r="J272" s="4"/>
      <c r="K272" s="4"/>
      <c r="L272" s="4"/>
      <c r="M272" s="4"/>
      <c r="N272" s="4"/>
    </row>
    <row r="273" spans="1:14">
      <c r="A273" s="4"/>
      <c r="B273" s="4"/>
      <c r="C273" s="4"/>
      <c r="D273" s="4"/>
      <c r="E273" s="4"/>
      <c r="F273" s="4"/>
      <c r="H273" s="4"/>
      <c r="I273" s="7"/>
      <c r="J273" s="4"/>
      <c r="K273" s="4"/>
      <c r="L273" s="4"/>
      <c r="M273" s="4"/>
      <c r="N273" s="4"/>
    </row>
    <row r="274" spans="1:14">
      <c r="A274" s="4"/>
      <c r="B274" s="4"/>
      <c r="C274" s="4"/>
      <c r="D274" s="4"/>
      <c r="E274" s="4"/>
      <c r="F274" s="4"/>
      <c r="H274" s="4"/>
      <c r="I274" s="7"/>
      <c r="J274" s="4"/>
      <c r="K274" s="4"/>
      <c r="L274" s="4"/>
      <c r="M274" s="4"/>
      <c r="N274" s="4"/>
    </row>
    <row r="275" spans="1:14">
      <c r="A275" s="4"/>
      <c r="B275" s="4"/>
      <c r="C275" s="4"/>
      <c r="D275" s="4"/>
      <c r="E275" s="4"/>
      <c r="F275" s="4"/>
      <c r="H275" s="4"/>
      <c r="I275" s="7"/>
      <c r="J275" s="4"/>
      <c r="K275" s="4"/>
      <c r="L275" s="4"/>
      <c r="M275" s="4"/>
      <c r="N275" s="4"/>
    </row>
    <row r="276" spans="1:14">
      <c r="A276" s="4"/>
      <c r="B276" s="4"/>
      <c r="C276" s="4"/>
      <c r="D276" s="4"/>
      <c r="E276" s="4"/>
      <c r="F276" s="4"/>
      <c r="H276" s="4"/>
      <c r="I276" s="7"/>
      <c r="J276" s="4"/>
      <c r="K276" s="4"/>
      <c r="L276" s="4"/>
      <c r="M276" s="4"/>
      <c r="N276" s="4"/>
    </row>
    <row r="277" spans="1:14">
      <c r="A277" s="4"/>
      <c r="B277" s="4"/>
      <c r="C277" s="4"/>
      <c r="D277" s="4"/>
      <c r="E277" s="4"/>
      <c r="F277" s="4"/>
      <c r="H277" s="4"/>
      <c r="I277" s="7"/>
      <c r="J277" s="4"/>
      <c r="K277" s="4"/>
      <c r="L277" s="4"/>
      <c r="M277" s="4"/>
      <c r="N277" s="4"/>
    </row>
    <row r="278" spans="1:14">
      <c r="A278" s="4"/>
      <c r="B278" s="4"/>
      <c r="C278" s="4"/>
      <c r="D278" s="4"/>
      <c r="E278" s="4"/>
      <c r="F278" s="4"/>
      <c r="H278" s="4"/>
      <c r="I278" s="7"/>
      <c r="J278" s="4"/>
      <c r="K278" s="4"/>
      <c r="L278" s="4"/>
      <c r="M278" s="4"/>
      <c r="N278" s="4"/>
    </row>
    <row r="279" spans="1:14">
      <c r="A279" s="4"/>
      <c r="B279" s="4"/>
      <c r="C279" s="4"/>
      <c r="D279" s="4"/>
      <c r="E279" s="4"/>
      <c r="F279" s="4"/>
      <c r="H279" s="4"/>
      <c r="I279" s="7"/>
      <c r="J279" s="4"/>
      <c r="K279" s="4"/>
      <c r="L279" s="4"/>
      <c r="M279" s="4"/>
      <c r="N279" s="4"/>
    </row>
    <row r="280" spans="1:14">
      <c r="A280" s="4"/>
      <c r="B280" s="4"/>
      <c r="C280" s="4"/>
      <c r="D280" s="4"/>
      <c r="E280" s="4"/>
      <c r="F280" s="4"/>
      <c r="H280" s="4"/>
      <c r="I280" s="7"/>
      <c r="J280" s="4"/>
      <c r="K280" s="4"/>
      <c r="L280" s="4"/>
      <c r="M280" s="4"/>
      <c r="N280" s="4"/>
    </row>
    <row r="281" spans="1:14">
      <c r="A281" s="4"/>
      <c r="B281" s="4"/>
      <c r="C281" s="4"/>
      <c r="D281" s="4"/>
      <c r="E281" s="4"/>
      <c r="F281" s="4"/>
      <c r="H281" s="4"/>
      <c r="I281" s="7"/>
      <c r="J281" s="4"/>
      <c r="K281" s="4"/>
      <c r="L281" s="4"/>
      <c r="M281" s="4"/>
      <c r="N281" s="4"/>
    </row>
    <row r="282" spans="1:14">
      <c r="A282" s="4"/>
      <c r="B282" s="4"/>
      <c r="C282" s="4"/>
      <c r="D282" s="4"/>
      <c r="E282" s="4"/>
      <c r="F282" s="4"/>
      <c r="H282" s="4"/>
      <c r="I282" s="7"/>
      <c r="J282" s="4"/>
      <c r="K282" s="4"/>
      <c r="L282" s="4"/>
      <c r="M282" s="4"/>
      <c r="N282" s="4"/>
    </row>
    <row r="283" spans="1:14">
      <c r="A283" s="4"/>
      <c r="B283" s="4"/>
      <c r="C283" s="4"/>
      <c r="D283" s="4"/>
      <c r="E283" s="4"/>
      <c r="F283" s="4"/>
      <c r="H283" s="4"/>
      <c r="I283" s="7"/>
      <c r="J283" s="4"/>
      <c r="K283" s="4"/>
      <c r="L283" s="4"/>
      <c r="M283" s="4"/>
      <c r="N283" s="4"/>
    </row>
    <row r="284" spans="1:14">
      <c r="A284" s="4"/>
      <c r="B284" s="4"/>
      <c r="C284" s="4"/>
      <c r="D284" s="4"/>
      <c r="E284" s="4"/>
      <c r="F284" s="4"/>
      <c r="H284" s="4"/>
      <c r="I284" s="7"/>
      <c r="J284" s="4"/>
      <c r="K284" s="4"/>
      <c r="L284" s="4"/>
      <c r="M284" s="4"/>
      <c r="N284" s="4"/>
    </row>
    <row r="285" spans="1:14">
      <c r="A285" s="4"/>
      <c r="B285" s="4"/>
      <c r="C285" s="4"/>
      <c r="D285" s="4"/>
      <c r="E285" s="4"/>
      <c r="F285" s="4"/>
      <c r="H285" s="4"/>
      <c r="I285" s="7"/>
      <c r="J285" s="4"/>
      <c r="K285" s="4"/>
      <c r="L285" s="4"/>
      <c r="M285" s="4"/>
      <c r="N285" s="4"/>
    </row>
    <row r="286" spans="1:14">
      <c r="A286" s="4"/>
      <c r="B286" s="4"/>
      <c r="C286" s="4"/>
      <c r="D286" s="4"/>
      <c r="E286" s="4"/>
      <c r="F286" s="4"/>
      <c r="H286" s="4"/>
      <c r="I286" s="7"/>
      <c r="J286" s="4"/>
      <c r="K286" s="4"/>
      <c r="L286" s="4"/>
      <c r="M286" s="4"/>
      <c r="N286" s="4"/>
    </row>
    <row r="287" spans="1:14">
      <c r="A287" s="4"/>
      <c r="B287" s="4"/>
      <c r="C287" s="4"/>
      <c r="D287" s="4"/>
      <c r="E287" s="4"/>
      <c r="F287" s="4"/>
      <c r="H287" s="4"/>
      <c r="I287" s="7"/>
      <c r="J287" s="4"/>
      <c r="K287" s="4"/>
      <c r="L287" s="4"/>
      <c r="M287" s="4"/>
      <c r="N287" s="4"/>
    </row>
    <row r="288" spans="1:14">
      <c r="A288" s="4"/>
      <c r="B288" s="4"/>
      <c r="C288" s="4"/>
      <c r="D288" s="4"/>
      <c r="E288" s="4"/>
      <c r="F288" s="4"/>
      <c r="H288" s="4"/>
      <c r="I288" s="7"/>
      <c r="J288" s="4"/>
      <c r="K288" s="4"/>
      <c r="L288" s="4"/>
      <c r="M288" s="4"/>
      <c r="N288" s="4"/>
    </row>
    <row r="289" spans="1:14">
      <c r="A289" s="4"/>
      <c r="B289" s="4"/>
      <c r="C289" s="4"/>
      <c r="D289" s="4"/>
      <c r="E289" s="4"/>
      <c r="F289" s="4"/>
      <c r="H289" s="4"/>
      <c r="I289" s="7"/>
      <c r="J289" s="4"/>
      <c r="K289" s="4"/>
      <c r="L289" s="4"/>
      <c r="M289" s="4"/>
      <c r="N289" s="4"/>
    </row>
    <row r="290" spans="1:14">
      <c r="A290" s="4"/>
      <c r="B290" s="4"/>
      <c r="C290" s="4"/>
      <c r="D290" s="4"/>
      <c r="E290" s="4"/>
      <c r="F290" s="4"/>
      <c r="H290" s="4"/>
      <c r="I290" s="7"/>
      <c r="J290" s="4"/>
      <c r="K290" s="4"/>
      <c r="L290" s="4"/>
      <c r="M290" s="4"/>
      <c r="N290" s="4"/>
    </row>
    <row r="291" spans="1:14">
      <c r="A291" s="4"/>
      <c r="B291" s="4"/>
      <c r="C291" s="4"/>
      <c r="D291" s="4"/>
      <c r="E291" s="4"/>
      <c r="F291" s="4"/>
      <c r="H291" s="4"/>
      <c r="I291" s="7"/>
      <c r="J291" s="4"/>
      <c r="K291" s="4"/>
      <c r="L291" s="4"/>
      <c r="M291" s="4"/>
      <c r="N291" s="4"/>
    </row>
    <row r="292" spans="1:14">
      <c r="A292" s="4"/>
      <c r="B292" s="4"/>
      <c r="C292" s="4"/>
      <c r="D292" s="4"/>
      <c r="E292" s="4"/>
      <c r="F292" s="4"/>
      <c r="H292" s="4"/>
      <c r="I292" s="7"/>
      <c r="J292" s="4"/>
      <c r="K292" s="4"/>
      <c r="L292" s="4"/>
      <c r="M292" s="4"/>
      <c r="N292" s="4"/>
    </row>
    <row r="293" spans="1:14">
      <c r="A293" s="4"/>
      <c r="B293" s="4"/>
      <c r="C293" s="4"/>
      <c r="D293" s="4"/>
      <c r="E293" s="4"/>
      <c r="F293" s="4"/>
      <c r="H293" s="4"/>
      <c r="I293" s="7"/>
      <c r="J293" s="4"/>
      <c r="K293" s="4"/>
      <c r="L293" s="4"/>
      <c r="M293" s="4"/>
      <c r="N293" s="4"/>
    </row>
    <row r="294" spans="1:14">
      <c r="A294" s="4"/>
      <c r="B294" s="4"/>
      <c r="C294" s="4"/>
      <c r="D294" s="4"/>
      <c r="E294" s="4"/>
      <c r="F294" s="4"/>
      <c r="H294" s="4"/>
      <c r="I294" s="7"/>
      <c r="J294" s="4"/>
      <c r="K294" s="4"/>
      <c r="L294" s="4"/>
      <c r="M294" s="4"/>
      <c r="N294" s="4"/>
    </row>
    <row r="295" spans="1:14">
      <c r="A295" s="4"/>
      <c r="B295" s="4"/>
      <c r="C295" s="4"/>
      <c r="D295" s="4"/>
      <c r="E295" s="4"/>
      <c r="F295" s="4"/>
      <c r="H295" s="4"/>
      <c r="I295" s="7"/>
      <c r="J295" s="4"/>
      <c r="K295" s="4"/>
      <c r="L295" s="4"/>
      <c r="M295" s="4"/>
      <c r="N295" s="4"/>
    </row>
    <row r="296" spans="1:14">
      <c r="A296" s="4"/>
      <c r="B296" s="4"/>
      <c r="C296" s="4"/>
      <c r="D296" s="4"/>
      <c r="E296" s="4"/>
      <c r="F296" s="4"/>
      <c r="H296" s="4"/>
      <c r="I296" s="7"/>
      <c r="J296" s="4"/>
      <c r="K296" s="4"/>
      <c r="L296" s="4"/>
      <c r="M296" s="4"/>
      <c r="N296" s="4"/>
    </row>
    <row r="297" spans="1:14">
      <c r="A297" s="4"/>
      <c r="B297" s="4"/>
      <c r="C297" s="4"/>
      <c r="D297" s="4"/>
      <c r="E297" s="4"/>
      <c r="F297" s="4"/>
      <c r="H297" s="4"/>
      <c r="I297" s="7"/>
      <c r="J297" s="4"/>
      <c r="K297" s="4"/>
      <c r="L297" s="4"/>
      <c r="M297" s="4"/>
      <c r="N297" s="4"/>
    </row>
    <row r="298" spans="1:14">
      <c r="A298" s="4"/>
      <c r="B298" s="4"/>
      <c r="C298" s="4"/>
      <c r="D298" s="4"/>
      <c r="E298" s="4"/>
      <c r="F298" s="4"/>
      <c r="H298" s="4"/>
      <c r="I298" s="7"/>
      <c r="J298" s="4"/>
      <c r="K298" s="4"/>
      <c r="L298" s="4"/>
      <c r="M298" s="4"/>
      <c r="N298" s="4"/>
    </row>
    <row r="299" spans="1:14">
      <c r="A299" s="4"/>
      <c r="B299" s="4"/>
      <c r="C299" s="4"/>
      <c r="D299" s="4"/>
      <c r="E299" s="4"/>
      <c r="F299" s="4"/>
      <c r="H299" s="4"/>
      <c r="I299" s="7"/>
      <c r="J299" s="4"/>
      <c r="K299" s="4"/>
      <c r="L299" s="4"/>
      <c r="M299" s="4"/>
      <c r="N299" s="4"/>
    </row>
    <row r="300" spans="1:14">
      <c r="A300" s="4"/>
      <c r="B300" s="4"/>
      <c r="C300" s="4"/>
      <c r="D300" s="4"/>
      <c r="E300" s="4"/>
      <c r="F300" s="4"/>
      <c r="H300" s="4"/>
      <c r="I300" s="7"/>
      <c r="J300" s="4"/>
      <c r="K300" s="4"/>
      <c r="L300" s="4"/>
      <c r="M300" s="4"/>
      <c r="N300" s="4"/>
    </row>
    <row r="301" spans="1:14">
      <c r="A301" s="4"/>
      <c r="B301" s="4"/>
      <c r="C301" s="4"/>
      <c r="D301" s="4"/>
      <c r="E301" s="4"/>
      <c r="F301" s="4"/>
      <c r="H301" s="4"/>
      <c r="I301" s="7"/>
      <c r="J301" s="4"/>
      <c r="K301" s="4"/>
      <c r="L301" s="4"/>
      <c r="M301" s="4"/>
      <c r="N301" s="4"/>
    </row>
    <row r="302" spans="1:14">
      <c r="A302" s="4"/>
      <c r="B302" s="4"/>
      <c r="C302" s="4"/>
      <c r="D302" s="4"/>
      <c r="E302" s="4"/>
      <c r="F302" s="4"/>
      <c r="H302" s="4"/>
      <c r="I302" s="7"/>
      <c r="J302" s="4"/>
      <c r="K302" s="4"/>
      <c r="L302" s="4"/>
      <c r="M302" s="4"/>
      <c r="N302" s="4"/>
    </row>
    <row r="303" spans="1:14">
      <c r="A303" s="4"/>
      <c r="B303" s="4"/>
      <c r="C303" s="4"/>
      <c r="D303" s="4"/>
      <c r="E303" s="4"/>
      <c r="F303" s="4"/>
      <c r="H303" s="4"/>
      <c r="I303" s="7"/>
      <c r="J303" s="4"/>
      <c r="K303" s="4"/>
      <c r="L303" s="4"/>
      <c r="M303" s="4"/>
      <c r="N303" s="4"/>
    </row>
    <row r="304" spans="1:14">
      <c r="A304" s="4"/>
      <c r="B304" s="4"/>
      <c r="C304" s="4"/>
      <c r="D304" s="4"/>
      <c r="E304" s="4"/>
      <c r="F304" s="4"/>
      <c r="H304" s="4"/>
      <c r="I304" s="7"/>
      <c r="J304" s="4"/>
      <c r="K304" s="4"/>
      <c r="L304" s="4"/>
      <c r="M304" s="4"/>
      <c r="N304" s="4"/>
    </row>
    <row r="305" spans="1:14">
      <c r="A305" s="4"/>
      <c r="B305" s="4"/>
      <c r="C305" s="4"/>
      <c r="D305" s="4"/>
      <c r="E305" s="4"/>
      <c r="F305" s="4"/>
      <c r="H305" s="4"/>
      <c r="I305" s="7"/>
      <c r="J305" s="4"/>
      <c r="K305" s="4"/>
      <c r="L305" s="4"/>
      <c r="M305" s="4"/>
      <c r="N305" s="4"/>
    </row>
    <row r="306" spans="1:14">
      <c r="A306" s="4"/>
      <c r="B306" s="4"/>
      <c r="C306" s="4"/>
      <c r="D306" s="4"/>
      <c r="E306" s="4"/>
      <c r="F306" s="4"/>
      <c r="H306" s="4"/>
      <c r="I306" s="7"/>
      <c r="J306" s="4"/>
      <c r="K306" s="4"/>
      <c r="L306" s="4"/>
      <c r="M306" s="4"/>
      <c r="N306" s="4"/>
    </row>
    <row r="307" spans="1:14">
      <c r="A307" s="4"/>
      <c r="B307" s="4"/>
      <c r="C307" s="4"/>
      <c r="D307" s="4"/>
      <c r="E307" s="4"/>
      <c r="F307" s="4"/>
      <c r="H307" s="4"/>
      <c r="I307" s="7"/>
      <c r="J307" s="4"/>
      <c r="K307" s="4"/>
      <c r="L307" s="4"/>
      <c r="M307" s="4"/>
      <c r="N307" s="4"/>
    </row>
    <row r="308" spans="1:14">
      <c r="A308" s="4"/>
      <c r="B308" s="4"/>
      <c r="C308" s="4"/>
      <c r="D308" s="4"/>
      <c r="E308" s="4"/>
      <c r="F308" s="4"/>
      <c r="H308" s="4"/>
      <c r="I308" s="7"/>
      <c r="J308" s="4"/>
      <c r="K308" s="4"/>
      <c r="L308" s="4"/>
      <c r="M308" s="4"/>
      <c r="N308" s="4"/>
    </row>
    <row r="309" spans="1:14">
      <c r="A309" s="4"/>
      <c r="B309" s="4"/>
      <c r="C309" s="4"/>
      <c r="D309" s="4"/>
      <c r="E309" s="4"/>
      <c r="F309" s="4"/>
      <c r="H309" s="4"/>
      <c r="I309" s="7"/>
      <c r="J309" s="4"/>
      <c r="K309" s="4"/>
      <c r="L309" s="4"/>
      <c r="M309" s="4"/>
      <c r="N309" s="4"/>
    </row>
    <row r="310" spans="1:14">
      <c r="A310" s="4"/>
      <c r="B310" s="4"/>
      <c r="C310" s="4"/>
      <c r="D310" s="4"/>
      <c r="E310" s="4"/>
      <c r="F310" s="4"/>
      <c r="H310" s="4"/>
      <c r="I310" s="7"/>
      <c r="J310" s="4"/>
      <c r="K310" s="4"/>
      <c r="L310" s="4"/>
      <c r="M310" s="4"/>
      <c r="N310" s="4"/>
    </row>
    <row r="311" spans="1:14">
      <c r="A311" s="4"/>
      <c r="B311" s="4"/>
      <c r="C311" s="4"/>
      <c r="D311" s="4"/>
      <c r="E311" s="4"/>
      <c r="F311" s="4"/>
      <c r="H311" s="4"/>
      <c r="I311" s="7"/>
      <c r="J311" s="4"/>
      <c r="K311" s="4"/>
      <c r="L311" s="4"/>
      <c r="M311" s="4"/>
      <c r="N311" s="4"/>
    </row>
    <row r="312" spans="1:14">
      <c r="A312" s="4"/>
      <c r="B312" s="4"/>
      <c r="C312" s="4"/>
      <c r="D312" s="4"/>
      <c r="E312" s="4"/>
      <c r="F312" s="4"/>
      <c r="H312" s="4"/>
      <c r="I312" s="7"/>
      <c r="J312" s="4"/>
      <c r="K312" s="4"/>
      <c r="L312" s="4"/>
      <c r="M312" s="4"/>
      <c r="N312" s="4"/>
    </row>
    <row r="313" spans="1:14">
      <c r="A313" s="4"/>
      <c r="B313" s="4"/>
      <c r="C313" s="4"/>
      <c r="D313" s="4"/>
      <c r="E313" s="4"/>
      <c r="F313" s="4"/>
      <c r="H313" s="4"/>
      <c r="I313" s="7"/>
      <c r="J313" s="4"/>
      <c r="K313" s="4"/>
      <c r="L313" s="4"/>
      <c r="M313" s="4"/>
      <c r="N313" s="4"/>
    </row>
    <row r="314" spans="1:14">
      <c r="A314" s="4"/>
      <c r="B314" s="4"/>
      <c r="C314" s="4"/>
      <c r="D314" s="4"/>
      <c r="E314" s="4"/>
      <c r="F314" s="4"/>
      <c r="H314" s="4"/>
      <c r="I314" s="7"/>
      <c r="J314" s="4"/>
      <c r="K314" s="4"/>
      <c r="L314" s="4"/>
      <c r="M314" s="4"/>
      <c r="N314" s="4"/>
    </row>
    <row r="315" spans="1:14">
      <c r="A315" s="4"/>
      <c r="B315" s="4"/>
      <c r="C315" s="4"/>
      <c r="D315" s="4"/>
      <c r="E315" s="4"/>
      <c r="F315" s="4"/>
      <c r="H315" s="4"/>
      <c r="I315" s="7"/>
      <c r="J315" s="4"/>
      <c r="K315" s="4"/>
      <c r="L315" s="4"/>
      <c r="M315" s="4"/>
      <c r="N315" s="4"/>
    </row>
    <row r="316" spans="1:14">
      <c r="A316" s="4"/>
      <c r="B316" s="4"/>
      <c r="C316" s="4"/>
      <c r="D316" s="4"/>
      <c r="E316" s="4"/>
      <c r="F316" s="4"/>
      <c r="H316" s="4"/>
      <c r="I316" s="7"/>
      <c r="J316" s="4"/>
      <c r="K316" s="4"/>
      <c r="L316" s="4"/>
      <c r="M316" s="4"/>
      <c r="N316" s="4"/>
    </row>
    <row r="317" spans="1:14">
      <c r="A317" s="4"/>
      <c r="B317" s="4"/>
      <c r="C317" s="4"/>
      <c r="D317" s="4"/>
      <c r="E317" s="4"/>
      <c r="F317" s="4"/>
      <c r="H317" s="4"/>
      <c r="I317" s="7"/>
      <c r="J317" s="4"/>
      <c r="K317" s="4"/>
      <c r="L317" s="4"/>
      <c r="M317" s="4"/>
      <c r="N317" s="4"/>
    </row>
    <row r="318" spans="1:14">
      <c r="A318" s="4"/>
      <c r="B318" s="4"/>
      <c r="C318" s="4"/>
      <c r="D318" s="4"/>
      <c r="E318" s="4"/>
      <c r="F318" s="4"/>
      <c r="H318" s="4"/>
      <c r="I318" s="7"/>
      <c r="J318" s="4"/>
      <c r="K318" s="4"/>
      <c r="L318" s="4"/>
      <c r="M318" s="4"/>
      <c r="N318" s="4"/>
    </row>
    <row r="319" spans="1:14">
      <c r="A319" s="4"/>
      <c r="B319" s="4"/>
      <c r="C319" s="4"/>
      <c r="D319" s="4"/>
      <c r="E319" s="4"/>
      <c r="F319" s="4"/>
      <c r="H319" s="4"/>
      <c r="I319" s="7"/>
      <c r="J319" s="4"/>
      <c r="K319" s="4"/>
      <c r="L319" s="4"/>
      <c r="M319" s="4"/>
      <c r="N319" s="4"/>
    </row>
    <row r="320" spans="1:14">
      <c r="A320" s="4"/>
      <c r="B320" s="4"/>
      <c r="C320" s="4"/>
      <c r="D320" s="4"/>
      <c r="E320" s="4"/>
      <c r="F320" s="4"/>
      <c r="H320" s="4"/>
      <c r="I320" s="7"/>
      <c r="J320" s="4"/>
      <c r="K320" s="4"/>
      <c r="L320" s="4"/>
      <c r="M320" s="4"/>
      <c r="N320" s="4"/>
    </row>
    <row r="321" spans="1:14">
      <c r="A321" s="4"/>
      <c r="B321" s="4"/>
      <c r="C321" s="4"/>
      <c r="D321" s="4"/>
      <c r="E321" s="4"/>
      <c r="F321" s="4"/>
      <c r="H321" s="4"/>
      <c r="I321" s="7"/>
      <c r="J321" s="4"/>
      <c r="K321" s="4"/>
      <c r="L321" s="4"/>
      <c r="M321" s="4"/>
      <c r="N321" s="4"/>
    </row>
    <row r="322" spans="1:14">
      <c r="A322" s="4"/>
      <c r="B322" s="4"/>
      <c r="C322" s="4"/>
      <c r="D322" s="4"/>
      <c r="E322" s="4"/>
      <c r="F322" s="4"/>
      <c r="H322" s="4"/>
      <c r="I322" s="7"/>
      <c r="J322" s="4"/>
      <c r="K322" s="4"/>
      <c r="L322" s="4"/>
      <c r="M322" s="4"/>
      <c r="N322" s="4"/>
    </row>
    <row r="323" spans="1:14">
      <c r="A323" s="4"/>
      <c r="B323" s="4"/>
      <c r="C323" s="4"/>
      <c r="D323" s="4"/>
      <c r="E323" s="4"/>
      <c r="F323" s="4"/>
      <c r="H323" s="4"/>
      <c r="I323" s="7"/>
      <c r="J323" s="4"/>
      <c r="K323" s="4"/>
      <c r="L323" s="4"/>
      <c r="M323" s="4"/>
      <c r="N323" s="4"/>
    </row>
    <row r="324" spans="1:14">
      <c r="A324" s="4"/>
      <c r="B324" s="4"/>
      <c r="C324" s="4"/>
      <c r="D324" s="4"/>
      <c r="E324" s="4"/>
      <c r="F324" s="4"/>
      <c r="H324" s="4"/>
      <c r="I324" s="7"/>
      <c r="J324" s="4"/>
      <c r="K324" s="4"/>
      <c r="L324" s="4"/>
      <c r="M324" s="4"/>
      <c r="N324" s="4"/>
    </row>
    <row r="325" spans="1:14">
      <c r="A325" s="4"/>
      <c r="B325" s="4"/>
      <c r="C325" s="4"/>
      <c r="D325" s="4"/>
      <c r="E325" s="4"/>
      <c r="F325" s="4"/>
      <c r="H325" s="4"/>
      <c r="I325" s="7"/>
      <c r="J325" s="4"/>
      <c r="K325" s="4"/>
      <c r="L325" s="4"/>
      <c r="M325" s="4"/>
      <c r="N325" s="4"/>
    </row>
    <row r="326" spans="1:14">
      <c r="A326" s="4"/>
      <c r="B326" s="4"/>
      <c r="C326" s="4"/>
      <c r="D326" s="4"/>
      <c r="E326" s="4"/>
      <c r="F326" s="4"/>
      <c r="H326" s="4"/>
      <c r="I326" s="7"/>
      <c r="J326" s="4"/>
      <c r="K326" s="4"/>
      <c r="L326" s="4"/>
      <c r="M326" s="4"/>
      <c r="N326" s="4"/>
    </row>
    <row r="327" spans="1:14">
      <c r="A327" s="4"/>
      <c r="B327" s="4"/>
      <c r="C327" s="4"/>
      <c r="D327" s="4"/>
      <c r="E327" s="4"/>
      <c r="F327" s="4"/>
      <c r="H327" s="4"/>
      <c r="I327" s="7"/>
      <c r="J327" s="4"/>
      <c r="K327" s="4"/>
      <c r="L327" s="4"/>
      <c r="M327" s="4"/>
      <c r="N327" s="4"/>
    </row>
    <row r="328" spans="1:14">
      <c r="A328" s="4"/>
      <c r="B328" s="4"/>
      <c r="C328" s="4"/>
      <c r="D328" s="4"/>
      <c r="E328" s="4"/>
      <c r="F328" s="4"/>
      <c r="H328" s="4"/>
      <c r="I328" s="7"/>
      <c r="J328" s="4"/>
      <c r="K328" s="4"/>
      <c r="L328" s="4"/>
      <c r="M328" s="4"/>
      <c r="N328" s="4"/>
    </row>
    <row r="329" spans="1:14">
      <c r="A329" s="4"/>
      <c r="B329" s="4"/>
      <c r="C329" s="4"/>
      <c r="D329" s="4"/>
      <c r="E329" s="4"/>
      <c r="F329" s="4"/>
      <c r="H329" s="4"/>
      <c r="I329" s="7"/>
      <c r="J329" s="4"/>
      <c r="K329" s="4"/>
      <c r="L329" s="4"/>
      <c r="M329" s="4"/>
      <c r="N329" s="4"/>
    </row>
    <row r="330" spans="1:14">
      <c r="A330" s="4"/>
      <c r="B330" s="4"/>
      <c r="C330" s="4"/>
      <c r="D330" s="4"/>
      <c r="E330" s="4"/>
      <c r="F330" s="4"/>
      <c r="H330" s="4"/>
      <c r="I330" s="7"/>
      <c r="J330" s="4"/>
      <c r="K330" s="4"/>
      <c r="L330" s="4"/>
      <c r="M330" s="4"/>
      <c r="N330" s="4"/>
    </row>
    <row r="331" spans="1:14">
      <c r="A331" s="4"/>
      <c r="B331" s="4"/>
      <c r="C331" s="4"/>
      <c r="D331" s="4"/>
      <c r="E331" s="4"/>
      <c r="F331" s="4"/>
      <c r="H331" s="4"/>
      <c r="I331" s="7"/>
      <c r="J331" s="4"/>
      <c r="K331" s="4"/>
      <c r="L331" s="4"/>
      <c r="M331" s="4"/>
      <c r="N331" s="4"/>
    </row>
    <row r="332" spans="1:14">
      <c r="A332" s="4"/>
      <c r="B332" s="4"/>
      <c r="C332" s="4"/>
      <c r="D332" s="4"/>
      <c r="E332" s="4"/>
      <c r="F332" s="4"/>
      <c r="H332" s="4"/>
      <c r="I332" s="7"/>
      <c r="J332" s="4"/>
      <c r="K332" s="4"/>
      <c r="L332" s="4"/>
      <c r="M332" s="4"/>
      <c r="N332" s="4"/>
    </row>
    <row r="333" spans="1:14">
      <c r="A333" s="4"/>
      <c r="B333" s="4"/>
      <c r="C333" s="4"/>
      <c r="D333" s="4"/>
      <c r="E333" s="4"/>
      <c r="F333" s="4"/>
      <c r="H333" s="4"/>
      <c r="I333" s="7"/>
      <c r="J333" s="4"/>
      <c r="K333" s="4"/>
      <c r="L333" s="4"/>
      <c r="M333" s="4"/>
      <c r="N333" s="4"/>
    </row>
    <row r="334" spans="1:14">
      <c r="A334" s="4"/>
      <c r="B334" s="4"/>
      <c r="C334" s="4"/>
      <c r="D334" s="4"/>
      <c r="E334" s="4"/>
      <c r="F334" s="4"/>
      <c r="H334" s="4"/>
      <c r="I334" s="7"/>
      <c r="J334" s="4"/>
      <c r="K334" s="4"/>
      <c r="L334" s="4"/>
      <c r="M334" s="4"/>
      <c r="N334" s="4"/>
    </row>
    <row r="335" spans="1:14">
      <c r="A335" s="4"/>
      <c r="B335" s="4"/>
      <c r="C335" s="4"/>
      <c r="D335" s="4"/>
      <c r="E335" s="4"/>
      <c r="F335" s="4"/>
      <c r="H335" s="4"/>
      <c r="I335" s="7"/>
      <c r="J335" s="4"/>
      <c r="K335" s="4"/>
      <c r="L335" s="4"/>
      <c r="M335" s="4"/>
      <c r="N335" s="4"/>
    </row>
    <row r="336" spans="1:14">
      <c r="A336" s="4"/>
      <c r="B336" s="4"/>
      <c r="C336" s="4"/>
      <c r="D336" s="4"/>
      <c r="E336" s="4"/>
      <c r="F336" s="4"/>
      <c r="H336" s="4"/>
      <c r="I336" s="7"/>
      <c r="J336" s="4"/>
      <c r="K336" s="4"/>
      <c r="L336" s="4"/>
      <c r="M336" s="4"/>
      <c r="N336" s="4"/>
    </row>
    <row r="337" spans="1:14">
      <c r="A337" s="4"/>
      <c r="B337" s="4"/>
      <c r="C337" s="4"/>
      <c r="D337" s="4"/>
      <c r="E337" s="4"/>
      <c r="F337" s="4"/>
      <c r="H337" s="4"/>
      <c r="I337" s="7"/>
      <c r="J337" s="4"/>
      <c r="K337" s="4"/>
      <c r="L337" s="4"/>
      <c r="M337" s="4"/>
      <c r="N337" s="4"/>
    </row>
    <row r="338" spans="1:14">
      <c r="A338" s="4"/>
      <c r="B338" s="4"/>
      <c r="C338" s="4"/>
      <c r="D338" s="4"/>
      <c r="E338" s="4"/>
      <c r="F338" s="4"/>
      <c r="H338" s="4"/>
      <c r="I338" s="7"/>
      <c r="J338" s="4"/>
      <c r="K338" s="4"/>
      <c r="L338" s="4"/>
      <c r="M338" s="4"/>
      <c r="N338" s="4"/>
    </row>
    <row r="339" spans="1:14">
      <c r="A339" s="4"/>
      <c r="B339" s="4"/>
      <c r="C339" s="4"/>
      <c r="D339" s="4"/>
      <c r="E339" s="4"/>
      <c r="F339" s="4"/>
      <c r="H339" s="4"/>
      <c r="I339" s="7"/>
      <c r="J339" s="4"/>
      <c r="K339" s="4"/>
      <c r="L339" s="4"/>
      <c r="M339" s="4"/>
      <c r="N339" s="4"/>
    </row>
    <row r="340" spans="1:14">
      <c r="A340" s="4"/>
      <c r="B340" s="4"/>
      <c r="C340" s="4"/>
      <c r="D340" s="4"/>
      <c r="E340" s="4"/>
      <c r="F340" s="4"/>
      <c r="H340" s="4"/>
      <c r="I340" s="7"/>
      <c r="J340" s="4"/>
      <c r="K340" s="4"/>
      <c r="L340" s="4"/>
      <c r="M340" s="4"/>
      <c r="N340" s="4"/>
    </row>
    <row r="341" spans="1:14">
      <c r="A341" s="4"/>
      <c r="B341" s="4"/>
      <c r="C341" s="4"/>
      <c r="D341" s="4"/>
      <c r="E341" s="4"/>
      <c r="F341" s="4"/>
      <c r="H341" s="4"/>
      <c r="I341" s="7"/>
      <c r="J341" s="4"/>
      <c r="K341" s="4"/>
      <c r="L341" s="4"/>
      <c r="M341" s="4"/>
      <c r="N341" s="4"/>
    </row>
    <row r="342" spans="1:14">
      <c r="A342" s="4"/>
      <c r="B342" s="4"/>
      <c r="C342" s="4"/>
      <c r="D342" s="4"/>
      <c r="E342" s="4"/>
      <c r="F342" s="4"/>
      <c r="H342" s="4"/>
      <c r="I342" s="7"/>
      <c r="J342" s="4"/>
      <c r="K342" s="4"/>
      <c r="L342" s="4"/>
      <c r="M342" s="4"/>
      <c r="N342" s="4"/>
    </row>
    <row r="343" spans="1:14">
      <c r="A343" s="4"/>
      <c r="B343" s="4"/>
      <c r="C343" s="4"/>
      <c r="D343" s="4"/>
      <c r="E343" s="4"/>
      <c r="F343" s="4"/>
      <c r="H343" s="4"/>
      <c r="I343" s="7"/>
      <c r="J343" s="4"/>
      <c r="K343" s="4"/>
      <c r="L343" s="4"/>
      <c r="M343" s="4"/>
      <c r="N343" s="4"/>
    </row>
    <row r="344" spans="1:14">
      <c r="A344" s="4"/>
      <c r="B344" s="4"/>
      <c r="C344" s="4"/>
      <c r="D344" s="4"/>
      <c r="E344" s="4"/>
      <c r="F344" s="4"/>
      <c r="H344" s="4"/>
      <c r="I344" s="7"/>
      <c r="J344" s="4"/>
      <c r="K344" s="4"/>
      <c r="L344" s="4"/>
      <c r="M344" s="4"/>
      <c r="N344" s="4"/>
    </row>
    <row r="345" spans="1:14">
      <c r="A345" s="4"/>
      <c r="B345" s="4"/>
      <c r="C345" s="4"/>
      <c r="D345" s="4"/>
      <c r="E345" s="4"/>
      <c r="F345" s="4"/>
      <c r="H345" s="4"/>
      <c r="I345" s="7"/>
      <c r="J345" s="4"/>
      <c r="K345" s="4"/>
      <c r="L345" s="4"/>
      <c r="M345" s="4"/>
      <c r="N345" s="4"/>
    </row>
    <row r="346" spans="1:14">
      <c r="A346" s="4"/>
      <c r="B346" s="4"/>
      <c r="C346" s="4"/>
      <c r="D346" s="4"/>
      <c r="E346" s="4"/>
      <c r="F346" s="4"/>
      <c r="H346" s="4"/>
      <c r="I346" s="7"/>
      <c r="J346" s="4"/>
      <c r="K346" s="4"/>
      <c r="L346" s="4"/>
      <c r="M346" s="4"/>
      <c r="N346" s="4"/>
    </row>
    <row r="347" spans="1:14">
      <c r="A347" s="4"/>
      <c r="B347" s="4"/>
      <c r="C347" s="4"/>
      <c r="D347" s="4"/>
      <c r="E347" s="4"/>
      <c r="F347" s="4"/>
      <c r="H347" s="4"/>
      <c r="I347" s="7"/>
      <c r="J347" s="4"/>
      <c r="K347" s="4"/>
      <c r="L347" s="4"/>
      <c r="M347" s="4"/>
      <c r="N347" s="4"/>
    </row>
    <row r="348" spans="1:14">
      <c r="A348" s="4"/>
      <c r="B348" s="4"/>
      <c r="C348" s="4"/>
      <c r="D348" s="4"/>
      <c r="E348" s="4"/>
      <c r="F348" s="4"/>
      <c r="H348" s="4"/>
      <c r="I348" s="7"/>
      <c r="J348" s="4"/>
      <c r="K348" s="4"/>
      <c r="L348" s="4"/>
      <c r="M348" s="4"/>
      <c r="N348" s="4"/>
    </row>
    <row r="349" spans="1:14">
      <c r="A349" s="4"/>
      <c r="B349" s="4"/>
      <c r="C349" s="4"/>
      <c r="D349" s="4"/>
      <c r="E349" s="4"/>
      <c r="F349" s="4"/>
      <c r="H349" s="4"/>
      <c r="I349" s="7"/>
      <c r="J349" s="4"/>
      <c r="K349" s="4"/>
      <c r="L349" s="4"/>
      <c r="M349" s="4"/>
      <c r="N349" s="4"/>
    </row>
    <row r="350" spans="1:14">
      <c r="A350" s="4"/>
      <c r="B350" s="4"/>
      <c r="C350" s="4"/>
      <c r="D350" s="4"/>
      <c r="E350" s="4"/>
      <c r="F350" s="4"/>
      <c r="H350" s="4"/>
      <c r="I350" s="7"/>
      <c r="J350" s="4"/>
      <c r="K350" s="4"/>
      <c r="L350" s="4"/>
      <c r="M350" s="4"/>
      <c r="N350" s="4"/>
    </row>
    <row r="351" spans="1:14">
      <c r="A351" s="4"/>
      <c r="B351" s="4"/>
      <c r="C351" s="4"/>
      <c r="D351" s="4"/>
      <c r="E351" s="4"/>
      <c r="F351" s="4"/>
      <c r="H351" s="4"/>
      <c r="I351" s="7"/>
      <c r="J351" s="4"/>
      <c r="K351" s="4"/>
      <c r="L351" s="4"/>
      <c r="M351" s="4"/>
      <c r="N351" s="4"/>
    </row>
    <row r="352" spans="1:14">
      <c r="A352" s="4"/>
      <c r="B352" s="4"/>
      <c r="C352" s="4"/>
      <c r="D352" s="4"/>
      <c r="E352" s="4"/>
      <c r="F352" s="4"/>
      <c r="H352" s="4"/>
      <c r="I352" s="7"/>
      <c r="J352" s="4"/>
      <c r="K352" s="4"/>
      <c r="L352" s="4"/>
      <c r="M352" s="4"/>
      <c r="N352" s="4"/>
    </row>
    <row r="353" spans="1:14">
      <c r="A353" s="4"/>
      <c r="B353" s="4"/>
      <c r="C353" s="4"/>
      <c r="D353" s="4"/>
      <c r="E353" s="4"/>
      <c r="F353" s="4"/>
      <c r="H353" s="4"/>
      <c r="I353" s="7"/>
      <c r="J353" s="4"/>
      <c r="K353" s="4"/>
      <c r="L353" s="4"/>
      <c r="M353" s="4"/>
      <c r="N353" s="4"/>
    </row>
    <row r="354" spans="1:14">
      <c r="A354" s="4"/>
      <c r="B354" s="4"/>
      <c r="C354" s="4"/>
      <c r="D354" s="4"/>
      <c r="E354" s="4"/>
      <c r="F354" s="4"/>
      <c r="H354" s="4"/>
      <c r="I354" s="7"/>
      <c r="J354" s="4"/>
      <c r="K354" s="4"/>
      <c r="L354" s="4"/>
      <c r="M354" s="4"/>
      <c r="N354" s="4"/>
    </row>
    <row r="355" spans="1:14">
      <c r="A355" s="4"/>
      <c r="B355" s="4"/>
      <c r="C355" s="4"/>
      <c r="D355" s="4"/>
      <c r="E355" s="4"/>
      <c r="F355" s="4"/>
      <c r="H355" s="4"/>
      <c r="I355" s="7"/>
      <c r="J355" s="4"/>
      <c r="K355" s="4"/>
      <c r="L355" s="4"/>
      <c r="M355" s="4"/>
      <c r="N355" s="4"/>
    </row>
    <row r="356" spans="1:14">
      <c r="A356" s="4"/>
      <c r="B356" s="4"/>
      <c r="C356" s="4"/>
      <c r="D356" s="4"/>
      <c r="E356" s="4"/>
      <c r="F356" s="4"/>
      <c r="H356" s="4"/>
      <c r="I356" s="7"/>
      <c r="J356" s="4"/>
      <c r="K356" s="4"/>
      <c r="L356" s="4"/>
      <c r="M356" s="4"/>
      <c r="N356" s="4"/>
    </row>
    <row r="357" spans="1:14">
      <c r="A357" s="4"/>
      <c r="B357" s="4"/>
      <c r="C357" s="4"/>
      <c r="D357" s="4"/>
      <c r="E357" s="4"/>
      <c r="F357" s="4"/>
      <c r="H357" s="4"/>
      <c r="I357" s="7"/>
      <c r="J357" s="4"/>
      <c r="K357" s="4"/>
      <c r="L357" s="4"/>
      <c r="M357" s="4"/>
      <c r="N357" s="4"/>
    </row>
    <row r="358" spans="1:14">
      <c r="A358" s="4"/>
      <c r="B358" s="4"/>
      <c r="C358" s="4"/>
      <c r="D358" s="4"/>
      <c r="E358" s="4"/>
      <c r="F358" s="4"/>
      <c r="H358" s="4"/>
      <c r="I358" s="7"/>
      <c r="J358" s="4"/>
      <c r="K358" s="4"/>
      <c r="L358" s="4"/>
      <c r="M358" s="4"/>
      <c r="N358" s="4"/>
    </row>
    <row r="359" spans="1:14">
      <c r="A359" s="4"/>
      <c r="B359" s="4"/>
      <c r="C359" s="4"/>
      <c r="D359" s="4"/>
      <c r="E359" s="4"/>
      <c r="F359" s="4"/>
      <c r="H359" s="4"/>
      <c r="I359" s="7"/>
      <c r="J359" s="4"/>
      <c r="K359" s="4"/>
      <c r="L359" s="4"/>
      <c r="M359" s="4"/>
      <c r="N359" s="4"/>
    </row>
    <row r="360" spans="1:14">
      <c r="A360" s="4"/>
      <c r="B360" s="4"/>
      <c r="C360" s="4"/>
      <c r="D360" s="4"/>
      <c r="E360" s="4"/>
      <c r="F360" s="4"/>
      <c r="H360" s="4"/>
      <c r="I360" s="7"/>
      <c r="J360" s="4"/>
      <c r="K360" s="4"/>
      <c r="L360" s="4"/>
      <c r="M360" s="4"/>
      <c r="N360" s="4"/>
    </row>
    <row r="361" spans="1:14">
      <c r="A361" s="4"/>
      <c r="B361" s="4"/>
      <c r="C361" s="4"/>
      <c r="D361" s="4"/>
      <c r="E361" s="4"/>
      <c r="F361" s="4"/>
      <c r="H361" s="4"/>
      <c r="I361" s="7"/>
      <c r="J361" s="4"/>
      <c r="K361" s="4"/>
      <c r="L361" s="4"/>
      <c r="M361" s="4"/>
      <c r="N361" s="4"/>
    </row>
    <row r="362" spans="1:14">
      <c r="A362" s="4"/>
      <c r="B362" s="4"/>
      <c r="C362" s="4"/>
      <c r="D362" s="4"/>
      <c r="E362" s="4"/>
      <c r="F362" s="4"/>
      <c r="H362" s="4"/>
      <c r="I362" s="7"/>
      <c r="J362" s="4"/>
      <c r="K362" s="4"/>
      <c r="L362" s="4"/>
      <c r="M362" s="4"/>
      <c r="N362" s="4"/>
    </row>
    <row r="363" spans="1:14">
      <c r="A363" s="4"/>
      <c r="B363" s="4"/>
      <c r="C363" s="4"/>
      <c r="D363" s="4"/>
      <c r="E363" s="4"/>
      <c r="F363" s="4"/>
      <c r="H363" s="4"/>
      <c r="I363" s="7"/>
      <c r="J363" s="4"/>
      <c r="K363" s="4"/>
      <c r="L363" s="4"/>
      <c r="M363" s="4"/>
      <c r="N363" s="4"/>
    </row>
    <row r="364" spans="1:14">
      <c r="A364" s="4"/>
      <c r="B364" s="4"/>
      <c r="C364" s="4"/>
      <c r="D364" s="4"/>
      <c r="E364" s="4"/>
      <c r="F364" s="4"/>
      <c r="H364" s="4"/>
      <c r="I364" s="7"/>
      <c r="J364" s="4"/>
      <c r="K364" s="4"/>
      <c r="L364" s="4"/>
      <c r="M364" s="4"/>
      <c r="N364" s="4"/>
    </row>
    <row r="365" spans="1:14">
      <c r="A365" s="4"/>
      <c r="B365" s="4"/>
      <c r="C365" s="4"/>
      <c r="D365" s="4"/>
      <c r="E365" s="4"/>
      <c r="F365" s="4"/>
      <c r="H365" s="4"/>
      <c r="I365" s="7"/>
      <c r="J365" s="4"/>
      <c r="K365" s="4"/>
      <c r="L365" s="4"/>
      <c r="M365" s="4"/>
      <c r="N365" s="4"/>
    </row>
    <row r="366" spans="1:14">
      <c r="A366" s="4"/>
      <c r="B366" s="4"/>
      <c r="C366" s="4"/>
      <c r="D366" s="4"/>
      <c r="E366" s="4"/>
      <c r="F366" s="4"/>
      <c r="H366" s="4"/>
      <c r="I366" s="7"/>
      <c r="J366" s="4"/>
      <c r="K366" s="4"/>
      <c r="L366" s="4"/>
      <c r="M366" s="4"/>
      <c r="N366" s="4"/>
    </row>
    <row r="367" spans="1:14">
      <c r="A367" s="4"/>
      <c r="B367" s="4"/>
      <c r="C367" s="4"/>
      <c r="D367" s="4"/>
      <c r="E367" s="4"/>
      <c r="F367" s="4"/>
      <c r="H367" s="4"/>
      <c r="I367" s="7"/>
      <c r="J367" s="4"/>
      <c r="K367" s="4"/>
      <c r="L367" s="4"/>
      <c r="M367" s="4"/>
      <c r="N367" s="4"/>
    </row>
    <row r="368" spans="1:14">
      <c r="A368" s="4"/>
      <c r="B368" s="4"/>
      <c r="C368" s="4"/>
      <c r="D368" s="4"/>
      <c r="E368" s="4"/>
      <c r="F368" s="4"/>
      <c r="H368" s="4"/>
      <c r="I368" s="7"/>
      <c r="J368" s="4"/>
      <c r="K368" s="4"/>
      <c r="L368" s="4"/>
      <c r="M368" s="4"/>
      <c r="N368" s="4"/>
    </row>
    <row r="369" spans="1:14">
      <c r="A369" s="4"/>
      <c r="B369" s="4"/>
      <c r="C369" s="4"/>
      <c r="D369" s="4"/>
      <c r="E369" s="4"/>
      <c r="F369" s="4"/>
      <c r="H369" s="4"/>
      <c r="I369" s="7"/>
      <c r="J369" s="4"/>
      <c r="K369" s="4"/>
      <c r="L369" s="4"/>
      <c r="M369" s="4"/>
      <c r="N369" s="4"/>
    </row>
    <row r="370" spans="1:14">
      <c r="A370" s="4"/>
      <c r="B370" s="4"/>
      <c r="C370" s="4"/>
      <c r="D370" s="4"/>
      <c r="E370" s="4"/>
      <c r="F370" s="4"/>
      <c r="H370" s="4"/>
      <c r="I370" s="7"/>
      <c r="J370" s="4"/>
      <c r="K370" s="4"/>
      <c r="L370" s="4"/>
      <c r="M370" s="4"/>
      <c r="N370" s="4"/>
    </row>
    <row r="371" spans="1:14">
      <c r="A371" s="4"/>
      <c r="B371" s="4"/>
      <c r="C371" s="4"/>
      <c r="D371" s="4"/>
      <c r="E371" s="4"/>
      <c r="F371" s="4"/>
      <c r="H371" s="4"/>
      <c r="I371" s="7"/>
      <c r="J371" s="4"/>
      <c r="K371" s="4"/>
      <c r="L371" s="4"/>
      <c r="M371" s="4"/>
      <c r="N371" s="4"/>
    </row>
    <row r="372" spans="1:14">
      <c r="A372" s="4"/>
      <c r="B372" s="4"/>
      <c r="C372" s="4"/>
      <c r="D372" s="4"/>
      <c r="E372" s="4"/>
      <c r="F372" s="4"/>
      <c r="H372" s="4"/>
      <c r="I372" s="7"/>
      <c r="J372" s="4"/>
      <c r="K372" s="4"/>
      <c r="L372" s="4"/>
      <c r="M372" s="4"/>
      <c r="N372" s="4"/>
    </row>
    <row r="373" spans="1:14">
      <c r="A373" s="4"/>
      <c r="B373" s="4"/>
      <c r="C373" s="4"/>
      <c r="D373" s="4"/>
      <c r="E373" s="4"/>
      <c r="F373" s="4"/>
      <c r="H373" s="4"/>
      <c r="I373" s="7"/>
      <c r="J373" s="4"/>
      <c r="K373" s="4"/>
      <c r="L373" s="4"/>
      <c r="M373" s="4"/>
      <c r="N373" s="4"/>
    </row>
    <row r="374" spans="1:14">
      <c r="A374" s="4"/>
      <c r="B374" s="4"/>
      <c r="C374" s="4"/>
      <c r="D374" s="4"/>
      <c r="E374" s="4"/>
      <c r="F374" s="4"/>
      <c r="H374" s="4"/>
      <c r="I374" s="7"/>
      <c r="J374" s="4"/>
      <c r="K374" s="4"/>
      <c r="L374" s="4"/>
      <c r="M374" s="4"/>
      <c r="N374" s="4"/>
    </row>
    <row r="375" spans="1:14">
      <c r="A375" s="4"/>
      <c r="B375" s="4"/>
      <c r="C375" s="4"/>
      <c r="D375" s="4"/>
      <c r="E375" s="4"/>
      <c r="F375" s="4"/>
      <c r="H375" s="4"/>
      <c r="I375" s="7"/>
      <c r="J375" s="4"/>
      <c r="K375" s="4"/>
      <c r="L375" s="4"/>
      <c r="M375" s="4"/>
      <c r="N375" s="4"/>
    </row>
    <row r="376" spans="1:14">
      <c r="A376" s="4"/>
      <c r="B376" s="4"/>
      <c r="C376" s="4"/>
      <c r="D376" s="4"/>
      <c r="E376" s="4"/>
      <c r="F376" s="4"/>
      <c r="H376" s="4"/>
      <c r="I376" s="7"/>
      <c r="J376" s="4"/>
      <c r="K376" s="4"/>
      <c r="L376" s="4"/>
      <c r="M376" s="4"/>
      <c r="N376" s="4"/>
    </row>
    <row r="377" spans="1:14">
      <c r="A377" s="4"/>
      <c r="B377" s="4"/>
      <c r="C377" s="4"/>
      <c r="D377" s="4"/>
      <c r="E377" s="4"/>
      <c r="F377" s="4"/>
      <c r="H377" s="4"/>
      <c r="I377" s="7"/>
      <c r="J377" s="4"/>
      <c r="K377" s="4"/>
      <c r="L377" s="4"/>
      <c r="M377" s="4"/>
      <c r="N377" s="4"/>
    </row>
    <row r="378" spans="1:14">
      <c r="A378" s="4"/>
      <c r="B378" s="4"/>
      <c r="C378" s="4"/>
      <c r="D378" s="4"/>
      <c r="E378" s="4"/>
      <c r="F378" s="4"/>
      <c r="H378" s="4"/>
      <c r="I378" s="7"/>
      <c r="J378" s="4"/>
      <c r="K378" s="4"/>
      <c r="L378" s="4"/>
      <c r="M378" s="4"/>
      <c r="N378" s="4"/>
    </row>
    <row r="379" spans="1:14">
      <c r="A379" s="4"/>
      <c r="B379" s="4"/>
      <c r="C379" s="4"/>
      <c r="D379" s="4"/>
      <c r="E379" s="4"/>
      <c r="F379" s="4"/>
      <c r="H379" s="4"/>
      <c r="I379" s="7"/>
      <c r="J379" s="4"/>
      <c r="K379" s="4"/>
      <c r="L379" s="4"/>
      <c r="M379" s="4"/>
      <c r="N379" s="4"/>
    </row>
    <row r="380" spans="1:14">
      <c r="A380" s="4"/>
      <c r="B380" s="4"/>
      <c r="C380" s="4"/>
      <c r="D380" s="4"/>
      <c r="E380" s="4"/>
      <c r="F380" s="4"/>
      <c r="H380" s="4"/>
      <c r="I380" s="7"/>
      <c r="J380" s="4"/>
      <c r="K380" s="4"/>
      <c r="L380" s="4"/>
      <c r="M380" s="4"/>
      <c r="N380" s="4"/>
    </row>
    <row r="381" spans="1:14">
      <c r="A381" s="4"/>
      <c r="B381" s="4"/>
      <c r="C381" s="4"/>
      <c r="D381" s="4"/>
      <c r="E381" s="4"/>
      <c r="F381" s="4"/>
      <c r="H381" s="4"/>
      <c r="I381" s="7"/>
      <c r="J381" s="4"/>
      <c r="K381" s="4"/>
      <c r="L381" s="4"/>
      <c r="M381" s="4"/>
      <c r="N381" s="4"/>
    </row>
    <row r="382" spans="1:14">
      <c r="A382" s="4"/>
      <c r="B382" s="4"/>
      <c r="C382" s="4"/>
      <c r="D382" s="4"/>
      <c r="E382" s="4"/>
      <c r="F382" s="4"/>
      <c r="H382" s="4"/>
      <c r="I382" s="7"/>
      <c r="J382" s="4"/>
      <c r="K382" s="4"/>
      <c r="L382" s="4"/>
      <c r="M382" s="4"/>
      <c r="N382" s="4"/>
    </row>
    <row r="383" spans="1:14">
      <c r="A383" s="4"/>
      <c r="B383" s="4"/>
      <c r="C383" s="4"/>
      <c r="D383" s="4"/>
      <c r="E383" s="4"/>
      <c r="F383" s="4"/>
      <c r="H383" s="4"/>
      <c r="I383" s="7"/>
      <c r="J383" s="4"/>
      <c r="K383" s="4"/>
      <c r="L383" s="4"/>
      <c r="M383" s="4"/>
      <c r="N383" s="4"/>
    </row>
    <row r="384" spans="1:14">
      <c r="A384" s="4"/>
      <c r="B384" s="4"/>
      <c r="C384" s="4"/>
      <c r="D384" s="4"/>
      <c r="E384" s="4"/>
      <c r="F384" s="4"/>
      <c r="H384" s="4"/>
      <c r="I384" s="7"/>
      <c r="J384" s="4"/>
      <c r="K384" s="4"/>
      <c r="L384" s="4"/>
      <c r="M384" s="4"/>
      <c r="N384" s="4"/>
    </row>
    <row r="385" spans="1:14">
      <c r="A385" s="4"/>
      <c r="B385" s="4"/>
      <c r="C385" s="4"/>
      <c r="D385" s="4"/>
      <c r="E385" s="4"/>
      <c r="F385" s="4"/>
      <c r="H385" s="4"/>
      <c r="I385" s="7"/>
      <c r="J385" s="4"/>
      <c r="K385" s="4"/>
      <c r="L385" s="4"/>
      <c r="M385" s="4"/>
      <c r="N385" s="4"/>
    </row>
    <row r="386" spans="1:14">
      <c r="A386" s="4"/>
      <c r="B386" s="4"/>
      <c r="C386" s="4"/>
      <c r="D386" s="4"/>
      <c r="E386" s="4"/>
      <c r="F386" s="4"/>
      <c r="H386" s="4"/>
      <c r="I386" s="7"/>
      <c r="J386" s="4"/>
      <c r="K386" s="4"/>
      <c r="L386" s="4"/>
      <c r="M386" s="4"/>
      <c r="N386" s="4"/>
    </row>
    <row r="387" spans="1:14">
      <c r="A387" s="4"/>
      <c r="B387" s="4"/>
      <c r="C387" s="4"/>
      <c r="D387" s="4"/>
      <c r="E387" s="4"/>
      <c r="F387" s="4"/>
      <c r="H387" s="4"/>
      <c r="I387" s="7"/>
      <c r="J387" s="4"/>
      <c r="K387" s="4"/>
      <c r="L387" s="4"/>
      <c r="M387" s="4"/>
      <c r="N387" s="4"/>
    </row>
    <row r="388" spans="1:14">
      <c r="A388" s="4"/>
      <c r="B388" s="4"/>
      <c r="C388" s="4"/>
      <c r="D388" s="4"/>
      <c r="E388" s="4"/>
      <c r="F388" s="4"/>
      <c r="H388" s="4"/>
      <c r="I388" s="7"/>
      <c r="J388" s="4"/>
      <c r="K388" s="4"/>
      <c r="L388" s="4"/>
      <c r="M388" s="4"/>
      <c r="N388" s="4"/>
    </row>
    <row r="389" spans="1:14">
      <c r="A389" s="4"/>
      <c r="B389" s="4"/>
      <c r="C389" s="4"/>
      <c r="D389" s="4"/>
      <c r="E389" s="4"/>
      <c r="F389" s="4"/>
      <c r="H389" s="4"/>
      <c r="I389" s="7"/>
      <c r="J389" s="4"/>
      <c r="K389" s="4"/>
      <c r="L389" s="4"/>
      <c r="M389" s="4"/>
      <c r="N389" s="4"/>
    </row>
    <row r="390" spans="1:14">
      <c r="A390" s="4"/>
      <c r="B390" s="4"/>
      <c r="C390" s="4"/>
      <c r="D390" s="4"/>
      <c r="E390" s="4"/>
      <c r="F390" s="4"/>
      <c r="H390" s="4"/>
      <c r="I390" s="7"/>
      <c r="J390" s="4"/>
      <c r="K390" s="4"/>
      <c r="L390" s="4"/>
      <c r="M390" s="4"/>
      <c r="N390" s="4"/>
    </row>
    <row r="391" spans="1:14">
      <c r="A391" s="4"/>
      <c r="B391" s="4"/>
      <c r="C391" s="4"/>
      <c r="D391" s="4"/>
      <c r="E391" s="4"/>
      <c r="F391" s="4"/>
      <c r="H391" s="4"/>
      <c r="I391" s="7"/>
      <c r="J391" s="4"/>
      <c r="K391" s="4"/>
      <c r="L391" s="4"/>
      <c r="M391" s="4"/>
      <c r="N391" s="4"/>
    </row>
    <row r="392" spans="1:14">
      <c r="A392" s="4"/>
      <c r="B392" s="4"/>
      <c r="C392" s="4"/>
      <c r="D392" s="4"/>
      <c r="E392" s="4"/>
      <c r="F392" s="4"/>
      <c r="H392" s="4"/>
      <c r="I392" s="7"/>
      <c r="J392" s="4"/>
      <c r="K392" s="4"/>
      <c r="L392" s="4"/>
      <c r="M392" s="4"/>
      <c r="N392" s="4"/>
    </row>
    <row r="393" spans="1:14">
      <c r="A393" s="4"/>
      <c r="B393" s="4"/>
      <c r="C393" s="4"/>
      <c r="D393" s="4"/>
      <c r="E393" s="4"/>
      <c r="F393" s="4"/>
      <c r="H393" s="4"/>
      <c r="I393" s="7"/>
      <c r="J393" s="4"/>
      <c r="K393" s="4"/>
      <c r="L393" s="4"/>
      <c r="M393" s="4"/>
      <c r="N393" s="4"/>
    </row>
    <row r="394" spans="1:14">
      <c r="A394" s="4"/>
      <c r="B394" s="4"/>
      <c r="C394" s="4"/>
      <c r="D394" s="4"/>
      <c r="E394" s="4"/>
      <c r="F394" s="4"/>
      <c r="H394" s="4"/>
      <c r="I394" s="7"/>
      <c r="J394" s="4"/>
      <c r="K394" s="4"/>
      <c r="L394" s="4"/>
      <c r="M394" s="4"/>
      <c r="N394" s="4"/>
    </row>
    <row r="395" spans="1:14">
      <c r="A395" s="4"/>
      <c r="B395" s="4"/>
      <c r="C395" s="4"/>
      <c r="D395" s="4"/>
      <c r="E395" s="4"/>
      <c r="F395" s="4"/>
      <c r="H395" s="4"/>
      <c r="I395" s="7"/>
      <c r="J395" s="4"/>
      <c r="K395" s="4"/>
      <c r="L395" s="4"/>
      <c r="M395" s="4"/>
      <c r="N395" s="4"/>
    </row>
    <row r="396" spans="1:14">
      <c r="A396" s="4"/>
      <c r="B396" s="4"/>
      <c r="C396" s="4"/>
      <c r="D396" s="4"/>
      <c r="E396" s="4"/>
      <c r="F396" s="4"/>
      <c r="H396" s="4"/>
      <c r="I396" s="7"/>
      <c r="J396" s="4"/>
      <c r="K396" s="4"/>
      <c r="L396" s="4"/>
      <c r="M396" s="4"/>
      <c r="N396" s="4"/>
    </row>
    <row r="397" spans="1:14">
      <c r="A397" s="4"/>
      <c r="B397" s="4"/>
      <c r="C397" s="4"/>
      <c r="D397" s="4"/>
      <c r="E397" s="4"/>
      <c r="F397" s="4"/>
      <c r="H397" s="4"/>
      <c r="I397" s="7"/>
      <c r="J397" s="4"/>
      <c r="K397" s="4"/>
      <c r="L397" s="4"/>
      <c r="M397" s="4"/>
      <c r="N397" s="4"/>
    </row>
    <row r="398" spans="1:14">
      <c r="A398" s="4"/>
      <c r="B398" s="4"/>
      <c r="C398" s="4"/>
      <c r="D398" s="4"/>
      <c r="E398" s="4"/>
      <c r="F398" s="4"/>
      <c r="H398" s="4"/>
      <c r="I398" s="7"/>
      <c r="J398" s="4"/>
      <c r="K398" s="4"/>
      <c r="L398" s="4"/>
      <c r="M398" s="4"/>
      <c r="N398" s="4"/>
    </row>
    <row r="399" spans="1:14">
      <c r="A399" s="4"/>
      <c r="B399" s="4"/>
      <c r="C399" s="4"/>
      <c r="D399" s="4"/>
      <c r="E399" s="4"/>
      <c r="F399" s="4"/>
      <c r="H399" s="4"/>
      <c r="I399" s="7"/>
      <c r="J399" s="4"/>
      <c r="K399" s="4"/>
      <c r="L399" s="4"/>
      <c r="M399" s="4"/>
      <c r="N399" s="4"/>
    </row>
    <row r="400" spans="1:14">
      <c r="A400" s="4"/>
      <c r="B400" s="4"/>
      <c r="C400" s="4"/>
      <c r="D400" s="4"/>
      <c r="E400" s="4"/>
      <c r="F400" s="4"/>
      <c r="H400" s="4"/>
      <c r="I400" s="7"/>
      <c r="J400" s="4"/>
      <c r="K400" s="4"/>
      <c r="L400" s="4"/>
      <c r="M400" s="4"/>
      <c r="N400" s="4"/>
    </row>
    <row r="401" spans="1:14">
      <c r="A401" s="4"/>
      <c r="B401" s="4"/>
      <c r="C401" s="4"/>
      <c r="D401" s="4"/>
      <c r="E401" s="4"/>
      <c r="F401" s="4"/>
      <c r="H401" s="4"/>
      <c r="I401" s="7"/>
      <c r="J401" s="4"/>
      <c r="K401" s="4"/>
      <c r="L401" s="4"/>
      <c r="M401" s="4"/>
      <c r="N401" s="4"/>
    </row>
    <row r="402" spans="1:14">
      <c r="A402" s="4"/>
      <c r="B402" s="4"/>
      <c r="C402" s="4"/>
      <c r="D402" s="4"/>
      <c r="E402" s="4"/>
      <c r="F402" s="4"/>
      <c r="H402" s="4"/>
      <c r="I402" s="7"/>
      <c r="J402" s="4"/>
      <c r="K402" s="4"/>
      <c r="L402" s="4"/>
      <c r="M402" s="4"/>
      <c r="N402" s="4"/>
    </row>
    <row r="403" spans="1:14">
      <c r="A403" s="4"/>
      <c r="B403" s="4"/>
      <c r="C403" s="4"/>
      <c r="D403" s="4"/>
      <c r="E403" s="4"/>
      <c r="F403" s="4"/>
      <c r="H403" s="4"/>
      <c r="I403" s="7"/>
      <c r="J403" s="4"/>
      <c r="K403" s="4"/>
      <c r="L403" s="4"/>
      <c r="M403" s="4"/>
      <c r="N403" s="4"/>
    </row>
    <row r="404" spans="1:14">
      <c r="A404" s="4"/>
      <c r="B404" s="4"/>
      <c r="C404" s="4"/>
      <c r="D404" s="4"/>
      <c r="E404" s="4"/>
      <c r="F404" s="4"/>
      <c r="H404" s="4"/>
      <c r="I404" s="7"/>
      <c r="J404" s="4"/>
      <c r="K404" s="4"/>
      <c r="L404" s="4"/>
      <c r="M404" s="4"/>
      <c r="N404" s="4"/>
    </row>
    <row r="405" spans="1:14">
      <c r="A405" s="4"/>
      <c r="B405" s="4"/>
      <c r="C405" s="4"/>
      <c r="D405" s="4"/>
      <c r="E405" s="4"/>
      <c r="F405" s="4"/>
      <c r="H405" s="4"/>
      <c r="I405" s="7"/>
      <c r="J405" s="4"/>
      <c r="K405" s="4"/>
      <c r="L405" s="4"/>
      <c r="M405" s="4"/>
      <c r="N405" s="4"/>
    </row>
    <row r="406" spans="1:14">
      <c r="A406" s="4"/>
      <c r="B406" s="4"/>
      <c r="C406" s="4"/>
      <c r="D406" s="4"/>
      <c r="E406" s="4"/>
      <c r="F406" s="4"/>
      <c r="H406" s="4"/>
      <c r="I406" s="7"/>
      <c r="J406" s="4"/>
      <c r="K406" s="4"/>
      <c r="L406" s="4"/>
      <c r="M406" s="4"/>
      <c r="N406" s="4"/>
    </row>
    <row r="407" spans="1:14">
      <c r="A407" s="4"/>
      <c r="B407" s="4"/>
      <c r="C407" s="4"/>
      <c r="D407" s="4"/>
      <c r="E407" s="4"/>
      <c r="F407" s="4"/>
      <c r="H407" s="4"/>
      <c r="I407" s="7"/>
      <c r="J407" s="4"/>
      <c r="K407" s="4"/>
      <c r="L407" s="4"/>
      <c r="M407" s="4"/>
      <c r="N407" s="4"/>
    </row>
    <row r="408" spans="1:14">
      <c r="A408" s="4"/>
      <c r="B408" s="4"/>
      <c r="C408" s="4"/>
      <c r="D408" s="4"/>
      <c r="E408" s="4"/>
      <c r="F408" s="4"/>
      <c r="H408" s="4"/>
      <c r="I408" s="7"/>
      <c r="J408" s="4"/>
      <c r="K408" s="4"/>
      <c r="L408" s="4"/>
      <c r="M408" s="4"/>
      <c r="N408" s="4"/>
    </row>
    <row r="409" spans="1:14">
      <c r="A409" s="4"/>
      <c r="B409" s="4"/>
      <c r="C409" s="4"/>
      <c r="D409" s="4"/>
      <c r="E409" s="4"/>
      <c r="F409" s="4"/>
      <c r="H409" s="4"/>
      <c r="I409" s="7"/>
      <c r="J409" s="4"/>
      <c r="K409" s="4"/>
      <c r="L409" s="4"/>
      <c r="M409" s="4"/>
      <c r="N409" s="4"/>
    </row>
    <row r="410" spans="1:14">
      <c r="A410" s="4"/>
      <c r="B410" s="4"/>
      <c r="C410" s="4"/>
      <c r="D410" s="4"/>
      <c r="E410" s="4"/>
      <c r="F410" s="4"/>
      <c r="H410" s="4"/>
      <c r="I410" s="7"/>
      <c r="J410" s="4"/>
      <c r="K410" s="4"/>
      <c r="L410" s="4"/>
      <c r="M410" s="4"/>
      <c r="N410" s="4"/>
    </row>
    <row r="411" spans="1:14">
      <c r="A411" s="4"/>
      <c r="B411" s="4"/>
      <c r="C411" s="4"/>
      <c r="D411" s="4"/>
      <c r="E411" s="4"/>
      <c r="F411" s="4"/>
      <c r="H411" s="4"/>
      <c r="I411" s="7"/>
      <c r="J411" s="4"/>
      <c r="K411" s="4"/>
      <c r="L411" s="4"/>
      <c r="M411" s="4"/>
      <c r="N411" s="4"/>
    </row>
    <row r="412" spans="1:14">
      <c r="A412" s="4"/>
      <c r="B412" s="4"/>
      <c r="C412" s="4"/>
      <c r="D412" s="4"/>
      <c r="E412" s="4"/>
      <c r="F412" s="4"/>
      <c r="H412" s="4"/>
      <c r="I412" s="7"/>
      <c r="J412" s="4"/>
      <c r="K412" s="4"/>
      <c r="L412" s="4"/>
      <c r="M412" s="4"/>
      <c r="N412" s="4"/>
    </row>
    <row r="413" spans="1:14">
      <c r="A413" s="4"/>
      <c r="B413" s="4"/>
      <c r="C413" s="4"/>
      <c r="D413" s="4"/>
      <c r="E413" s="4"/>
      <c r="F413" s="4"/>
      <c r="H413" s="4"/>
      <c r="I413" s="7"/>
      <c r="J413" s="4"/>
      <c r="K413" s="4"/>
      <c r="L413" s="4"/>
      <c r="M413" s="4"/>
      <c r="N413" s="4"/>
    </row>
    <row r="414" spans="1:14">
      <c r="A414" s="4"/>
      <c r="B414" s="4"/>
      <c r="C414" s="4"/>
      <c r="D414" s="4"/>
      <c r="E414" s="4"/>
      <c r="F414" s="4"/>
      <c r="H414" s="4"/>
      <c r="I414" s="7"/>
      <c r="J414" s="4"/>
      <c r="K414" s="4"/>
      <c r="L414" s="4"/>
      <c r="M414" s="4"/>
      <c r="N414" s="4"/>
    </row>
    <row r="415" spans="1:14">
      <c r="A415" s="4"/>
      <c r="B415" s="4"/>
      <c r="C415" s="4"/>
      <c r="D415" s="4"/>
      <c r="E415" s="4"/>
      <c r="F415" s="4"/>
      <c r="H415" s="4"/>
      <c r="I415" s="7"/>
      <c r="J415" s="4"/>
      <c r="K415" s="4"/>
      <c r="L415" s="4"/>
      <c r="M415" s="4"/>
      <c r="N415" s="4"/>
    </row>
    <row r="416" spans="1:14">
      <c r="A416" s="4"/>
      <c r="B416" s="4"/>
      <c r="C416" s="4"/>
      <c r="D416" s="4"/>
      <c r="E416" s="4"/>
      <c r="F416" s="4"/>
      <c r="H416" s="4"/>
      <c r="I416" s="7"/>
      <c r="J416" s="4"/>
      <c r="K416" s="4"/>
      <c r="L416" s="4"/>
      <c r="M416" s="4"/>
      <c r="N416" s="4"/>
    </row>
    <row r="417" spans="1:14">
      <c r="A417" s="4"/>
      <c r="B417" s="4"/>
      <c r="C417" s="4"/>
      <c r="D417" s="4"/>
      <c r="E417" s="4"/>
      <c r="F417" s="4"/>
      <c r="H417" s="4"/>
      <c r="I417" s="7"/>
      <c r="J417" s="4"/>
      <c r="K417" s="4"/>
      <c r="L417" s="4"/>
      <c r="M417" s="4"/>
      <c r="N417" s="4"/>
    </row>
    <row r="418" spans="1:14">
      <c r="A418" s="4"/>
      <c r="B418" s="4"/>
      <c r="C418" s="4"/>
      <c r="D418" s="4"/>
      <c r="E418" s="4"/>
      <c r="F418" s="4"/>
      <c r="H418" s="4"/>
      <c r="I418" s="7"/>
      <c r="J418" s="4"/>
      <c r="K418" s="4"/>
      <c r="L418" s="4"/>
      <c r="M418" s="4"/>
      <c r="N418" s="4"/>
    </row>
    <row r="419" spans="1:14">
      <c r="A419" s="4"/>
      <c r="B419" s="4"/>
      <c r="C419" s="4"/>
      <c r="D419" s="4"/>
      <c r="E419" s="4"/>
      <c r="F419" s="4"/>
      <c r="H419" s="4"/>
      <c r="I419" s="7"/>
      <c r="J419" s="4"/>
      <c r="K419" s="4"/>
      <c r="L419" s="4"/>
      <c r="M419" s="4"/>
      <c r="N419" s="4"/>
    </row>
    <row r="420" spans="1:14">
      <c r="A420" s="4"/>
      <c r="B420" s="4"/>
      <c r="C420" s="4"/>
      <c r="D420" s="4"/>
      <c r="E420" s="4"/>
      <c r="F420" s="4"/>
      <c r="H420" s="4"/>
      <c r="I420" s="7"/>
      <c r="J420" s="4"/>
      <c r="K420" s="4"/>
      <c r="L420" s="4"/>
      <c r="M420" s="4"/>
      <c r="N420" s="4"/>
    </row>
    <row r="421" spans="1:14">
      <c r="A421" s="4"/>
      <c r="B421" s="4"/>
      <c r="C421" s="4"/>
      <c r="D421" s="4"/>
      <c r="E421" s="4"/>
      <c r="F421" s="4"/>
      <c r="H421" s="4"/>
      <c r="I421" s="7"/>
      <c r="J421" s="4"/>
      <c r="K421" s="4"/>
      <c r="L421" s="4"/>
      <c r="M421" s="4"/>
      <c r="N421" s="4"/>
    </row>
    <row r="422" spans="1:14">
      <c r="A422" s="4"/>
      <c r="B422" s="4"/>
      <c r="C422" s="4"/>
      <c r="D422" s="4"/>
      <c r="E422" s="4"/>
      <c r="F422" s="4"/>
      <c r="H422" s="4"/>
      <c r="I422" s="7"/>
      <c r="J422" s="4"/>
      <c r="K422" s="4"/>
      <c r="L422" s="4"/>
      <c r="M422" s="4"/>
      <c r="N422" s="4"/>
    </row>
    <row r="423" spans="1:14">
      <c r="A423" s="4"/>
      <c r="B423" s="4"/>
      <c r="C423" s="4"/>
      <c r="D423" s="4"/>
      <c r="E423" s="4"/>
      <c r="F423" s="4"/>
      <c r="H423" s="4"/>
      <c r="I423" s="7"/>
      <c r="J423" s="4"/>
      <c r="K423" s="4"/>
      <c r="L423" s="4"/>
      <c r="M423" s="4"/>
      <c r="N423" s="4"/>
    </row>
    <row r="424" spans="1:14">
      <c r="A424" s="4"/>
      <c r="B424" s="4"/>
      <c r="C424" s="4"/>
      <c r="D424" s="4"/>
      <c r="E424" s="4"/>
      <c r="F424" s="4"/>
      <c r="H424" s="4"/>
      <c r="I424" s="7"/>
      <c r="J424" s="4"/>
      <c r="K424" s="4"/>
      <c r="L424" s="4"/>
      <c r="M424" s="4"/>
      <c r="N424" s="4"/>
    </row>
    <row r="425" spans="1:14">
      <c r="A425" s="4"/>
      <c r="B425" s="4"/>
      <c r="C425" s="4"/>
      <c r="D425" s="4"/>
      <c r="E425" s="4"/>
      <c r="F425" s="4"/>
      <c r="H425" s="4"/>
      <c r="I425" s="7"/>
      <c r="J425" s="4"/>
      <c r="K425" s="4"/>
      <c r="L425" s="4"/>
      <c r="M425" s="4"/>
      <c r="N425" s="4"/>
    </row>
    <row r="426" spans="1:14">
      <c r="A426" s="4"/>
      <c r="B426" s="4"/>
      <c r="C426" s="4"/>
      <c r="D426" s="4"/>
      <c r="E426" s="4"/>
      <c r="F426" s="4"/>
      <c r="H426" s="4"/>
      <c r="I426" s="7"/>
      <c r="J426" s="4"/>
      <c r="K426" s="4"/>
      <c r="L426" s="4"/>
      <c r="M426" s="4"/>
      <c r="N426" s="4"/>
    </row>
    <row r="427" spans="1:14">
      <c r="A427" s="4"/>
      <c r="B427" s="4"/>
      <c r="C427" s="4"/>
      <c r="D427" s="4"/>
      <c r="E427" s="4"/>
      <c r="F427" s="4"/>
      <c r="H427" s="4"/>
      <c r="I427" s="7"/>
      <c r="J427" s="4"/>
      <c r="K427" s="4"/>
      <c r="L427" s="4"/>
      <c r="M427" s="4"/>
      <c r="N427" s="4"/>
    </row>
    <row r="428" spans="1:14">
      <c r="A428" s="4"/>
      <c r="B428" s="4"/>
      <c r="C428" s="4"/>
      <c r="D428" s="4"/>
      <c r="E428" s="4"/>
      <c r="F428" s="4"/>
      <c r="H428" s="4"/>
      <c r="I428" s="7"/>
      <c r="J428" s="4"/>
      <c r="K428" s="4"/>
      <c r="L428" s="4"/>
      <c r="M428" s="4"/>
      <c r="N428" s="4"/>
    </row>
    <row r="429" spans="1:14">
      <c r="A429" s="4"/>
      <c r="B429" s="4"/>
      <c r="C429" s="4"/>
      <c r="D429" s="4"/>
      <c r="E429" s="4"/>
      <c r="F429" s="4"/>
      <c r="H429" s="4"/>
      <c r="I429" s="7"/>
      <c r="J429" s="4"/>
      <c r="K429" s="4"/>
      <c r="L429" s="4"/>
      <c r="M429" s="4"/>
      <c r="N429" s="4"/>
    </row>
    <row r="430" spans="1:14">
      <c r="A430" s="4"/>
      <c r="B430" s="4"/>
      <c r="C430" s="4"/>
      <c r="D430" s="4"/>
      <c r="E430" s="4"/>
      <c r="F430" s="4"/>
      <c r="H430" s="4"/>
      <c r="I430" s="7"/>
      <c r="J430" s="4"/>
      <c r="K430" s="4"/>
      <c r="L430" s="4"/>
      <c r="M430" s="4"/>
      <c r="N430" s="4"/>
    </row>
    <row r="431" spans="1:14">
      <c r="A431" s="4"/>
      <c r="B431" s="4"/>
      <c r="C431" s="4"/>
      <c r="D431" s="4"/>
      <c r="E431" s="4"/>
      <c r="F431" s="4"/>
      <c r="H431" s="4"/>
      <c r="I431" s="7"/>
      <c r="J431" s="4"/>
      <c r="K431" s="4"/>
      <c r="L431" s="4"/>
      <c r="M431" s="4"/>
      <c r="N431" s="4"/>
    </row>
    <row r="432" spans="1:14">
      <c r="A432" s="4"/>
      <c r="B432" s="4"/>
      <c r="C432" s="4"/>
      <c r="D432" s="4"/>
      <c r="E432" s="4"/>
      <c r="F432" s="4"/>
      <c r="H432" s="4"/>
      <c r="I432" s="7"/>
      <c r="J432" s="4"/>
      <c r="K432" s="4"/>
      <c r="L432" s="4"/>
      <c r="M432" s="4"/>
      <c r="N432" s="4"/>
    </row>
    <row r="433" spans="1:14">
      <c r="A433" s="4"/>
      <c r="B433" s="4"/>
      <c r="C433" s="4"/>
      <c r="D433" s="4"/>
      <c r="E433" s="4"/>
      <c r="F433" s="4"/>
      <c r="H433" s="4"/>
      <c r="I433" s="7"/>
      <c r="J433" s="4"/>
      <c r="K433" s="4"/>
      <c r="L433" s="4"/>
      <c r="M433" s="4"/>
      <c r="N433" s="4"/>
    </row>
    <row r="434" spans="1:14">
      <c r="A434" s="4"/>
      <c r="B434" s="4"/>
      <c r="C434" s="4"/>
      <c r="D434" s="4"/>
      <c r="E434" s="4"/>
      <c r="F434" s="4"/>
      <c r="H434" s="4"/>
      <c r="I434" s="7"/>
      <c r="J434" s="4"/>
      <c r="K434" s="4"/>
      <c r="L434" s="4"/>
      <c r="M434" s="4"/>
      <c r="N434" s="4"/>
    </row>
    <row r="435" spans="1:14">
      <c r="A435" s="4"/>
      <c r="B435" s="4"/>
      <c r="C435" s="4"/>
      <c r="D435" s="4"/>
      <c r="E435" s="4"/>
      <c r="F435" s="4"/>
      <c r="H435" s="4"/>
      <c r="I435" s="7"/>
      <c r="J435" s="4"/>
      <c r="K435" s="4"/>
      <c r="L435" s="4"/>
      <c r="M435" s="4"/>
      <c r="N435" s="4"/>
    </row>
    <row r="436" spans="1:14">
      <c r="A436" s="4"/>
      <c r="B436" s="4"/>
      <c r="C436" s="4"/>
      <c r="D436" s="4"/>
      <c r="E436" s="4"/>
      <c r="F436" s="4"/>
      <c r="H436" s="4"/>
      <c r="I436" s="7"/>
      <c r="J436" s="4"/>
      <c r="K436" s="4"/>
      <c r="L436" s="4"/>
      <c r="M436" s="4"/>
      <c r="N436" s="4"/>
    </row>
    <row r="437" spans="1:14">
      <c r="A437" s="4"/>
      <c r="B437" s="4"/>
      <c r="C437" s="4"/>
      <c r="D437" s="4"/>
      <c r="E437" s="4"/>
      <c r="F437" s="4"/>
      <c r="H437" s="4"/>
      <c r="I437" s="7"/>
      <c r="J437" s="4"/>
      <c r="K437" s="4"/>
      <c r="L437" s="4"/>
      <c r="M437" s="4"/>
      <c r="N437" s="4"/>
    </row>
    <row r="438" spans="1:14">
      <c r="A438" s="4"/>
      <c r="B438" s="4"/>
      <c r="C438" s="4"/>
      <c r="D438" s="4"/>
      <c r="E438" s="4"/>
      <c r="F438" s="4"/>
      <c r="H438" s="4"/>
      <c r="I438" s="7"/>
      <c r="J438" s="4"/>
      <c r="K438" s="4"/>
      <c r="L438" s="4"/>
      <c r="M438" s="4"/>
      <c r="N438" s="4"/>
    </row>
    <row r="439" spans="1:14">
      <c r="A439" s="4"/>
      <c r="B439" s="4"/>
      <c r="C439" s="4"/>
      <c r="D439" s="4"/>
      <c r="E439" s="4"/>
      <c r="F439" s="4"/>
      <c r="H439" s="4"/>
      <c r="I439" s="7"/>
      <c r="J439" s="4"/>
      <c r="K439" s="4"/>
      <c r="L439" s="4"/>
      <c r="M439" s="4"/>
      <c r="N439" s="4"/>
    </row>
    <row r="440" spans="1:14">
      <c r="A440" s="4"/>
      <c r="B440" s="4"/>
      <c r="C440" s="4"/>
      <c r="D440" s="4"/>
      <c r="E440" s="4"/>
      <c r="F440" s="4"/>
      <c r="H440" s="4"/>
      <c r="I440" s="7"/>
      <c r="J440" s="4"/>
      <c r="K440" s="4"/>
      <c r="L440" s="4"/>
      <c r="M440" s="4"/>
      <c r="N440" s="4"/>
    </row>
    <row r="441" spans="1:14">
      <c r="A441" s="4"/>
      <c r="B441" s="4"/>
      <c r="C441" s="4"/>
      <c r="D441" s="4"/>
      <c r="E441" s="4"/>
      <c r="F441" s="4"/>
      <c r="H441" s="4"/>
      <c r="I441" s="7"/>
      <c r="J441" s="4"/>
      <c r="K441" s="4"/>
      <c r="L441" s="4"/>
      <c r="M441" s="4"/>
      <c r="N441" s="4"/>
    </row>
    <row r="442" spans="1:14">
      <c r="A442" s="4"/>
      <c r="B442" s="4"/>
      <c r="C442" s="4"/>
      <c r="D442" s="4"/>
      <c r="E442" s="4"/>
      <c r="F442" s="4"/>
      <c r="H442" s="4"/>
      <c r="I442" s="7"/>
      <c r="J442" s="4"/>
      <c r="K442" s="4"/>
      <c r="L442" s="4"/>
      <c r="M442" s="4"/>
      <c r="N442" s="4"/>
    </row>
    <row r="443" spans="1:14">
      <c r="A443" s="4"/>
      <c r="B443" s="4"/>
      <c r="C443" s="4"/>
      <c r="D443" s="4"/>
      <c r="E443" s="4"/>
      <c r="F443" s="4"/>
      <c r="H443" s="4"/>
      <c r="I443" s="7"/>
      <c r="J443" s="4"/>
      <c r="K443" s="4"/>
      <c r="L443" s="4"/>
      <c r="M443" s="4"/>
      <c r="N443" s="4"/>
    </row>
    <row r="444" spans="1:14">
      <c r="A444" s="4"/>
      <c r="B444" s="4"/>
      <c r="C444" s="4"/>
      <c r="D444" s="4"/>
      <c r="E444" s="4"/>
      <c r="F444" s="4"/>
      <c r="H444" s="4"/>
      <c r="I444" s="7"/>
      <c r="J444" s="4"/>
      <c r="K444" s="4"/>
      <c r="L444" s="4"/>
      <c r="M444" s="4"/>
      <c r="N444" s="4"/>
    </row>
    <row r="445" spans="1:14">
      <c r="A445" s="4"/>
      <c r="B445" s="4"/>
      <c r="C445" s="4"/>
      <c r="D445" s="4"/>
      <c r="E445" s="4"/>
      <c r="F445" s="4"/>
      <c r="H445" s="4"/>
      <c r="I445" s="7"/>
      <c r="J445" s="4"/>
      <c r="K445" s="4"/>
      <c r="L445" s="4"/>
      <c r="M445" s="4"/>
      <c r="N445" s="4"/>
    </row>
    <row r="446" spans="1:14">
      <c r="A446" s="4"/>
      <c r="B446" s="4"/>
      <c r="C446" s="4"/>
      <c r="D446" s="4"/>
      <c r="E446" s="4"/>
      <c r="F446" s="4"/>
      <c r="H446" s="4"/>
      <c r="I446" s="7"/>
      <c r="J446" s="4"/>
      <c r="K446" s="4"/>
      <c r="L446" s="4"/>
      <c r="M446" s="4"/>
      <c r="N446" s="4"/>
    </row>
    <row r="447" spans="1:14">
      <c r="A447" s="4"/>
      <c r="B447" s="4"/>
      <c r="C447" s="4"/>
      <c r="D447" s="4"/>
      <c r="E447" s="4"/>
      <c r="F447" s="4"/>
      <c r="H447" s="4"/>
      <c r="I447" s="7"/>
      <c r="J447" s="4"/>
      <c r="K447" s="4"/>
      <c r="L447" s="4"/>
      <c r="M447" s="4"/>
      <c r="N447" s="4"/>
    </row>
    <row r="448" spans="1:14">
      <c r="A448" s="4"/>
      <c r="B448" s="4"/>
      <c r="C448" s="4"/>
      <c r="D448" s="4"/>
      <c r="E448" s="4"/>
      <c r="F448" s="4"/>
      <c r="H448" s="4"/>
      <c r="I448" s="7"/>
      <c r="J448" s="4"/>
      <c r="K448" s="4"/>
      <c r="L448" s="4"/>
      <c r="M448" s="4"/>
      <c r="N448" s="4"/>
    </row>
    <row r="449" spans="1:14">
      <c r="A449" s="4"/>
      <c r="B449" s="4"/>
      <c r="C449" s="4"/>
      <c r="D449" s="4"/>
      <c r="E449" s="4"/>
      <c r="F449" s="4"/>
      <c r="H449" s="4"/>
      <c r="I449" s="7"/>
      <c r="J449" s="4"/>
      <c r="K449" s="4"/>
      <c r="L449" s="4"/>
      <c r="M449" s="4"/>
      <c r="N449" s="4"/>
    </row>
    <row r="450" spans="1:14">
      <c r="A450" s="4"/>
      <c r="B450" s="4"/>
      <c r="C450" s="4"/>
      <c r="D450" s="4"/>
      <c r="E450" s="4"/>
      <c r="F450" s="4"/>
      <c r="H450" s="4"/>
      <c r="I450" s="7"/>
      <c r="J450" s="4"/>
      <c r="K450" s="4"/>
      <c r="L450" s="4"/>
      <c r="M450" s="4"/>
      <c r="N450" s="4"/>
    </row>
    <row r="451" spans="1:14">
      <c r="A451" s="4"/>
      <c r="B451" s="4"/>
      <c r="C451" s="4"/>
      <c r="D451" s="4"/>
      <c r="E451" s="4"/>
      <c r="F451" s="4"/>
      <c r="H451" s="4"/>
      <c r="I451" s="7"/>
      <c r="J451" s="4"/>
      <c r="K451" s="4"/>
      <c r="L451" s="4"/>
      <c r="M451" s="4"/>
      <c r="N451" s="4"/>
    </row>
    <row r="452" spans="1:14">
      <c r="A452" s="4"/>
      <c r="B452" s="4"/>
      <c r="C452" s="4"/>
      <c r="D452" s="4"/>
      <c r="E452" s="4"/>
      <c r="F452" s="4"/>
      <c r="H452" s="4"/>
      <c r="I452" s="7"/>
      <c r="J452" s="4"/>
      <c r="K452" s="4"/>
      <c r="L452" s="4"/>
      <c r="M452" s="4"/>
      <c r="N452" s="4"/>
    </row>
    <row r="453" spans="1:14">
      <c r="A453" s="4"/>
      <c r="B453" s="4"/>
      <c r="C453" s="4"/>
      <c r="D453" s="4"/>
      <c r="E453" s="4"/>
      <c r="F453" s="4"/>
      <c r="H453" s="4"/>
      <c r="I453" s="7"/>
      <c r="J453" s="4"/>
      <c r="K453" s="4"/>
      <c r="L453" s="4"/>
      <c r="M453" s="4"/>
      <c r="N453" s="4"/>
    </row>
    <row r="454" spans="1:14">
      <c r="A454" s="4"/>
      <c r="B454" s="4"/>
      <c r="C454" s="4"/>
      <c r="D454" s="4"/>
      <c r="E454" s="4"/>
      <c r="F454" s="4"/>
      <c r="H454" s="4"/>
      <c r="I454" s="7"/>
      <c r="J454" s="4"/>
      <c r="K454" s="4"/>
      <c r="L454" s="4"/>
      <c r="M454" s="4"/>
      <c r="N454" s="4"/>
    </row>
    <row r="455" spans="1:14">
      <c r="A455" s="4"/>
      <c r="B455" s="4"/>
      <c r="C455" s="4"/>
      <c r="D455" s="4"/>
      <c r="E455" s="4"/>
      <c r="F455" s="4"/>
      <c r="H455" s="4"/>
      <c r="I455" s="7"/>
      <c r="J455" s="4"/>
      <c r="K455" s="4"/>
      <c r="L455" s="4"/>
      <c r="M455" s="4"/>
      <c r="N455" s="4"/>
    </row>
    <row r="456" spans="1:14">
      <c r="A456" s="4"/>
      <c r="B456" s="4"/>
      <c r="C456" s="4"/>
      <c r="D456" s="4"/>
      <c r="E456" s="4"/>
      <c r="F456" s="4"/>
      <c r="H456" s="4"/>
      <c r="I456" s="7"/>
      <c r="J456" s="4"/>
      <c r="K456" s="4"/>
      <c r="L456" s="4"/>
      <c r="M456" s="4"/>
      <c r="N456" s="4"/>
    </row>
    <row r="457" spans="1:14">
      <c r="A457" s="4"/>
      <c r="B457" s="4"/>
      <c r="C457" s="4"/>
      <c r="D457" s="4"/>
      <c r="E457" s="4"/>
      <c r="F457" s="4"/>
      <c r="H457" s="4"/>
      <c r="I457" s="7"/>
      <c r="J457" s="4"/>
      <c r="K457" s="4"/>
      <c r="L457" s="4"/>
      <c r="M457" s="4"/>
      <c r="N457" s="4"/>
    </row>
    <row r="458" spans="1:14">
      <c r="A458" s="4"/>
      <c r="B458" s="4"/>
      <c r="C458" s="4"/>
      <c r="D458" s="4"/>
      <c r="E458" s="4"/>
      <c r="F458" s="4"/>
      <c r="H458" s="4"/>
      <c r="I458" s="7"/>
      <c r="J458" s="4"/>
      <c r="K458" s="4"/>
      <c r="L458" s="4"/>
      <c r="M458" s="4"/>
      <c r="N458" s="4"/>
    </row>
    <row r="459" spans="1:14">
      <c r="A459" s="4"/>
      <c r="B459" s="4"/>
      <c r="C459" s="4"/>
      <c r="D459" s="4"/>
      <c r="E459" s="4"/>
      <c r="F459" s="4"/>
      <c r="H459" s="4"/>
      <c r="I459" s="7"/>
      <c r="J459" s="4"/>
      <c r="K459" s="4"/>
      <c r="L459" s="4"/>
      <c r="M459" s="4"/>
      <c r="N459" s="4"/>
    </row>
    <row r="460" spans="1:14">
      <c r="A460" s="4"/>
      <c r="B460" s="4"/>
      <c r="C460" s="4"/>
      <c r="D460" s="4"/>
      <c r="E460" s="4"/>
      <c r="F460" s="4"/>
      <c r="H460" s="4"/>
      <c r="I460" s="7"/>
      <c r="J460" s="4"/>
      <c r="K460" s="4"/>
      <c r="L460" s="4"/>
      <c r="M460" s="4"/>
      <c r="N460" s="4"/>
    </row>
    <row r="461" spans="1:14">
      <c r="A461" s="4"/>
      <c r="B461" s="4"/>
      <c r="C461" s="4"/>
      <c r="D461" s="4"/>
      <c r="E461" s="4"/>
      <c r="F461" s="4"/>
      <c r="H461" s="4"/>
      <c r="I461" s="7"/>
      <c r="J461" s="4"/>
      <c r="K461" s="4"/>
      <c r="L461" s="4"/>
      <c r="M461" s="4"/>
      <c r="N461" s="4"/>
    </row>
    <row r="462" spans="1:14">
      <c r="A462" s="4"/>
      <c r="B462" s="4"/>
      <c r="C462" s="4"/>
      <c r="D462" s="4"/>
      <c r="E462" s="4"/>
      <c r="F462" s="4"/>
      <c r="H462" s="4"/>
      <c r="I462" s="7"/>
      <c r="J462" s="4"/>
      <c r="K462" s="4"/>
      <c r="L462" s="4"/>
      <c r="M462" s="4"/>
      <c r="N462" s="4"/>
    </row>
    <row r="463" spans="1:14">
      <c r="A463" s="4"/>
      <c r="B463" s="4"/>
      <c r="C463" s="4"/>
      <c r="D463" s="4"/>
      <c r="E463" s="4"/>
      <c r="F463" s="4"/>
      <c r="H463" s="4"/>
      <c r="I463" s="7"/>
      <c r="J463" s="4"/>
      <c r="K463" s="4"/>
      <c r="L463" s="4"/>
      <c r="M463" s="4"/>
      <c r="N463" s="4"/>
    </row>
    <row r="464" spans="1:14">
      <c r="A464" s="4"/>
      <c r="B464" s="4"/>
      <c r="C464" s="4"/>
      <c r="D464" s="4"/>
      <c r="E464" s="4"/>
      <c r="F464" s="4"/>
      <c r="H464" s="4"/>
      <c r="I464" s="7"/>
      <c r="J464" s="4"/>
      <c r="K464" s="4"/>
      <c r="L464" s="4"/>
      <c r="M464" s="4"/>
      <c r="N464" s="4"/>
    </row>
    <row r="465" spans="1:14">
      <c r="A465" s="4"/>
      <c r="B465" s="4"/>
      <c r="C465" s="4"/>
      <c r="D465" s="4"/>
      <c r="E465" s="4"/>
      <c r="F465" s="4"/>
      <c r="H465" s="4"/>
      <c r="I465" s="7"/>
      <c r="J465" s="4"/>
      <c r="K465" s="4"/>
      <c r="L465" s="4"/>
      <c r="M465" s="4"/>
      <c r="N465" s="4"/>
    </row>
    <row r="466" spans="1:14">
      <c r="A466" s="4"/>
      <c r="B466" s="4"/>
      <c r="C466" s="4"/>
      <c r="D466" s="4"/>
      <c r="E466" s="4"/>
      <c r="F466" s="4"/>
      <c r="H466" s="4"/>
      <c r="I466" s="7"/>
      <c r="J466" s="4"/>
      <c r="K466" s="4"/>
      <c r="L466" s="4"/>
      <c r="M466" s="4"/>
      <c r="N466" s="4"/>
    </row>
    <row r="467" spans="1:14">
      <c r="A467" s="4"/>
      <c r="B467" s="4"/>
      <c r="C467" s="4"/>
      <c r="D467" s="4"/>
      <c r="E467" s="4"/>
      <c r="F467" s="4"/>
      <c r="H467" s="4"/>
      <c r="I467" s="7"/>
      <c r="J467" s="4"/>
      <c r="K467" s="4"/>
      <c r="L467" s="4"/>
      <c r="M467" s="4"/>
      <c r="N467" s="4"/>
    </row>
    <row r="468" spans="1:14">
      <c r="A468" s="4"/>
      <c r="B468" s="4"/>
      <c r="C468" s="4"/>
      <c r="D468" s="4"/>
      <c r="E468" s="4"/>
      <c r="F468" s="4"/>
      <c r="H468" s="4"/>
      <c r="I468" s="7"/>
      <c r="J468" s="4"/>
      <c r="K468" s="4"/>
      <c r="L468" s="4"/>
      <c r="M468" s="4"/>
      <c r="N468" s="4"/>
    </row>
    <row r="469" spans="1:14">
      <c r="A469" s="4"/>
      <c r="B469" s="4"/>
      <c r="C469" s="4"/>
      <c r="D469" s="4"/>
      <c r="E469" s="4"/>
      <c r="F469" s="4"/>
      <c r="H469" s="4"/>
      <c r="I469" s="7"/>
      <c r="J469" s="4"/>
      <c r="K469" s="4"/>
      <c r="L469" s="4"/>
      <c r="M469" s="4"/>
      <c r="N469" s="4"/>
    </row>
    <row r="470" spans="1:14">
      <c r="A470" s="4"/>
      <c r="B470" s="4"/>
      <c r="C470" s="4"/>
      <c r="D470" s="4"/>
      <c r="E470" s="4"/>
      <c r="F470" s="4"/>
      <c r="H470" s="4"/>
      <c r="I470" s="7"/>
      <c r="J470" s="4"/>
      <c r="K470" s="4"/>
      <c r="L470" s="4"/>
      <c r="M470" s="4"/>
      <c r="N470" s="4"/>
    </row>
    <row r="471" spans="1:14">
      <c r="A471" s="4"/>
      <c r="B471" s="4"/>
      <c r="C471" s="4"/>
      <c r="D471" s="4"/>
      <c r="E471" s="4"/>
      <c r="F471" s="4"/>
      <c r="H471" s="4"/>
      <c r="I471" s="7"/>
      <c r="J471" s="4"/>
      <c r="K471" s="4"/>
      <c r="L471" s="4"/>
      <c r="M471" s="4"/>
      <c r="N471" s="4"/>
    </row>
    <row r="472" spans="1:14">
      <c r="A472" s="4"/>
      <c r="B472" s="4"/>
      <c r="C472" s="4"/>
      <c r="D472" s="4"/>
      <c r="E472" s="4"/>
      <c r="F472" s="4"/>
      <c r="H472" s="4"/>
      <c r="I472" s="7"/>
      <c r="J472" s="4"/>
      <c r="K472" s="4"/>
      <c r="L472" s="4"/>
      <c r="M472" s="4"/>
      <c r="N472" s="4"/>
    </row>
    <row r="473" spans="1:14">
      <c r="A473" s="4"/>
      <c r="B473" s="4"/>
      <c r="C473" s="4"/>
      <c r="D473" s="4"/>
      <c r="E473" s="4"/>
      <c r="F473" s="4"/>
      <c r="H473" s="4"/>
      <c r="I473" s="7"/>
      <c r="J473" s="4"/>
      <c r="K473" s="4"/>
      <c r="L473" s="4"/>
      <c r="M473" s="4"/>
      <c r="N473" s="4"/>
    </row>
    <row r="474" spans="1:14">
      <c r="A474" s="4"/>
      <c r="B474" s="4"/>
      <c r="C474" s="4"/>
      <c r="D474" s="4"/>
      <c r="E474" s="4"/>
      <c r="F474" s="4"/>
      <c r="H474" s="4"/>
      <c r="I474" s="7"/>
      <c r="J474" s="4"/>
      <c r="K474" s="4"/>
      <c r="L474" s="4"/>
      <c r="M474" s="4"/>
      <c r="N474" s="4"/>
    </row>
    <row r="475" spans="1:14">
      <c r="A475" s="4"/>
      <c r="B475" s="4"/>
      <c r="C475" s="4"/>
      <c r="D475" s="4"/>
      <c r="E475" s="4"/>
      <c r="F475" s="4"/>
      <c r="H475" s="4"/>
      <c r="I475" s="7"/>
      <c r="J475" s="4"/>
      <c r="K475" s="4"/>
      <c r="L475" s="4"/>
      <c r="M475" s="4"/>
      <c r="N475" s="4"/>
    </row>
    <row r="476" spans="1:14">
      <c r="A476" s="4"/>
      <c r="B476" s="4"/>
      <c r="C476" s="4"/>
      <c r="D476" s="4"/>
      <c r="E476" s="4"/>
      <c r="F476" s="4"/>
      <c r="H476" s="4"/>
      <c r="I476" s="7"/>
      <c r="J476" s="4"/>
      <c r="K476" s="4"/>
      <c r="L476" s="4"/>
      <c r="M476" s="4"/>
      <c r="N476" s="4"/>
    </row>
    <row r="477" spans="1:14">
      <c r="A477" s="4"/>
      <c r="B477" s="4"/>
      <c r="C477" s="4"/>
      <c r="D477" s="4"/>
      <c r="E477" s="4"/>
      <c r="F477" s="4"/>
      <c r="H477" s="4"/>
      <c r="I477" s="7"/>
      <c r="J477" s="4"/>
      <c r="K477" s="4"/>
      <c r="L477" s="4"/>
      <c r="M477" s="4"/>
      <c r="N477" s="4"/>
    </row>
    <row r="478" spans="1:14">
      <c r="A478" s="4"/>
      <c r="B478" s="4"/>
      <c r="C478" s="4"/>
      <c r="D478" s="4"/>
      <c r="E478" s="4"/>
      <c r="F478" s="4"/>
      <c r="H478" s="4"/>
      <c r="I478" s="7"/>
      <c r="J478" s="4"/>
      <c r="K478" s="4"/>
      <c r="L478" s="4"/>
      <c r="M478" s="4"/>
      <c r="N478" s="4"/>
    </row>
    <row r="479" spans="1:14">
      <c r="A479" s="4"/>
      <c r="B479" s="4"/>
      <c r="C479" s="4"/>
      <c r="D479" s="4"/>
      <c r="E479" s="4"/>
      <c r="F479" s="4"/>
      <c r="H479" s="4"/>
      <c r="I479" s="7"/>
      <c r="J479" s="4"/>
      <c r="K479" s="4"/>
      <c r="L479" s="4"/>
      <c r="M479" s="4"/>
      <c r="N479" s="4"/>
    </row>
    <row r="480" spans="1:14">
      <c r="A480" s="4"/>
      <c r="B480" s="4"/>
      <c r="C480" s="4"/>
      <c r="D480" s="4"/>
      <c r="E480" s="4"/>
      <c r="F480" s="4"/>
      <c r="H480" s="4"/>
      <c r="I480" s="7"/>
      <c r="J480" s="4"/>
      <c r="K480" s="4"/>
      <c r="L480" s="4"/>
      <c r="M480" s="4"/>
      <c r="N480" s="4"/>
    </row>
    <row r="481" spans="1:14">
      <c r="A481" s="4"/>
      <c r="B481" s="4"/>
      <c r="C481" s="4"/>
      <c r="D481" s="4"/>
      <c r="E481" s="4"/>
      <c r="F481" s="4"/>
      <c r="H481" s="4"/>
      <c r="I481" s="7"/>
      <c r="J481" s="4"/>
      <c r="K481" s="4"/>
      <c r="L481" s="4"/>
      <c r="M481" s="4"/>
      <c r="N481" s="4"/>
    </row>
    <row r="482" spans="1:14">
      <c r="A482" s="4"/>
      <c r="B482" s="4"/>
      <c r="C482" s="4"/>
      <c r="D482" s="4"/>
      <c r="E482" s="4"/>
      <c r="F482" s="4"/>
      <c r="H482" s="4"/>
      <c r="I482" s="7"/>
      <c r="J482" s="4"/>
      <c r="K482" s="4"/>
      <c r="L482" s="4"/>
      <c r="M482" s="4"/>
      <c r="N482" s="4"/>
    </row>
    <row r="483" spans="1:14">
      <c r="A483" s="4"/>
      <c r="B483" s="4"/>
      <c r="C483" s="4"/>
      <c r="D483" s="4"/>
      <c r="E483" s="4"/>
      <c r="F483" s="4"/>
      <c r="H483" s="4"/>
      <c r="I483" s="7"/>
      <c r="J483" s="4"/>
      <c r="K483" s="4"/>
      <c r="L483" s="4"/>
      <c r="M483" s="4"/>
      <c r="N483" s="4"/>
    </row>
    <row r="484" spans="1:14">
      <c r="A484" s="4"/>
      <c r="B484" s="4"/>
      <c r="C484" s="4"/>
      <c r="D484" s="4"/>
      <c r="E484" s="4"/>
      <c r="F484" s="4"/>
      <c r="H484" s="4"/>
      <c r="I484" s="7"/>
      <c r="J484" s="4"/>
      <c r="K484" s="4"/>
      <c r="L484" s="4"/>
      <c r="M484" s="4"/>
      <c r="N484" s="4"/>
    </row>
    <row r="485" spans="1:14">
      <c r="A485" s="4"/>
      <c r="B485" s="4"/>
      <c r="C485" s="4"/>
      <c r="D485" s="4"/>
      <c r="E485" s="4"/>
      <c r="F485" s="4"/>
      <c r="H485" s="4"/>
      <c r="I485" s="7"/>
      <c r="J485" s="4"/>
      <c r="K485" s="4"/>
      <c r="L485" s="4"/>
      <c r="M485" s="4"/>
      <c r="N485" s="4"/>
    </row>
    <row r="486" spans="1:14">
      <c r="A486" s="4"/>
      <c r="B486" s="4"/>
      <c r="C486" s="4"/>
      <c r="D486" s="4"/>
      <c r="E486" s="4"/>
      <c r="F486" s="4"/>
      <c r="H486" s="4"/>
      <c r="I486" s="7"/>
      <c r="J486" s="4"/>
      <c r="K486" s="4"/>
      <c r="L486" s="4"/>
      <c r="M486" s="4"/>
      <c r="N486" s="4"/>
    </row>
    <row r="487" spans="1:14">
      <c r="A487" s="4"/>
      <c r="B487" s="4"/>
      <c r="C487" s="4"/>
      <c r="D487" s="4"/>
      <c r="E487" s="4"/>
      <c r="F487" s="4"/>
      <c r="H487" s="4"/>
      <c r="I487" s="7"/>
      <c r="J487" s="4"/>
      <c r="K487" s="4"/>
      <c r="L487" s="4"/>
      <c r="M487" s="4"/>
      <c r="N487" s="4"/>
    </row>
    <row r="488" spans="1:14">
      <c r="A488" s="4"/>
      <c r="B488" s="4"/>
      <c r="C488" s="4"/>
      <c r="D488" s="4"/>
      <c r="E488" s="4"/>
      <c r="F488" s="4"/>
      <c r="H488" s="4"/>
      <c r="I488" s="7"/>
      <c r="J488" s="4"/>
      <c r="K488" s="4"/>
      <c r="L488" s="4"/>
      <c r="M488" s="4"/>
      <c r="N488" s="4"/>
    </row>
    <row r="489" spans="1:14">
      <c r="A489" s="4"/>
      <c r="B489" s="4"/>
      <c r="C489" s="4"/>
      <c r="D489" s="4"/>
      <c r="E489" s="4"/>
      <c r="F489" s="4"/>
      <c r="H489" s="4"/>
      <c r="I489" s="7"/>
      <c r="J489" s="4"/>
      <c r="K489" s="4"/>
      <c r="L489" s="4"/>
      <c r="M489" s="4"/>
      <c r="N489" s="4"/>
    </row>
    <row r="490" spans="1:14">
      <c r="A490" s="4"/>
      <c r="B490" s="4"/>
      <c r="C490" s="4"/>
      <c r="D490" s="4"/>
      <c r="E490" s="4"/>
      <c r="F490" s="4"/>
      <c r="H490" s="4"/>
      <c r="I490" s="7"/>
      <c r="J490" s="4"/>
      <c r="K490" s="4"/>
      <c r="L490" s="4"/>
      <c r="M490" s="4"/>
      <c r="N490" s="4"/>
    </row>
    <row r="491" spans="1:14">
      <c r="A491" s="4"/>
      <c r="B491" s="4"/>
      <c r="C491" s="4"/>
      <c r="D491" s="4"/>
      <c r="E491" s="4"/>
      <c r="F491" s="4"/>
      <c r="H491" s="4"/>
      <c r="I491" s="7"/>
      <c r="J491" s="4"/>
      <c r="K491" s="4"/>
      <c r="L491" s="4"/>
      <c r="M491" s="4"/>
      <c r="N491" s="4"/>
    </row>
    <row r="492" spans="1:14">
      <c r="A492" s="4"/>
      <c r="B492" s="4"/>
      <c r="C492" s="4"/>
      <c r="D492" s="4"/>
      <c r="E492" s="4"/>
      <c r="F492" s="4"/>
      <c r="H492" s="4"/>
      <c r="I492" s="7"/>
      <c r="J492" s="4"/>
      <c r="K492" s="4"/>
      <c r="L492" s="4"/>
      <c r="M492" s="4"/>
      <c r="N492" s="4"/>
    </row>
    <row r="493" spans="1:14">
      <c r="A493" s="4"/>
      <c r="B493" s="4"/>
      <c r="C493" s="4"/>
      <c r="D493" s="4"/>
      <c r="E493" s="4"/>
      <c r="F493" s="4"/>
      <c r="H493" s="4"/>
      <c r="I493" s="7"/>
      <c r="J493" s="4"/>
      <c r="K493" s="4"/>
      <c r="L493" s="4"/>
      <c r="M493" s="4"/>
      <c r="N493" s="4"/>
    </row>
    <row r="494" spans="1:14">
      <c r="A494" s="4"/>
      <c r="B494" s="4"/>
      <c r="C494" s="4"/>
      <c r="D494" s="4"/>
      <c r="E494" s="4"/>
      <c r="F494" s="4"/>
      <c r="H494" s="4"/>
      <c r="I494" s="7"/>
      <c r="J494" s="4"/>
      <c r="K494" s="4"/>
      <c r="L494" s="4"/>
      <c r="M494" s="4"/>
      <c r="N494" s="4"/>
    </row>
  </sheetData>
  <autoFilter ref="A1:N2" xr:uid="{00000000-0009-0000-0000-000008000000}">
    <sortState xmlns:xlrd2="http://schemas.microsoft.com/office/spreadsheetml/2017/richdata2" ref="A2:N51">
      <sortCondition ref="G1:G2"/>
    </sortState>
  </autoFilter>
  <dataValidations count="1">
    <dataValidation type="list" allowBlank="1" showInputMessage="1" showErrorMessage="1" sqref="C70:C85 C87:C103 C105:C122 C124:C494 C2:C68" xr:uid="{00000000-0002-0000-0800-000001000000}">
      <formula1>INDIRECT(B2)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800-000000000000}">
          <x14:formula1>
            <xm:f>List!$P$2:$P$11</xm:f>
          </x14:formula1>
          <xm:sqref>B14:B15 B17:B31 B33:B35 B37:B68 B70:B85 B87:B103 B105:B122 B124:B494 B2:B12</xm:sqref>
        </x14:dataValidation>
        <x14:dataValidation type="list" allowBlank="1" showInputMessage="1" showErrorMessage="1" xr:uid="{00000000-0002-0000-0800-000002000000}">
          <x14:formula1>
            <xm:f>List!$C$2:$C$3</xm:f>
          </x14:formula1>
          <xm:sqref>D2:D494</xm:sqref>
        </x14:dataValidation>
        <x14:dataValidation type="list" allowBlank="1" showInputMessage="1" showErrorMessage="1" xr:uid="{00000000-0002-0000-0800-000003000000}">
          <x14:formula1>
            <xm:f>List!$E$2:$E$32</xm:f>
          </x14:formula1>
          <xm:sqref>E2:E494</xm:sqref>
        </x14:dataValidation>
        <x14:dataValidation type="list" allowBlank="1" showInputMessage="1" showErrorMessage="1" xr:uid="{00000000-0002-0000-0800-000004000000}">
          <x14:formula1>
            <xm:f>List!$H$2:$H$13</xm:f>
          </x14:formula1>
          <xm:sqref>M2:M494</xm:sqref>
        </x14:dataValidation>
        <x14:dataValidation type="list" allowBlank="1" showInputMessage="1" showErrorMessage="1" xr:uid="{00000000-0002-0000-0800-000005000000}">
          <x14:formula1>
            <xm:f>List!$J$2:$J$4</xm:f>
          </x14:formula1>
          <xm:sqref>N2:N494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4" tint="0.39997558519241921"/>
  </sheetPr>
  <dimension ref="A1:N11"/>
  <sheetViews>
    <sheetView topLeftCell="C1" workbookViewId="0">
      <selection activeCell="B2" sqref="B2:N11"/>
    </sheetView>
  </sheetViews>
  <sheetFormatPr defaultColWidth="9" defaultRowHeight="14.5"/>
  <cols>
    <col min="1" max="1" width="5.36328125" customWidth="1"/>
    <col min="2" max="2" width="8.6328125" customWidth="1"/>
    <col min="3" max="3" width="8.36328125" customWidth="1"/>
    <col min="4" max="4" width="8.90625" customWidth="1"/>
    <col min="5" max="5" width="8.1796875" customWidth="1"/>
    <col min="6" max="6" width="10.08984375" customWidth="1"/>
    <col min="7" max="7" width="41.1796875" customWidth="1"/>
    <col min="8" max="8" width="21.08984375" customWidth="1"/>
    <col min="9" max="9" width="18" customWidth="1"/>
    <col min="10" max="10" width="10.08984375" customWidth="1"/>
    <col min="11" max="11" width="11.08984375" customWidth="1"/>
    <col min="12" max="12" width="10.453125" customWidth="1"/>
    <col min="13" max="13" width="6.453125" customWidth="1"/>
    <col min="14" max="14" width="4.8164062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4">
        <v>1</v>
      </c>
      <c r="B2" t="s">
        <v>52</v>
      </c>
      <c r="C2" t="s">
        <v>62</v>
      </c>
      <c r="D2" s="4" t="s">
        <v>19</v>
      </c>
      <c r="E2" s="4" t="s">
        <v>96</v>
      </c>
      <c r="F2" s="4"/>
      <c r="G2" t="s">
        <v>255</v>
      </c>
      <c r="H2" s="4" t="s">
        <v>98</v>
      </c>
      <c r="I2" s="41">
        <v>20485.2</v>
      </c>
      <c r="J2" s="89" t="s">
        <v>14</v>
      </c>
      <c r="K2" s="89" t="s">
        <v>14</v>
      </c>
      <c r="L2" s="4" t="s">
        <v>14</v>
      </c>
      <c r="M2" s="83" t="s">
        <v>222</v>
      </c>
      <c r="N2" s="4">
        <v>2025</v>
      </c>
    </row>
    <row r="3" spans="1:14">
      <c r="A3" s="4">
        <v>2</v>
      </c>
      <c r="B3" t="s">
        <v>42</v>
      </c>
      <c r="C3" t="s">
        <v>51</v>
      </c>
      <c r="D3" s="4" t="s">
        <v>60</v>
      </c>
      <c r="E3" s="4" t="s">
        <v>96</v>
      </c>
      <c r="F3" s="4"/>
      <c r="G3" t="s">
        <v>93</v>
      </c>
      <c r="H3" s="4" t="s">
        <v>98</v>
      </c>
      <c r="I3" s="36">
        <f>2000000/1450</f>
        <v>1379.3103448275863</v>
      </c>
      <c r="J3" s="4" t="s">
        <v>327</v>
      </c>
      <c r="K3" s="43">
        <v>46022</v>
      </c>
      <c r="L3" s="4" t="s">
        <v>14</v>
      </c>
      <c r="M3" s="83" t="s">
        <v>222</v>
      </c>
      <c r="N3" s="4">
        <v>2025</v>
      </c>
    </row>
    <row r="4" spans="1:14">
      <c r="A4" s="4">
        <v>3</v>
      </c>
      <c r="B4" t="s">
        <v>33</v>
      </c>
      <c r="C4" t="s">
        <v>34</v>
      </c>
      <c r="D4" s="4" t="s">
        <v>60</v>
      </c>
      <c r="E4" s="4" t="s">
        <v>96</v>
      </c>
      <c r="F4" s="4"/>
      <c r="G4" t="s">
        <v>97</v>
      </c>
      <c r="H4" s="4" t="s">
        <v>98</v>
      </c>
      <c r="I4" s="36">
        <v>2640</v>
      </c>
      <c r="J4" s="4" t="s">
        <v>322</v>
      </c>
      <c r="K4" s="43">
        <v>46020</v>
      </c>
      <c r="L4" s="4" t="s">
        <v>14</v>
      </c>
      <c r="M4" s="83" t="s">
        <v>222</v>
      </c>
      <c r="N4" s="4">
        <v>2025</v>
      </c>
    </row>
    <row r="5" spans="1:14">
      <c r="A5" s="4">
        <v>4</v>
      </c>
      <c r="B5" t="s">
        <v>42</v>
      </c>
      <c r="C5" t="s">
        <v>51</v>
      </c>
      <c r="D5" s="4" t="s">
        <v>60</v>
      </c>
      <c r="E5" s="4" t="s">
        <v>96</v>
      </c>
      <c r="G5" t="s">
        <v>97</v>
      </c>
      <c r="H5" s="4" t="s">
        <v>98</v>
      </c>
      <c r="I5" s="36">
        <v>15500</v>
      </c>
      <c r="J5" s="4" t="s">
        <v>323</v>
      </c>
      <c r="K5" s="43">
        <v>46020</v>
      </c>
      <c r="L5" s="4" t="s">
        <v>14</v>
      </c>
      <c r="M5" s="83" t="s">
        <v>222</v>
      </c>
      <c r="N5" s="4">
        <v>2025</v>
      </c>
    </row>
    <row r="6" spans="1:14">
      <c r="A6" s="4">
        <v>5</v>
      </c>
      <c r="B6" t="s">
        <v>33</v>
      </c>
      <c r="C6" t="s">
        <v>34</v>
      </c>
      <c r="D6" s="4" t="s">
        <v>60</v>
      </c>
      <c r="E6" s="4" t="s">
        <v>96</v>
      </c>
      <c r="G6" t="s">
        <v>97</v>
      </c>
      <c r="H6" s="4" t="s">
        <v>254</v>
      </c>
      <c r="I6" s="36">
        <v>8640</v>
      </c>
      <c r="J6" s="4" t="s">
        <v>324</v>
      </c>
      <c r="K6" s="43">
        <v>46020</v>
      </c>
      <c r="L6" s="4" t="s">
        <v>14</v>
      </c>
      <c r="M6" s="83" t="s">
        <v>222</v>
      </c>
      <c r="N6" s="4">
        <v>2025</v>
      </c>
    </row>
    <row r="7" spans="1:14">
      <c r="A7" s="4">
        <v>6</v>
      </c>
      <c r="B7" t="s">
        <v>17</v>
      </c>
      <c r="C7" t="s">
        <v>25</v>
      </c>
      <c r="D7" s="4" t="s">
        <v>60</v>
      </c>
      <c r="E7" s="4" t="s">
        <v>96</v>
      </c>
      <c r="G7" t="s">
        <v>97</v>
      </c>
      <c r="H7" s="4" t="s">
        <v>98</v>
      </c>
      <c r="I7" s="36">
        <v>15500</v>
      </c>
      <c r="J7" s="4" t="s">
        <v>325</v>
      </c>
      <c r="K7" s="43">
        <v>46020</v>
      </c>
      <c r="L7" s="4" t="s">
        <v>14</v>
      </c>
      <c r="M7" s="83" t="s">
        <v>222</v>
      </c>
      <c r="N7" s="4">
        <v>2025</v>
      </c>
    </row>
    <row r="8" spans="1:14">
      <c r="A8" s="4">
        <v>7</v>
      </c>
      <c r="B8" t="s">
        <v>17</v>
      </c>
      <c r="C8" t="s">
        <v>25</v>
      </c>
      <c r="D8" s="4" t="s">
        <v>60</v>
      </c>
      <c r="E8" s="4" t="s">
        <v>96</v>
      </c>
      <c r="G8" t="s">
        <v>97</v>
      </c>
      <c r="H8" s="4" t="s">
        <v>98</v>
      </c>
      <c r="I8" s="36">
        <v>3720</v>
      </c>
      <c r="J8" s="4" t="s">
        <v>326</v>
      </c>
      <c r="K8" s="43">
        <v>46020</v>
      </c>
      <c r="L8" s="4" t="s">
        <v>14</v>
      </c>
      <c r="M8" s="83" t="s">
        <v>222</v>
      </c>
      <c r="N8" s="4">
        <v>2025</v>
      </c>
    </row>
    <row r="9" spans="1:14">
      <c r="A9" s="4">
        <v>8</v>
      </c>
      <c r="B9" t="s">
        <v>250</v>
      </c>
      <c r="C9" t="s">
        <v>55</v>
      </c>
      <c r="D9" s="4" t="s">
        <v>60</v>
      </c>
      <c r="E9" s="4" t="s">
        <v>96</v>
      </c>
      <c r="G9" t="s">
        <v>99</v>
      </c>
      <c r="H9" s="4" t="s">
        <v>98</v>
      </c>
      <c r="I9" s="42">
        <v>11520</v>
      </c>
      <c r="J9" s="4" t="s">
        <v>321</v>
      </c>
      <c r="K9" s="43">
        <v>46021</v>
      </c>
      <c r="L9" s="4" t="s">
        <v>14</v>
      </c>
      <c r="M9" s="83" t="s">
        <v>222</v>
      </c>
      <c r="N9" s="4">
        <v>2025</v>
      </c>
    </row>
    <row r="10" spans="1:14">
      <c r="A10" s="4">
        <v>9</v>
      </c>
      <c r="B10" t="s">
        <v>17</v>
      </c>
      <c r="C10" t="s">
        <v>23</v>
      </c>
      <c r="D10" s="4" t="s">
        <v>60</v>
      </c>
      <c r="E10" s="4" t="s">
        <v>96</v>
      </c>
      <c r="G10" t="s">
        <v>99</v>
      </c>
      <c r="H10" t="s">
        <v>98</v>
      </c>
      <c r="I10" s="36">
        <v>4500</v>
      </c>
      <c r="J10" t="s">
        <v>321</v>
      </c>
      <c r="K10" s="43">
        <v>46021</v>
      </c>
      <c r="L10" s="4" t="s">
        <v>14</v>
      </c>
      <c r="M10" s="83" t="s">
        <v>222</v>
      </c>
      <c r="N10" s="4">
        <v>2025</v>
      </c>
    </row>
    <row r="11" spans="1:14">
      <c r="A11" s="4">
        <v>10</v>
      </c>
      <c r="B11" t="s">
        <v>17</v>
      </c>
      <c r="C11" t="s">
        <v>23</v>
      </c>
      <c r="D11" s="4" t="s">
        <v>60</v>
      </c>
      <c r="E11" s="4" t="s">
        <v>96</v>
      </c>
      <c r="G11" t="s">
        <v>99</v>
      </c>
      <c r="H11" t="s">
        <v>254</v>
      </c>
      <c r="I11" s="36">
        <v>1000</v>
      </c>
      <c r="J11" t="s">
        <v>321</v>
      </c>
      <c r="K11" s="43">
        <v>46021</v>
      </c>
      <c r="L11" s="4" t="s">
        <v>14</v>
      </c>
      <c r="M11" s="83" t="s">
        <v>222</v>
      </c>
      <c r="N11" s="4">
        <v>2025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900-000002000000}">
          <x14:formula1>
            <xm:f>List!$C$2:$C$3</xm:f>
          </x14:formula1>
          <xm:sqref>D2:D11</xm:sqref>
        </x14:dataValidation>
        <x14:dataValidation type="list" allowBlank="1" showInputMessage="1" showErrorMessage="1" xr:uid="{00000000-0002-0000-0900-000003000000}">
          <x14:formula1>
            <xm:f>List!$E$2:$E$32</xm:f>
          </x14:formula1>
          <xm:sqref>E2:E11</xm:sqref>
        </x14:dataValidation>
        <x14:dataValidation type="list" allowBlank="1" showInputMessage="1" showErrorMessage="1" xr:uid="{00000000-0002-0000-0900-000004000000}">
          <x14:formula1>
            <xm:f>List!$H$2:$H$13</xm:f>
          </x14:formula1>
          <xm:sqref>M2:M11</xm:sqref>
        </x14:dataValidation>
        <x14:dataValidation type="list" allowBlank="1" showInputMessage="1" showErrorMessage="1" xr:uid="{00000000-0002-0000-0900-000005000000}">
          <x14:formula1>
            <xm:f>List!$J$2:$J$4</xm:f>
          </x14:formula1>
          <xm:sqref>N2:N11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4" tint="0.39997558519241921"/>
  </sheetPr>
  <dimension ref="A1:N6"/>
  <sheetViews>
    <sheetView topLeftCell="D1" workbookViewId="0">
      <selection activeCell="B2" sqref="B2:N6"/>
    </sheetView>
  </sheetViews>
  <sheetFormatPr defaultColWidth="9" defaultRowHeight="14.5"/>
  <cols>
    <col min="1" max="1" width="5.36328125" customWidth="1"/>
    <col min="2" max="2" width="9.36328125" bestFit="1" customWidth="1"/>
    <col min="3" max="3" width="9.6328125" bestFit="1" customWidth="1"/>
    <col min="4" max="4" width="8.90625" customWidth="1"/>
    <col min="5" max="5" width="11.54296875" bestFit="1" customWidth="1"/>
    <col min="6" max="6" width="10.08984375" customWidth="1"/>
    <col min="7" max="7" width="48.1796875" bestFit="1" customWidth="1"/>
    <col min="8" max="8" width="17.1796875" bestFit="1" customWidth="1"/>
    <col min="9" max="9" width="18" customWidth="1"/>
    <col min="10" max="10" width="10.08984375" customWidth="1"/>
    <col min="11" max="11" width="11.08984375" customWidth="1"/>
    <col min="12" max="12" width="10.81640625" bestFit="1" customWidth="1"/>
    <col min="13" max="13" width="6.453125" customWidth="1"/>
    <col min="14" max="14" width="4.8164062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46">
        <v>1</v>
      </c>
      <c r="B2" s="4" t="s">
        <v>54</v>
      </c>
      <c r="C2" s="4" t="s">
        <v>55</v>
      </c>
      <c r="D2" s="4" t="s">
        <v>60</v>
      </c>
      <c r="E2" s="4" t="s">
        <v>100</v>
      </c>
      <c r="F2" s="4"/>
      <c r="G2" t="s">
        <v>21</v>
      </c>
      <c r="H2" s="4" t="s">
        <v>101</v>
      </c>
      <c r="I2" s="7">
        <v>4000</v>
      </c>
      <c r="J2" s="4" t="s">
        <v>14</v>
      </c>
      <c r="K2" s="15" t="s">
        <v>14</v>
      </c>
      <c r="L2" s="4" t="s">
        <v>14</v>
      </c>
      <c r="M2" s="83" t="s">
        <v>222</v>
      </c>
      <c r="N2" s="4">
        <v>2025</v>
      </c>
    </row>
    <row r="3" spans="1:14">
      <c r="A3" s="46">
        <v>2</v>
      </c>
      <c r="B3" s="45" t="s">
        <v>42</v>
      </c>
      <c r="C3" s="45" t="s">
        <v>45</v>
      </c>
      <c r="D3" s="4" t="s">
        <v>60</v>
      </c>
      <c r="E3" s="4" t="s">
        <v>100</v>
      </c>
      <c r="G3" s="4" t="s">
        <v>244</v>
      </c>
      <c r="H3" s="4" t="s">
        <v>100</v>
      </c>
      <c r="I3" s="8">
        <v>5000</v>
      </c>
      <c r="J3" s="87" t="s">
        <v>328</v>
      </c>
      <c r="K3" s="15">
        <v>46028</v>
      </c>
      <c r="L3" s="4">
        <v>2025404887</v>
      </c>
      <c r="M3" s="83" t="s">
        <v>222</v>
      </c>
      <c r="N3" s="4">
        <v>2025</v>
      </c>
    </row>
    <row r="4" spans="1:14">
      <c r="A4" s="46">
        <v>3</v>
      </c>
      <c r="B4" s="45" t="s">
        <v>52</v>
      </c>
      <c r="C4" s="45" t="s">
        <v>62</v>
      </c>
      <c r="D4" s="4" t="s">
        <v>60</v>
      </c>
      <c r="E4" s="4" t="s">
        <v>100</v>
      </c>
      <c r="G4" s="4" t="s">
        <v>244</v>
      </c>
      <c r="H4" s="4" t="s">
        <v>100</v>
      </c>
      <c r="I4" s="8">
        <v>10500</v>
      </c>
      <c r="J4" s="4" t="s">
        <v>283</v>
      </c>
      <c r="K4" s="90" t="s">
        <v>14</v>
      </c>
      <c r="L4" s="83" t="s">
        <v>14</v>
      </c>
      <c r="M4" s="83" t="s">
        <v>222</v>
      </c>
      <c r="N4" s="4">
        <v>2025</v>
      </c>
    </row>
    <row r="5" spans="1:14">
      <c r="A5" s="46">
        <v>4</v>
      </c>
      <c r="B5" t="s">
        <v>17</v>
      </c>
      <c r="C5" t="s">
        <v>25</v>
      </c>
      <c r="D5" s="4" t="s">
        <v>60</v>
      </c>
      <c r="E5" s="4" t="s">
        <v>100</v>
      </c>
      <c r="G5" s="4" t="s">
        <v>244</v>
      </c>
      <c r="H5" s="4" t="s">
        <v>100</v>
      </c>
      <c r="I5" s="54">
        <v>5500</v>
      </c>
      <c r="J5" s="4" t="s">
        <v>14</v>
      </c>
      <c r="K5" s="15" t="s">
        <v>14</v>
      </c>
      <c r="L5" s="4" t="s">
        <v>14</v>
      </c>
      <c r="M5" s="83" t="s">
        <v>222</v>
      </c>
      <c r="N5" s="4">
        <v>2025</v>
      </c>
    </row>
    <row r="6" spans="1:14">
      <c r="B6" s="109" t="s">
        <v>54</v>
      </c>
      <c r="C6" s="109" t="s">
        <v>55</v>
      </c>
      <c r="D6" s="4" t="s">
        <v>60</v>
      </c>
      <c r="E6" s="4" t="s">
        <v>100</v>
      </c>
      <c r="G6" t="s">
        <v>271</v>
      </c>
      <c r="H6" s="4" t="s">
        <v>100</v>
      </c>
      <c r="I6" s="36">
        <v>1206.8965517241379</v>
      </c>
      <c r="J6">
        <v>42</v>
      </c>
      <c r="K6" s="51">
        <v>46022</v>
      </c>
      <c r="L6" s="4">
        <v>2026400083</v>
      </c>
      <c r="M6" s="108" t="s">
        <v>222</v>
      </c>
      <c r="N6" s="4">
        <v>2025</v>
      </c>
    </row>
  </sheetData>
  <dataValidations count="1">
    <dataValidation type="list" allowBlank="1" showInputMessage="1" showErrorMessage="1" sqref="C2" xr:uid="{00000000-0002-0000-0A00-000001000000}">
      <formula1>INDIRECT(B2)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A00-000000000000}">
          <x14:formula1>
            <xm:f>List!$P$2:$P$11</xm:f>
          </x14:formula1>
          <xm:sqref>B2</xm:sqref>
        </x14:dataValidation>
        <x14:dataValidation type="list" allowBlank="1" showInputMessage="1" showErrorMessage="1" xr:uid="{00000000-0002-0000-0A00-000002000000}">
          <x14:formula1>
            <xm:f>List!$C$2:$C$3</xm:f>
          </x14:formula1>
          <xm:sqref>D2:D6</xm:sqref>
        </x14:dataValidation>
        <x14:dataValidation type="list" allowBlank="1" showInputMessage="1" showErrorMessage="1" xr:uid="{00000000-0002-0000-0A00-000003000000}">
          <x14:formula1>
            <xm:f>List!$E$2:$E$32</xm:f>
          </x14:formula1>
          <xm:sqref>H3:H6 E2:E6</xm:sqref>
        </x14:dataValidation>
        <x14:dataValidation type="list" allowBlank="1" showInputMessage="1" showErrorMessage="1" xr:uid="{00000000-0002-0000-0A00-000004000000}">
          <x14:formula1>
            <xm:f>List!$H$2:$H$13</xm:f>
          </x14:formula1>
          <xm:sqref>M2:M5</xm:sqref>
        </x14:dataValidation>
        <x14:dataValidation type="list" allowBlank="1" showInputMessage="1" showErrorMessage="1" xr:uid="{00000000-0002-0000-0A00-000005000000}">
          <x14:formula1>
            <xm:f>List!$J$2:$J$4</xm:f>
          </x14:formula1>
          <xm:sqref>N2:N5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4" tint="0.39997558519241921"/>
  </sheetPr>
  <dimension ref="A1:P20"/>
  <sheetViews>
    <sheetView workbookViewId="0">
      <selection activeCell="B2" sqref="B2:N9"/>
    </sheetView>
  </sheetViews>
  <sheetFormatPr defaultColWidth="9" defaultRowHeight="14.5"/>
  <cols>
    <col min="1" max="1" width="5.453125" bestFit="1" customWidth="1"/>
    <col min="2" max="2" width="9.36328125" bestFit="1" customWidth="1"/>
    <col min="3" max="3" width="10.6328125" bestFit="1" customWidth="1"/>
    <col min="4" max="4" width="9" bestFit="1" customWidth="1"/>
    <col min="5" max="5" width="22.90625" bestFit="1" customWidth="1"/>
    <col min="6" max="6" width="10.1796875" bestFit="1" customWidth="1"/>
    <col min="7" max="7" width="13.81640625" bestFit="1" customWidth="1"/>
    <col min="8" max="8" width="19" customWidth="1"/>
    <col min="9" max="9" width="17.90625" bestFit="1" customWidth="1"/>
    <col min="10" max="10" width="11.90625" bestFit="1" customWidth="1"/>
    <col min="11" max="11" width="11.1796875" bestFit="1" customWidth="1"/>
    <col min="12" max="12" width="10.36328125" bestFit="1" customWidth="1"/>
    <col min="13" max="13" width="6.453125" customWidth="1"/>
    <col min="14" max="14" width="5" bestFit="1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6">
      <c r="A2" s="4">
        <v>1</v>
      </c>
      <c r="B2" s="4" t="s">
        <v>17</v>
      </c>
      <c r="C2" s="4" t="s">
        <v>22</v>
      </c>
      <c r="D2" s="4" t="s">
        <v>60</v>
      </c>
      <c r="E2" s="4" t="s">
        <v>102</v>
      </c>
      <c r="F2" s="4"/>
      <c r="G2" t="s">
        <v>103</v>
      </c>
      <c r="H2" s="4" t="s">
        <v>104</v>
      </c>
      <c r="I2" s="7">
        <f>1683000/1450</f>
        <v>1160.6896551724137</v>
      </c>
      <c r="J2" s="87" t="s">
        <v>329</v>
      </c>
      <c r="K2" s="15">
        <v>45992</v>
      </c>
      <c r="L2" s="4" t="s">
        <v>14</v>
      </c>
      <c r="M2" s="83" t="s">
        <v>222</v>
      </c>
      <c r="N2" s="4">
        <v>2025</v>
      </c>
    </row>
    <row r="3" spans="1:16">
      <c r="A3" s="4">
        <v>4</v>
      </c>
      <c r="B3" t="s">
        <v>29</v>
      </c>
      <c r="C3" s="4" t="s">
        <v>30</v>
      </c>
      <c r="D3" s="4" t="s">
        <v>60</v>
      </c>
      <c r="E3" s="4" t="s">
        <v>102</v>
      </c>
      <c r="G3" t="s">
        <v>105</v>
      </c>
      <c r="H3" s="4" t="s">
        <v>106</v>
      </c>
      <c r="I3" s="8">
        <v>1.4445880371882549</v>
      </c>
      <c r="J3" s="4">
        <v>63</v>
      </c>
      <c r="K3" s="15">
        <v>46025</v>
      </c>
      <c r="L3" s="4" t="s">
        <v>14</v>
      </c>
      <c r="M3" s="83" t="s">
        <v>222</v>
      </c>
      <c r="N3" s="4">
        <v>2025</v>
      </c>
    </row>
    <row r="4" spans="1:16">
      <c r="A4" s="4">
        <v>5</v>
      </c>
      <c r="B4" t="s">
        <v>17</v>
      </c>
      <c r="C4" t="s">
        <v>251</v>
      </c>
      <c r="D4" s="4" t="s">
        <v>60</v>
      </c>
      <c r="E4" s="4" t="s">
        <v>102</v>
      </c>
      <c r="G4" t="s">
        <v>105</v>
      </c>
      <c r="H4" s="4" t="s">
        <v>106</v>
      </c>
      <c r="I4" s="8">
        <v>1652.8174508881871</v>
      </c>
      <c r="J4" s="4">
        <v>63</v>
      </c>
      <c r="K4" s="15">
        <v>46025</v>
      </c>
      <c r="L4" s="4" t="s">
        <v>14</v>
      </c>
      <c r="M4" s="83" t="s">
        <v>222</v>
      </c>
      <c r="N4" s="4">
        <v>2025</v>
      </c>
    </row>
    <row r="5" spans="1:16">
      <c r="A5" s="4">
        <v>6</v>
      </c>
      <c r="B5" t="s">
        <v>58</v>
      </c>
      <c r="C5" t="s">
        <v>59</v>
      </c>
      <c r="D5" s="4" t="s">
        <v>60</v>
      </c>
      <c r="E5" s="4" t="s">
        <v>102</v>
      </c>
      <c r="G5" t="s">
        <v>105</v>
      </c>
      <c r="H5" s="4" t="s">
        <v>106</v>
      </c>
      <c r="I5" s="8">
        <v>31.476115489193631</v>
      </c>
      <c r="J5" s="4">
        <v>63</v>
      </c>
      <c r="K5" s="15">
        <v>46025</v>
      </c>
      <c r="L5" s="4" t="s">
        <v>14</v>
      </c>
      <c r="M5" s="83" t="s">
        <v>222</v>
      </c>
      <c r="N5" s="4">
        <v>2025</v>
      </c>
    </row>
    <row r="6" spans="1:16">
      <c r="A6" s="4">
        <v>7</v>
      </c>
      <c r="B6" t="s">
        <v>33</v>
      </c>
      <c r="C6" t="s">
        <v>252</v>
      </c>
      <c r="D6" s="4" t="s">
        <v>60</v>
      </c>
      <c r="E6" s="4" t="s">
        <v>102</v>
      </c>
      <c r="G6" t="s">
        <v>105</v>
      </c>
      <c r="H6" s="4" t="s">
        <v>106</v>
      </c>
      <c r="I6" s="36">
        <v>190.90098380430206</v>
      </c>
      <c r="J6" s="4">
        <v>63</v>
      </c>
      <c r="K6" s="15">
        <v>46025</v>
      </c>
      <c r="L6" s="4" t="s">
        <v>14</v>
      </c>
      <c r="M6" s="83" t="s">
        <v>222</v>
      </c>
      <c r="N6" s="4">
        <v>2025</v>
      </c>
    </row>
    <row r="7" spans="1:16">
      <c r="A7" s="4">
        <v>8</v>
      </c>
      <c r="B7" t="s">
        <v>35</v>
      </c>
      <c r="C7" t="s">
        <v>35</v>
      </c>
      <c r="D7" s="4" t="s">
        <v>60</v>
      </c>
      <c r="E7" s="4" t="s">
        <v>102</v>
      </c>
      <c r="G7" t="s">
        <v>105</v>
      </c>
      <c r="H7" s="4" t="s">
        <v>106</v>
      </c>
      <c r="I7" s="36">
        <v>584.53797083684299</v>
      </c>
      <c r="J7" s="4">
        <v>63</v>
      </c>
      <c r="K7" s="15">
        <v>46025</v>
      </c>
      <c r="L7" s="4" t="s">
        <v>14</v>
      </c>
      <c r="M7" s="83" t="s">
        <v>222</v>
      </c>
      <c r="N7" s="4">
        <v>2025</v>
      </c>
    </row>
    <row r="8" spans="1:16">
      <c r="A8" s="4">
        <v>9</v>
      </c>
      <c r="B8" t="s">
        <v>42</v>
      </c>
      <c r="C8" t="s">
        <v>42</v>
      </c>
      <c r="D8" s="4" t="s">
        <v>60</v>
      </c>
      <c r="E8" s="4" t="s">
        <v>102</v>
      </c>
      <c r="G8" t="s">
        <v>105</v>
      </c>
      <c r="H8" s="4" t="s">
        <v>106</v>
      </c>
      <c r="I8" s="36">
        <v>1858.1775681656302</v>
      </c>
      <c r="J8" s="4">
        <v>63</v>
      </c>
      <c r="K8" s="15">
        <v>46025</v>
      </c>
      <c r="L8" s="4" t="s">
        <v>14</v>
      </c>
      <c r="M8" s="83" t="s">
        <v>222</v>
      </c>
      <c r="N8" s="4">
        <v>2025</v>
      </c>
    </row>
    <row r="9" spans="1:16">
      <c r="A9" s="4">
        <v>10</v>
      </c>
      <c r="B9" t="s">
        <v>52</v>
      </c>
      <c r="C9" t="s">
        <v>62</v>
      </c>
      <c r="D9" s="4" t="s">
        <v>60</v>
      </c>
      <c r="E9" s="4" t="s">
        <v>102</v>
      </c>
      <c r="G9" t="s">
        <v>105</v>
      </c>
      <c r="H9" s="4" t="s">
        <v>106</v>
      </c>
      <c r="I9" s="36">
        <v>1199.9556676062421</v>
      </c>
      <c r="J9" s="4">
        <v>63</v>
      </c>
      <c r="K9" s="15">
        <v>46025</v>
      </c>
      <c r="L9" s="4" t="s">
        <v>14</v>
      </c>
      <c r="M9" s="83" t="s">
        <v>222</v>
      </c>
      <c r="N9" s="4">
        <v>2025</v>
      </c>
    </row>
    <row r="10" spans="1:16">
      <c r="I10" s="8"/>
    </row>
    <row r="11" spans="1:16">
      <c r="I11" s="36"/>
    </row>
    <row r="14" spans="1:16">
      <c r="H14" s="53"/>
      <c r="I14" s="7"/>
      <c r="J14" s="8"/>
      <c r="K14" s="8"/>
      <c r="L14" s="8"/>
      <c r="M14" s="36"/>
      <c r="N14" s="36"/>
      <c r="O14" s="36"/>
      <c r="P14" s="36"/>
    </row>
    <row r="15" spans="1:16">
      <c r="H15" s="53"/>
      <c r="I15" s="7"/>
      <c r="J15" s="52"/>
      <c r="K15" s="52"/>
      <c r="L15" s="52"/>
      <c r="M15" s="52"/>
      <c r="N15" s="52"/>
      <c r="O15" s="52"/>
      <c r="P15" s="52"/>
    </row>
    <row r="16" spans="1:16">
      <c r="H16" s="53"/>
      <c r="I16" s="7"/>
    </row>
    <row r="17" spans="8:9">
      <c r="H17" s="53"/>
      <c r="I17" s="7"/>
    </row>
    <row r="18" spans="8:9">
      <c r="H18" s="53"/>
      <c r="I18" s="7"/>
    </row>
    <row r="19" spans="8:9">
      <c r="H19" s="53"/>
      <c r="I19" s="7"/>
    </row>
    <row r="20" spans="8:9">
      <c r="H20" s="53"/>
      <c r="I20" s="7"/>
    </row>
  </sheetData>
  <dataValidations count="1">
    <dataValidation type="list" allowBlank="1" showInputMessage="1" showErrorMessage="1" sqref="C2:C3" xr:uid="{00000000-0002-0000-0B00-000001000000}">
      <formula1>INDIRECT(B2)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B00-000000000000}">
          <x14:formula1>
            <xm:f>List!$P$2:$P$11</xm:f>
          </x14:formula1>
          <xm:sqref>B2</xm:sqref>
        </x14:dataValidation>
        <x14:dataValidation type="list" allowBlank="1" showInputMessage="1" showErrorMessage="1" xr:uid="{00000000-0002-0000-0B00-000002000000}">
          <x14:formula1>
            <xm:f>List!$C$2:$C$3</xm:f>
          </x14:formula1>
          <xm:sqref>D2:D9</xm:sqref>
        </x14:dataValidation>
        <x14:dataValidation type="list" allowBlank="1" showInputMessage="1" showErrorMessage="1" xr:uid="{00000000-0002-0000-0B00-000003000000}">
          <x14:formula1>
            <xm:f>List!$H$2:$H$13</xm:f>
          </x14:formula1>
          <xm:sqref>M2:M9</xm:sqref>
        </x14:dataValidation>
        <x14:dataValidation type="list" allowBlank="1" showInputMessage="1" showErrorMessage="1" xr:uid="{00000000-0002-0000-0B00-000004000000}">
          <x14:formula1>
            <xm:f>List!$J$2:$J$4</xm:f>
          </x14:formula1>
          <xm:sqref>N2:N9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4" tint="0.39997558519241921"/>
  </sheetPr>
  <dimension ref="A1:N2"/>
  <sheetViews>
    <sheetView workbookViewId="0">
      <selection activeCell="B2" sqref="B2:N2"/>
    </sheetView>
  </sheetViews>
  <sheetFormatPr defaultColWidth="9" defaultRowHeight="14.5"/>
  <cols>
    <col min="1" max="1" width="5.36328125" customWidth="1"/>
    <col min="2" max="2" width="6.90625" customWidth="1"/>
    <col min="3" max="3" width="9.36328125" customWidth="1"/>
    <col min="4" max="4" width="8.90625" customWidth="1"/>
    <col min="5" max="5" width="12.453125" customWidth="1"/>
    <col min="6" max="6" width="10.08984375" customWidth="1"/>
    <col min="7" max="7" width="13.90625" customWidth="1"/>
    <col min="8" max="8" width="12.453125" customWidth="1"/>
    <col min="9" max="9" width="18" customWidth="1"/>
    <col min="10" max="10" width="10.08984375" customWidth="1"/>
    <col min="11" max="11" width="11.08984375" customWidth="1"/>
    <col min="12" max="12" width="10.453125" customWidth="1"/>
    <col min="13" max="13" width="6.453125" customWidth="1"/>
    <col min="14" max="14" width="4.8164062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4">
        <v>1</v>
      </c>
      <c r="B2" s="4" t="s">
        <v>58</v>
      </c>
      <c r="C2" t="s">
        <v>107</v>
      </c>
      <c r="D2" s="4" t="s">
        <v>19</v>
      </c>
      <c r="E2" s="4" t="s">
        <v>108</v>
      </c>
      <c r="F2" s="4"/>
      <c r="G2" t="s">
        <v>21</v>
      </c>
      <c r="H2" s="4" t="s">
        <v>108</v>
      </c>
      <c r="I2" s="7">
        <v>25000</v>
      </c>
      <c r="J2" s="4" t="s">
        <v>14</v>
      </c>
      <c r="K2" s="4" t="s">
        <v>14</v>
      </c>
      <c r="L2" s="4" t="s">
        <v>14</v>
      </c>
      <c r="M2" s="83" t="s">
        <v>222</v>
      </c>
      <c r="N2" s="4">
        <v>2025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C00-000000000000}">
          <x14:formula1>
            <xm:f>List!$P$2:$P$11</xm:f>
          </x14:formula1>
          <xm:sqref>B2</xm:sqref>
        </x14:dataValidation>
        <x14:dataValidation type="list" allowBlank="1" showInputMessage="1" showErrorMessage="1" xr:uid="{00000000-0002-0000-0C00-000001000000}">
          <x14:formula1>
            <xm:f>List!$C$2:$C$3</xm:f>
          </x14:formula1>
          <xm:sqref>D2</xm:sqref>
        </x14:dataValidation>
        <x14:dataValidation type="list" allowBlank="1" showInputMessage="1" showErrorMessage="1" xr:uid="{00000000-0002-0000-0C00-000002000000}">
          <x14:formula1>
            <xm:f>List!$H$2:$H$13</xm:f>
          </x14:formula1>
          <xm:sqref>M2</xm:sqref>
        </x14:dataValidation>
        <x14:dataValidation type="list" allowBlank="1" showInputMessage="1" showErrorMessage="1" xr:uid="{00000000-0002-0000-0C00-000003000000}">
          <x14:formula1>
            <xm:f>List!$J$2:$J$4</xm:f>
          </x14:formula1>
          <xm:sqref>N2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4" tint="0.39997558519241921"/>
  </sheetPr>
  <dimension ref="A1:N2"/>
  <sheetViews>
    <sheetView workbookViewId="0">
      <selection activeCell="B2" sqref="B2:N2"/>
    </sheetView>
  </sheetViews>
  <sheetFormatPr defaultColWidth="9" defaultRowHeight="14.5"/>
  <cols>
    <col min="1" max="1" width="5.36328125" bestFit="1" customWidth="1"/>
    <col min="2" max="2" width="6.90625" bestFit="1" customWidth="1"/>
    <col min="3" max="3" width="9.453125" bestFit="1" customWidth="1"/>
    <col min="5" max="5" width="15.6328125" bestFit="1" customWidth="1"/>
    <col min="6" max="6" width="10.1796875" bestFit="1" customWidth="1"/>
    <col min="7" max="7" width="7" bestFit="1" customWidth="1"/>
    <col min="8" max="8" width="15.6328125" bestFit="1" customWidth="1"/>
    <col min="9" max="9" width="18.08984375" bestFit="1" customWidth="1"/>
    <col min="10" max="10" width="10.08984375" bestFit="1" customWidth="1"/>
    <col min="11" max="11" width="11.1796875" bestFit="1" customWidth="1"/>
    <col min="12" max="12" width="10.54296875" bestFit="1" customWidth="1"/>
    <col min="13" max="13" width="6.54296875" bestFit="1" customWidth="1"/>
    <col min="14" max="14" width="4.81640625" bestFit="1" customWidth="1"/>
  </cols>
  <sheetData>
    <row r="1" spans="1:14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</row>
    <row r="2" spans="1:14">
      <c r="A2" s="11">
        <v>1</v>
      </c>
      <c r="B2" s="31" t="s">
        <v>58</v>
      </c>
      <c r="C2" s="31" t="s">
        <v>59</v>
      </c>
      <c r="D2" s="12" t="s">
        <v>60</v>
      </c>
      <c r="E2" s="31" t="s">
        <v>228</v>
      </c>
      <c r="F2" s="11"/>
      <c r="G2" s="31" t="s">
        <v>21</v>
      </c>
      <c r="H2" s="31" t="s">
        <v>228</v>
      </c>
      <c r="I2" s="13">
        <v>684000</v>
      </c>
      <c r="J2" s="11" t="s">
        <v>14</v>
      </c>
      <c r="K2" s="11" t="s">
        <v>14</v>
      </c>
      <c r="L2" s="11" t="s">
        <v>14</v>
      </c>
      <c r="M2" s="91" t="s">
        <v>222</v>
      </c>
      <c r="N2" s="11">
        <v>2025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9FE03FE-EB31-4FBB-B774-9F848699ADB8}">
          <x14:formula1>
            <xm:f>List!$C$2:$C$3</xm:f>
          </x14:formula1>
          <xm:sqref>D2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4E26F-881C-4843-AB25-DB1EA872EC94}">
  <sheetPr>
    <tabColor theme="4" tint="0.39997558519241921"/>
  </sheetPr>
  <dimension ref="A1:N3"/>
  <sheetViews>
    <sheetView workbookViewId="0">
      <selection activeCell="B2" sqref="B2:N2"/>
    </sheetView>
  </sheetViews>
  <sheetFormatPr defaultRowHeight="14.5"/>
  <cols>
    <col min="1" max="1" width="5.36328125" bestFit="1" customWidth="1"/>
    <col min="2" max="2" width="8.90625" bestFit="1" customWidth="1"/>
    <col min="3" max="3" width="9.453125" bestFit="1" customWidth="1"/>
    <col min="4" max="4" width="9" bestFit="1" customWidth="1"/>
    <col min="5" max="5" width="15.6328125" bestFit="1" customWidth="1"/>
    <col min="6" max="6" width="10.1796875" bestFit="1" customWidth="1"/>
    <col min="7" max="7" width="14.54296875" bestFit="1" customWidth="1"/>
    <col min="8" max="8" width="15.6328125" bestFit="1" customWidth="1"/>
    <col min="9" max="9" width="18.08984375" bestFit="1" customWidth="1"/>
    <col min="10" max="10" width="10.08984375" bestFit="1" customWidth="1"/>
    <col min="11" max="11" width="11.1796875" bestFit="1" customWidth="1"/>
    <col min="12" max="12" width="10.54296875" bestFit="1" customWidth="1"/>
    <col min="13" max="13" width="6.54296875" bestFit="1" customWidth="1"/>
    <col min="14" max="14" width="4.81640625" bestFit="1" customWidth="1"/>
  </cols>
  <sheetData>
    <row r="1" spans="1:14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</row>
    <row r="2" spans="1:14">
      <c r="A2" s="11">
        <v>1</v>
      </c>
      <c r="B2" s="31" t="s">
        <v>58</v>
      </c>
      <c r="C2" s="31" t="s">
        <v>59</v>
      </c>
      <c r="D2" s="32" t="s">
        <v>19</v>
      </c>
      <c r="E2" s="31" t="s">
        <v>129</v>
      </c>
      <c r="F2" s="11"/>
      <c r="G2" s="31" t="s">
        <v>229</v>
      </c>
      <c r="H2" s="31" t="s">
        <v>129</v>
      </c>
      <c r="I2" s="13">
        <f>5297000/1450</f>
        <v>3653.1034482758619</v>
      </c>
      <c r="J2" s="91" t="s">
        <v>14</v>
      </c>
      <c r="K2" s="95" t="s">
        <v>14</v>
      </c>
      <c r="L2" s="11" t="s">
        <v>14</v>
      </c>
      <c r="M2" s="91" t="s">
        <v>222</v>
      </c>
      <c r="N2" s="11">
        <v>2025</v>
      </c>
    </row>
    <row r="3" spans="1:14">
      <c r="K3" s="51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5B243F6-E0BD-4811-A841-949721841676}">
          <x14:formula1>
            <xm:f>List!$C$2:$C$3</xm:f>
          </x14:formula1>
          <xm:sqref>D2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4" tint="0.39997558519241921"/>
  </sheetPr>
  <dimension ref="A1:N279"/>
  <sheetViews>
    <sheetView topLeftCell="H260" workbookViewId="0">
      <selection activeCell="B2" sqref="B2:N279"/>
    </sheetView>
  </sheetViews>
  <sheetFormatPr defaultColWidth="9" defaultRowHeight="14.5"/>
  <cols>
    <col min="1" max="1" width="5.36328125" style="4" customWidth="1"/>
    <col min="2" max="4" width="18.453125" style="4" customWidth="1"/>
    <col min="5" max="5" width="33.6328125" style="4" customWidth="1"/>
    <col min="6" max="6" width="10.6328125" style="4" customWidth="1"/>
    <col min="7" max="7" width="44.36328125" style="4" customWidth="1"/>
    <col min="8" max="8" width="23.1796875" style="4" bestFit="1" customWidth="1"/>
    <col min="9" max="13" width="18.453125" style="4" customWidth="1"/>
    <col min="14" max="14" width="10.36328125" style="4" customWidth="1"/>
  </cols>
  <sheetData>
    <row r="1" spans="1:14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</row>
    <row r="2" spans="1:14">
      <c r="A2" s="4">
        <v>1</v>
      </c>
      <c r="B2" s="4" t="s">
        <v>42</v>
      </c>
      <c r="C2" s="4" t="s">
        <v>50</v>
      </c>
      <c r="D2" s="4" t="s">
        <v>60</v>
      </c>
      <c r="E2" s="4" t="s">
        <v>71</v>
      </c>
      <c r="G2" s="4" t="s">
        <v>116</v>
      </c>
      <c r="H2" s="83" t="s">
        <v>117</v>
      </c>
      <c r="I2" s="41">
        <v>5531.0344827586205</v>
      </c>
      <c r="J2" s="4" t="s">
        <v>354</v>
      </c>
      <c r="K2" s="15">
        <v>45992</v>
      </c>
      <c r="L2" s="4">
        <v>2025404495</v>
      </c>
      <c r="M2" s="83" t="s">
        <v>222</v>
      </c>
      <c r="N2" s="4">
        <v>2025</v>
      </c>
    </row>
    <row r="3" spans="1:14">
      <c r="A3" s="4">
        <v>2</v>
      </c>
      <c r="B3" s="4" t="s">
        <v>42</v>
      </c>
      <c r="C3" s="4" t="s">
        <v>48</v>
      </c>
      <c r="D3" s="4" t="s">
        <v>60</v>
      </c>
      <c r="E3" s="4" t="s">
        <v>71</v>
      </c>
      <c r="G3" s="4" t="s">
        <v>116</v>
      </c>
      <c r="H3" s="83" t="s">
        <v>117</v>
      </c>
      <c r="I3" s="41">
        <v>2758.6206896551726</v>
      </c>
      <c r="J3" s="4" t="s">
        <v>358</v>
      </c>
      <c r="K3" s="15">
        <v>46007</v>
      </c>
      <c r="L3" s="4">
        <v>2025404568</v>
      </c>
      <c r="M3" s="83" t="s">
        <v>222</v>
      </c>
      <c r="N3" s="4">
        <v>2025</v>
      </c>
    </row>
    <row r="4" spans="1:14">
      <c r="A4" s="4">
        <v>3</v>
      </c>
      <c r="B4" s="4" t="s">
        <v>54</v>
      </c>
      <c r="C4" s="4" t="s">
        <v>95</v>
      </c>
      <c r="D4" s="4" t="s">
        <v>60</v>
      </c>
      <c r="E4" s="4" t="s">
        <v>71</v>
      </c>
      <c r="G4" s="4" t="s">
        <v>238</v>
      </c>
      <c r="H4" s="4" t="s">
        <v>253</v>
      </c>
      <c r="I4" s="41">
        <v>5862.0689655172409</v>
      </c>
      <c r="J4" s="4" t="s">
        <v>350</v>
      </c>
      <c r="K4" s="15">
        <v>45993</v>
      </c>
      <c r="L4" s="4">
        <v>2025404606</v>
      </c>
      <c r="M4" s="83" t="s">
        <v>222</v>
      </c>
      <c r="N4" s="4">
        <v>2025</v>
      </c>
    </row>
    <row r="5" spans="1:14">
      <c r="A5" s="4">
        <v>4</v>
      </c>
      <c r="B5" s="4" t="s">
        <v>54</v>
      </c>
      <c r="C5" s="4" t="s">
        <v>95</v>
      </c>
      <c r="D5" s="4" t="s">
        <v>60</v>
      </c>
      <c r="E5" s="29" t="s">
        <v>71</v>
      </c>
      <c r="G5" s="4" t="s">
        <v>238</v>
      </c>
      <c r="H5" s="4" t="s">
        <v>253</v>
      </c>
      <c r="I5" s="41">
        <v>413.79310344827587</v>
      </c>
      <c r="J5" s="4" t="s">
        <v>385</v>
      </c>
      <c r="K5" s="15">
        <v>46005</v>
      </c>
      <c r="L5" s="4">
        <v>2025404753</v>
      </c>
      <c r="M5" s="83" t="s">
        <v>222</v>
      </c>
      <c r="N5" s="4">
        <v>2025</v>
      </c>
    </row>
    <row r="6" spans="1:14">
      <c r="A6" s="4">
        <v>5</v>
      </c>
      <c r="B6" s="4" t="s">
        <v>54</v>
      </c>
      <c r="C6" s="4" t="s">
        <v>95</v>
      </c>
      <c r="D6" s="4" t="s">
        <v>60</v>
      </c>
      <c r="E6" s="29" t="s">
        <v>71</v>
      </c>
      <c r="G6" s="4" t="s">
        <v>339</v>
      </c>
      <c r="H6" s="4" t="s">
        <v>118</v>
      </c>
      <c r="I6" s="41">
        <v>5070</v>
      </c>
      <c r="J6" s="4" t="s">
        <v>240</v>
      </c>
      <c r="K6" s="15">
        <v>46004</v>
      </c>
      <c r="L6" s="4">
        <v>2025404692</v>
      </c>
      <c r="M6" s="83" t="s">
        <v>222</v>
      </c>
      <c r="N6" s="4">
        <v>2025</v>
      </c>
    </row>
    <row r="7" spans="1:14">
      <c r="A7" s="4">
        <v>6</v>
      </c>
      <c r="B7" s="4" t="s">
        <v>42</v>
      </c>
      <c r="C7" s="4" t="s">
        <v>48</v>
      </c>
      <c r="D7" s="4" t="s">
        <v>60</v>
      </c>
      <c r="E7" s="29" t="s">
        <v>71</v>
      </c>
      <c r="G7" s="4" t="s">
        <v>269</v>
      </c>
      <c r="H7" s="4" t="s">
        <v>118</v>
      </c>
      <c r="I7" s="41">
        <v>786.20689655172418</v>
      </c>
      <c r="J7" s="4" t="s">
        <v>379</v>
      </c>
      <c r="K7" s="40">
        <v>46006</v>
      </c>
      <c r="L7" s="4">
        <v>2026400001</v>
      </c>
      <c r="M7" s="83" t="s">
        <v>222</v>
      </c>
      <c r="N7" s="4">
        <v>2025</v>
      </c>
    </row>
    <row r="8" spans="1:14">
      <c r="A8" s="4">
        <v>7</v>
      </c>
      <c r="B8" s="4" t="s">
        <v>17</v>
      </c>
      <c r="C8" s="4" t="s">
        <v>25</v>
      </c>
      <c r="D8" s="4" t="s">
        <v>60</v>
      </c>
      <c r="E8" s="4" t="s">
        <v>71</v>
      </c>
      <c r="G8" s="4" t="s">
        <v>119</v>
      </c>
      <c r="H8" s="83" t="s">
        <v>608</v>
      </c>
      <c r="I8" s="41">
        <v>2452.8000000000002</v>
      </c>
      <c r="J8" s="4" t="s">
        <v>409</v>
      </c>
      <c r="K8" s="15">
        <v>45999</v>
      </c>
      <c r="L8" s="4">
        <v>2025404428</v>
      </c>
      <c r="M8" s="83" t="s">
        <v>222</v>
      </c>
      <c r="N8" s="4">
        <v>2025</v>
      </c>
    </row>
    <row r="9" spans="1:14">
      <c r="A9" s="4">
        <v>8</v>
      </c>
      <c r="B9" s="4" t="s">
        <v>17</v>
      </c>
      <c r="C9" s="4" t="s">
        <v>25</v>
      </c>
      <c r="D9" s="4" t="s">
        <v>60</v>
      </c>
      <c r="E9" s="4" t="s">
        <v>71</v>
      </c>
      <c r="G9" s="4" t="s">
        <v>119</v>
      </c>
      <c r="H9" s="83" t="s">
        <v>608</v>
      </c>
      <c r="I9" s="41">
        <v>378</v>
      </c>
      <c r="J9" s="4" t="s">
        <v>410</v>
      </c>
      <c r="K9" s="15">
        <v>45994</v>
      </c>
      <c r="L9" s="4">
        <v>2025404465</v>
      </c>
      <c r="M9" s="83" t="s">
        <v>222</v>
      </c>
      <c r="N9" s="4">
        <v>2025</v>
      </c>
    </row>
    <row r="10" spans="1:14">
      <c r="A10" s="4">
        <v>9</v>
      </c>
      <c r="B10" s="4" t="s">
        <v>17</v>
      </c>
      <c r="C10" s="4" t="s">
        <v>25</v>
      </c>
      <c r="D10" s="4" t="s">
        <v>60</v>
      </c>
      <c r="E10" s="29" t="s">
        <v>71</v>
      </c>
      <c r="G10" s="4" t="s">
        <v>119</v>
      </c>
      <c r="H10" s="83" t="s">
        <v>608</v>
      </c>
      <c r="I10" s="41">
        <v>1550</v>
      </c>
      <c r="J10" s="4" t="s">
        <v>445</v>
      </c>
      <c r="K10" s="15">
        <v>46004</v>
      </c>
      <c r="L10" s="4">
        <v>2025404421</v>
      </c>
      <c r="M10" s="83" t="s">
        <v>222</v>
      </c>
      <c r="N10" s="4">
        <v>2025</v>
      </c>
    </row>
    <row r="11" spans="1:14">
      <c r="A11" s="4">
        <v>10</v>
      </c>
      <c r="B11" s="4" t="s">
        <v>42</v>
      </c>
      <c r="C11" s="4" t="s">
        <v>50</v>
      </c>
      <c r="D11" s="4" t="s">
        <v>60</v>
      </c>
      <c r="E11" s="29" t="s">
        <v>71</v>
      </c>
      <c r="G11" s="4" t="s">
        <v>119</v>
      </c>
      <c r="H11" s="83" t="s">
        <v>608</v>
      </c>
      <c r="I11" s="92">
        <v>26350</v>
      </c>
      <c r="J11" s="4" t="s">
        <v>449</v>
      </c>
      <c r="K11" s="15">
        <v>46005</v>
      </c>
      <c r="L11" s="4">
        <v>2025404296</v>
      </c>
      <c r="M11" s="83" t="s">
        <v>222</v>
      </c>
      <c r="N11" s="4">
        <v>2025</v>
      </c>
    </row>
    <row r="12" spans="1:14">
      <c r="A12" s="4">
        <v>11</v>
      </c>
      <c r="B12" s="4" t="s">
        <v>42</v>
      </c>
      <c r="C12" s="4" t="s">
        <v>50</v>
      </c>
      <c r="D12" s="4" t="s">
        <v>60</v>
      </c>
      <c r="E12" s="29" t="s">
        <v>71</v>
      </c>
      <c r="G12" s="4" t="s">
        <v>119</v>
      </c>
      <c r="H12" s="83" t="s">
        <v>608</v>
      </c>
      <c r="I12" s="41">
        <v>556.6</v>
      </c>
      <c r="J12" s="4" t="s">
        <v>458</v>
      </c>
      <c r="K12" s="15">
        <v>46004</v>
      </c>
      <c r="L12" s="4">
        <v>2025404436</v>
      </c>
      <c r="M12" s="83" t="s">
        <v>222</v>
      </c>
      <c r="N12" s="4">
        <v>2025</v>
      </c>
    </row>
    <row r="13" spans="1:14">
      <c r="A13" s="4">
        <v>12</v>
      </c>
      <c r="B13" s="4" t="s">
        <v>42</v>
      </c>
      <c r="C13" s="4" t="s">
        <v>50</v>
      </c>
      <c r="D13" s="4" t="s">
        <v>60</v>
      </c>
      <c r="E13" s="29" t="s">
        <v>71</v>
      </c>
      <c r="G13" s="4" t="s">
        <v>119</v>
      </c>
      <c r="H13" s="83" t="s">
        <v>608</v>
      </c>
      <c r="I13" s="41">
        <v>1215</v>
      </c>
      <c r="J13" s="4" t="s">
        <v>459</v>
      </c>
      <c r="K13" s="15">
        <v>46004</v>
      </c>
      <c r="L13" s="4">
        <v>2025404504</v>
      </c>
      <c r="M13" s="83" t="s">
        <v>222</v>
      </c>
      <c r="N13" s="4">
        <v>2025</v>
      </c>
    </row>
    <row r="14" spans="1:14">
      <c r="A14" s="4">
        <v>13</v>
      </c>
      <c r="B14" s="4" t="s">
        <v>52</v>
      </c>
      <c r="C14" s="4" t="s">
        <v>62</v>
      </c>
      <c r="D14" s="4" t="s">
        <v>60</v>
      </c>
      <c r="E14" s="29" t="s">
        <v>71</v>
      </c>
      <c r="G14" s="4" t="s">
        <v>119</v>
      </c>
      <c r="H14" s="83" t="s">
        <v>608</v>
      </c>
      <c r="I14" s="41">
        <v>6494.7</v>
      </c>
      <c r="J14" s="4" t="s">
        <v>468</v>
      </c>
      <c r="K14" s="15">
        <v>46004</v>
      </c>
      <c r="L14" s="4">
        <v>2025404544</v>
      </c>
      <c r="M14" s="83" t="s">
        <v>222</v>
      </c>
      <c r="N14" s="4">
        <v>2025</v>
      </c>
    </row>
    <row r="15" spans="1:14">
      <c r="A15" s="4">
        <v>14</v>
      </c>
      <c r="B15" s="4" t="s">
        <v>52</v>
      </c>
      <c r="C15" s="4" t="s">
        <v>62</v>
      </c>
      <c r="D15" s="4" t="s">
        <v>60</v>
      </c>
      <c r="E15" s="29" t="s">
        <v>71</v>
      </c>
      <c r="G15" s="4" t="s">
        <v>119</v>
      </c>
      <c r="H15" s="83" t="s">
        <v>608</v>
      </c>
      <c r="I15" s="41">
        <v>5699.4</v>
      </c>
      <c r="J15" s="4" t="s">
        <v>469</v>
      </c>
      <c r="K15" s="15">
        <v>46004</v>
      </c>
      <c r="L15" s="4">
        <v>2025404543</v>
      </c>
      <c r="M15" s="83" t="s">
        <v>222</v>
      </c>
      <c r="N15" s="4">
        <v>2025</v>
      </c>
    </row>
    <row r="16" spans="1:14">
      <c r="A16" s="4">
        <v>15</v>
      </c>
      <c r="B16" s="4" t="s">
        <v>54</v>
      </c>
      <c r="C16" s="4" t="s">
        <v>95</v>
      </c>
      <c r="D16" s="4" t="s">
        <v>60</v>
      </c>
      <c r="E16" s="29" t="s">
        <v>71</v>
      </c>
      <c r="G16" s="4" t="s">
        <v>119</v>
      </c>
      <c r="H16" s="83" t="s">
        <v>608</v>
      </c>
      <c r="I16" s="41">
        <v>742.3</v>
      </c>
      <c r="J16" s="4" t="s">
        <v>507</v>
      </c>
      <c r="K16" s="15">
        <v>46015</v>
      </c>
      <c r="L16" s="4">
        <v>2025404752</v>
      </c>
      <c r="M16" s="83" t="s">
        <v>222</v>
      </c>
      <c r="N16" s="4">
        <v>2025</v>
      </c>
    </row>
    <row r="17" spans="1:14">
      <c r="A17" s="4">
        <v>16</v>
      </c>
      <c r="B17" s="4" t="s">
        <v>52</v>
      </c>
      <c r="C17" s="4" t="s">
        <v>62</v>
      </c>
      <c r="D17" s="4" t="s">
        <v>60</v>
      </c>
      <c r="E17" s="29" t="s">
        <v>71</v>
      </c>
      <c r="G17" s="4" t="s">
        <v>119</v>
      </c>
      <c r="H17" s="83" t="s">
        <v>608</v>
      </c>
      <c r="I17" s="41">
        <v>33820</v>
      </c>
      <c r="J17" s="4" t="s">
        <v>545</v>
      </c>
      <c r="K17" s="15">
        <v>46019</v>
      </c>
      <c r="L17" s="4">
        <v>2025404788</v>
      </c>
      <c r="M17" s="83" t="s">
        <v>222</v>
      </c>
      <c r="N17" s="4">
        <v>2025</v>
      </c>
    </row>
    <row r="18" spans="1:14">
      <c r="A18" s="4">
        <v>17</v>
      </c>
      <c r="B18" s="4" t="s">
        <v>42</v>
      </c>
      <c r="C18" s="4" t="s">
        <v>50</v>
      </c>
      <c r="D18" s="4" t="s">
        <v>60</v>
      </c>
      <c r="E18" s="29" t="s">
        <v>71</v>
      </c>
      <c r="G18" s="4" t="s">
        <v>119</v>
      </c>
      <c r="H18" s="83" t="s">
        <v>608</v>
      </c>
      <c r="I18" s="41">
        <v>763.7</v>
      </c>
      <c r="J18" s="4" t="s">
        <v>546</v>
      </c>
      <c r="K18" s="15">
        <v>46022</v>
      </c>
      <c r="L18" s="4">
        <v>2025404780</v>
      </c>
      <c r="M18" s="83" t="s">
        <v>222</v>
      </c>
      <c r="N18" s="4">
        <v>2025</v>
      </c>
    </row>
    <row r="19" spans="1:14">
      <c r="A19" s="4">
        <v>18</v>
      </c>
      <c r="B19" s="4" t="s">
        <v>35</v>
      </c>
      <c r="C19" s="4" t="s">
        <v>36</v>
      </c>
      <c r="D19" s="4" t="s">
        <v>60</v>
      </c>
      <c r="E19" s="29" t="s">
        <v>71</v>
      </c>
      <c r="G19" s="4" t="s">
        <v>119</v>
      </c>
      <c r="H19" s="83" t="s">
        <v>608</v>
      </c>
      <c r="I19" s="41">
        <v>1591.4</v>
      </c>
      <c r="J19" s="4" t="s">
        <v>547</v>
      </c>
      <c r="K19" s="15">
        <v>46022</v>
      </c>
      <c r="L19" s="4">
        <v>2025404828</v>
      </c>
      <c r="M19" s="83" t="s">
        <v>222</v>
      </c>
      <c r="N19" s="4">
        <v>2025</v>
      </c>
    </row>
    <row r="20" spans="1:14">
      <c r="A20" s="4">
        <v>19</v>
      </c>
      <c r="B20" s="4" t="s">
        <v>52</v>
      </c>
      <c r="C20" s="4" t="s">
        <v>62</v>
      </c>
      <c r="D20" s="4" t="s">
        <v>60</v>
      </c>
      <c r="E20" s="29" t="s">
        <v>71</v>
      </c>
      <c r="G20" s="4" t="s">
        <v>119</v>
      </c>
      <c r="H20" s="83" t="s">
        <v>608</v>
      </c>
      <c r="I20" s="41">
        <v>12855.9</v>
      </c>
      <c r="J20" s="4" t="s">
        <v>551</v>
      </c>
      <c r="K20" s="15">
        <v>46008</v>
      </c>
      <c r="L20" s="4">
        <v>2025404554</v>
      </c>
      <c r="M20" s="83" t="s">
        <v>222</v>
      </c>
      <c r="N20" s="4">
        <v>2025</v>
      </c>
    </row>
    <row r="21" spans="1:14">
      <c r="A21" s="4">
        <v>20</v>
      </c>
      <c r="B21" s="4" t="s">
        <v>17</v>
      </c>
      <c r="C21" s="4" t="s">
        <v>22</v>
      </c>
      <c r="D21" s="4" t="s">
        <v>60</v>
      </c>
      <c r="E21" s="29" t="s">
        <v>71</v>
      </c>
      <c r="G21" s="4" t="s">
        <v>119</v>
      </c>
      <c r="H21" s="83" t="s">
        <v>608</v>
      </c>
      <c r="I21" s="41">
        <v>7750</v>
      </c>
      <c r="J21" s="4" t="s">
        <v>573</v>
      </c>
      <c r="K21" s="15">
        <v>46025</v>
      </c>
      <c r="L21" s="4">
        <v>2025404776</v>
      </c>
      <c r="M21" s="83" t="s">
        <v>222</v>
      </c>
      <c r="N21" s="4">
        <v>2025</v>
      </c>
    </row>
    <row r="22" spans="1:14">
      <c r="A22" s="4">
        <v>21</v>
      </c>
      <c r="B22" s="4" t="s">
        <v>17</v>
      </c>
      <c r="C22" s="4" t="s">
        <v>18</v>
      </c>
      <c r="D22" s="4" t="s">
        <v>60</v>
      </c>
      <c r="E22" s="29" t="s">
        <v>71</v>
      </c>
      <c r="G22" s="4" t="s">
        <v>119</v>
      </c>
      <c r="H22" s="83" t="s">
        <v>608</v>
      </c>
      <c r="I22" s="41">
        <v>385.8</v>
      </c>
      <c r="J22" s="4" t="s">
        <v>576</v>
      </c>
      <c r="K22" s="15">
        <v>46019</v>
      </c>
      <c r="L22" s="4">
        <v>2025404719</v>
      </c>
      <c r="M22" s="83" t="s">
        <v>222</v>
      </c>
      <c r="N22" s="4">
        <v>2025</v>
      </c>
    </row>
    <row r="23" spans="1:14">
      <c r="A23" s="4">
        <v>22</v>
      </c>
      <c r="B23" s="4" t="s">
        <v>52</v>
      </c>
      <c r="C23" s="4" t="s">
        <v>62</v>
      </c>
      <c r="D23" s="4" t="s">
        <v>60</v>
      </c>
      <c r="E23" s="29" t="s">
        <v>71</v>
      </c>
      <c r="G23" s="4" t="s">
        <v>119</v>
      </c>
      <c r="H23" s="83" t="s">
        <v>608</v>
      </c>
      <c r="I23" s="41">
        <v>3520.2</v>
      </c>
      <c r="J23" s="4" t="s">
        <v>582</v>
      </c>
      <c r="K23" s="15">
        <v>46030</v>
      </c>
      <c r="L23" s="4">
        <v>2025404690</v>
      </c>
      <c r="M23" s="83" t="s">
        <v>222</v>
      </c>
      <c r="N23" s="4">
        <v>2025</v>
      </c>
    </row>
    <row r="24" spans="1:14">
      <c r="A24" s="4">
        <v>23</v>
      </c>
      <c r="B24" s="4" t="s">
        <v>42</v>
      </c>
      <c r="C24" s="4" t="s">
        <v>48</v>
      </c>
      <c r="D24" s="4" t="s">
        <v>60</v>
      </c>
      <c r="E24" s="29" t="s">
        <v>71</v>
      </c>
      <c r="G24" s="4" t="s">
        <v>119</v>
      </c>
      <c r="H24" s="83" t="s">
        <v>608</v>
      </c>
      <c r="I24" s="41">
        <v>24637.5</v>
      </c>
      <c r="J24" s="4" t="s">
        <v>605</v>
      </c>
      <c r="K24" s="15">
        <v>46030</v>
      </c>
      <c r="L24" s="4">
        <v>2025404787</v>
      </c>
      <c r="M24" s="83" t="s">
        <v>222</v>
      </c>
      <c r="N24" s="4">
        <v>2025</v>
      </c>
    </row>
    <row r="25" spans="1:14">
      <c r="A25" s="4">
        <v>24</v>
      </c>
      <c r="B25" s="4" t="s">
        <v>42</v>
      </c>
      <c r="C25" s="4" t="s">
        <v>43</v>
      </c>
      <c r="D25" s="4" t="s">
        <v>60</v>
      </c>
      <c r="E25" s="29" t="s">
        <v>71</v>
      </c>
      <c r="G25" s="4" t="s">
        <v>333</v>
      </c>
      <c r="H25" s="83" t="s">
        <v>609</v>
      </c>
      <c r="I25" s="41">
        <v>1965.5172413793102</v>
      </c>
      <c r="J25" s="4" t="s">
        <v>362</v>
      </c>
      <c r="K25" s="15">
        <v>46004</v>
      </c>
      <c r="L25" s="4">
        <v>2025404511</v>
      </c>
      <c r="M25" s="83" t="s">
        <v>222</v>
      </c>
      <c r="N25" s="4">
        <v>2025</v>
      </c>
    </row>
    <row r="26" spans="1:14">
      <c r="A26" s="4">
        <v>25</v>
      </c>
      <c r="B26" s="4" t="s">
        <v>35</v>
      </c>
      <c r="C26" s="4" t="s">
        <v>36</v>
      </c>
      <c r="D26" s="4" t="s">
        <v>60</v>
      </c>
      <c r="E26" s="4" t="s">
        <v>71</v>
      </c>
      <c r="G26" s="4" t="s">
        <v>335</v>
      </c>
      <c r="H26" s="4" t="s">
        <v>118</v>
      </c>
      <c r="I26" s="41">
        <v>1793.1034482758621</v>
      </c>
      <c r="J26" s="4" t="s">
        <v>365</v>
      </c>
      <c r="K26" s="15">
        <v>45999</v>
      </c>
      <c r="L26" s="4">
        <v>2025404509</v>
      </c>
      <c r="M26" s="83" t="s">
        <v>222</v>
      </c>
      <c r="N26" s="4">
        <v>2025</v>
      </c>
    </row>
    <row r="27" spans="1:14">
      <c r="A27" s="4">
        <v>26</v>
      </c>
      <c r="B27" s="4" t="s">
        <v>17</v>
      </c>
      <c r="C27" s="4" t="s">
        <v>25</v>
      </c>
      <c r="D27" s="4" t="s">
        <v>60</v>
      </c>
      <c r="E27" s="29" t="s">
        <v>71</v>
      </c>
      <c r="G27" s="4" t="s">
        <v>232</v>
      </c>
      <c r="H27" s="4" t="s">
        <v>118</v>
      </c>
      <c r="I27" s="41">
        <v>13670</v>
      </c>
      <c r="J27" s="4" t="s">
        <v>408</v>
      </c>
      <c r="K27" s="15">
        <v>45995</v>
      </c>
      <c r="L27" s="4">
        <v>2025404426</v>
      </c>
      <c r="M27" s="83" t="s">
        <v>222</v>
      </c>
      <c r="N27" s="4">
        <v>2025</v>
      </c>
    </row>
    <row r="28" spans="1:14">
      <c r="A28" s="4">
        <v>27</v>
      </c>
      <c r="B28" s="4" t="s">
        <v>52</v>
      </c>
      <c r="C28" s="4" t="s">
        <v>62</v>
      </c>
      <c r="D28" s="4" t="s">
        <v>60</v>
      </c>
      <c r="E28" s="4" t="s">
        <v>71</v>
      </c>
      <c r="G28" s="4" t="s">
        <v>120</v>
      </c>
      <c r="H28" s="4" t="s">
        <v>118</v>
      </c>
      <c r="I28" s="41">
        <v>517.24137931034488</v>
      </c>
      <c r="J28" s="4" t="s">
        <v>383</v>
      </c>
      <c r="K28" s="15">
        <v>45991</v>
      </c>
      <c r="L28" s="4">
        <v>2025404541</v>
      </c>
      <c r="M28" s="83" t="s">
        <v>222</v>
      </c>
      <c r="N28" s="4">
        <v>2025</v>
      </c>
    </row>
    <row r="29" spans="1:14">
      <c r="A29" s="4">
        <v>28</v>
      </c>
      <c r="B29" s="4" t="s">
        <v>54</v>
      </c>
      <c r="C29" s="4" t="s">
        <v>95</v>
      </c>
      <c r="D29" s="4" t="s">
        <v>60</v>
      </c>
      <c r="E29" s="4" t="s">
        <v>71</v>
      </c>
      <c r="G29" s="4" t="s">
        <v>120</v>
      </c>
      <c r="H29" s="4" t="s">
        <v>118</v>
      </c>
      <c r="I29" s="41">
        <v>110.34482758620689</v>
      </c>
      <c r="J29" s="4" t="s">
        <v>386</v>
      </c>
      <c r="K29" s="15">
        <v>46020</v>
      </c>
      <c r="L29" s="4">
        <v>2025404838</v>
      </c>
      <c r="M29" s="83" t="s">
        <v>222</v>
      </c>
      <c r="N29" s="4">
        <v>2025</v>
      </c>
    </row>
    <row r="30" spans="1:14">
      <c r="A30" s="4">
        <v>29</v>
      </c>
      <c r="B30" s="4" t="s">
        <v>17</v>
      </c>
      <c r="C30" s="4" t="s">
        <v>22</v>
      </c>
      <c r="D30" s="4" t="s">
        <v>60</v>
      </c>
      <c r="E30" s="29" t="s">
        <v>71</v>
      </c>
      <c r="G30" s="4" t="s">
        <v>120</v>
      </c>
      <c r="H30" s="4" t="s">
        <v>118</v>
      </c>
      <c r="I30" s="41">
        <v>44.137931034482762</v>
      </c>
      <c r="J30" s="4" t="s">
        <v>387</v>
      </c>
      <c r="K30" s="15">
        <v>46002</v>
      </c>
      <c r="L30" s="4">
        <v>2026400013</v>
      </c>
      <c r="M30" s="83" t="s">
        <v>222</v>
      </c>
      <c r="N30" s="4">
        <v>2025</v>
      </c>
    </row>
    <row r="31" spans="1:14">
      <c r="A31" s="4">
        <v>30</v>
      </c>
      <c r="B31" s="4" t="s">
        <v>54</v>
      </c>
      <c r="C31" s="4" t="s">
        <v>55</v>
      </c>
      <c r="D31" s="4" t="s">
        <v>60</v>
      </c>
      <c r="E31" s="29" t="s">
        <v>71</v>
      </c>
      <c r="G31" s="4" t="s">
        <v>295</v>
      </c>
      <c r="H31" s="4" t="s">
        <v>118</v>
      </c>
      <c r="I31" s="92">
        <v>6551.7241379310344</v>
      </c>
      <c r="J31" s="4" t="s">
        <v>349</v>
      </c>
      <c r="K31" s="15">
        <v>45992</v>
      </c>
      <c r="L31" s="4">
        <v>2025404499</v>
      </c>
      <c r="M31" s="83" t="s">
        <v>222</v>
      </c>
      <c r="N31" s="4">
        <v>2025</v>
      </c>
    </row>
    <row r="32" spans="1:14">
      <c r="A32" s="4">
        <v>31</v>
      </c>
      <c r="B32" s="4" t="s">
        <v>54</v>
      </c>
      <c r="C32" s="4" t="s">
        <v>55</v>
      </c>
      <c r="D32" s="4" t="s">
        <v>60</v>
      </c>
      <c r="E32" s="29" t="s">
        <v>71</v>
      </c>
      <c r="G32" s="4" t="s">
        <v>239</v>
      </c>
      <c r="H32" s="83" t="s">
        <v>242</v>
      </c>
      <c r="I32" s="41">
        <v>6670.3448275862065</v>
      </c>
      <c r="J32" s="4" t="s">
        <v>348</v>
      </c>
      <c r="K32" s="15">
        <v>45999</v>
      </c>
      <c r="L32" s="4">
        <v>2025404791</v>
      </c>
      <c r="M32" s="83" t="s">
        <v>222</v>
      </c>
      <c r="N32" s="4">
        <v>2025</v>
      </c>
    </row>
    <row r="33" spans="1:14">
      <c r="A33" s="4">
        <v>32</v>
      </c>
      <c r="B33" s="4" t="s">
        <v>52</v>
      </c>
      <c r="C33" s="4" t="s">
        <v>62</v>
      </c>
      <c r="D33" s="4" t="s">
        <v>60</v>
      </c>
      <c r="E33" s="29" t="s">
        <v>71</v>
      </c>
      <c r="G33" s="30" t="s">
        <v>239</v>
      </c>
      <c r="H33" s="83" t="s">
        <v>242</v>
      </c>
      <c r="I33" s="41">
        <v>5594.4827586206893</v>
      </c>
      <c r="J33" s="30" t="s">
        <v>351</v>
      </c>
      <c r="K33" s="15">
        <v>45997</v>
      </c>
      <c r="L33" s="30">
        <v>2025404357</v>
      </c>
      <c r="M33" s="83" t="s">
        <v>222</v>
      </c>
      <c r="N33" s="4">
        <v>2025</v>
      </c>
    </row>
    <row r="34" spans="1:14">
      <c r="A34" s="4">
        <v>33</v>
      </c>
      <c r="B34" s="4" t="s">
        <v>54</v>
      </c>
      <c r="C34" s="4" t="s">
        <v>55</v>
      </c>
      <c r="D34" s="4" t="s">
        <v>60</v>
      </c>
      <c r="E34" s="29" t="s">
        <v>71</v>
      </c>
      <c r="G34" s="4" t="s">
        <v>239</v>
      </c>
      <c r="H34" s="83" t="s">
        <v>242</v>
      </c>
      <c r="I34" s="41">
        <v>5594.4827586206893</v>
      </c>
      <c r="J34" s="4" t="s">
        <v>352</v>
      </c>
      <c r="K34" s="15">
        <v>45991</v>
      </c>
      <c r="L34" s="4">
        <v>2025404497</v>
      </c>
      <c r="M34" s="83" t="s">
        <v>222</v>
      </c>
      <c r="N34" s="4">
        <v>2025</v>
      </c>
    </row>
    <row r="35" spans="1:14">
      <c r="A35" s="4">
        <v>34</v>
      </c>
      <c r="B35" s="4" t="s">
        <v>54</v>
      </c>
      <c r="C35" s="4" t="s">
        <v>55</v>
      </c>
      <c r="D35" s="4" t="s">
        <v>60</v>
      </c>
      <c r="E35" s="29" t="s">
        <v>71</v>
      </c>
      <c r="G35" s="4" t="s">
        <v>239</v>
      </c>
      <c r="H35" s="83" t="s">
        <v>242</v>
      </c>
      <c r="I35" s="41">
        <v>5594.4827586206893</v>
      </c>
      <c r="J35" s="4" t="s">
        <v>353</v>
      </c>
      <c r="K35" s="15">
        <v>46007</v>
      </c>
      <c r="L35" s="4">
        <v>2025404791</v>
      </c>
      <c r="M35" s="83" t="s">
        <v>222</v>
      </c>
      <c r="N35" s="4">
        <v>2025</v>
      </c>
    </row>
    <row r="36" spans="1:14">
      <c r="A36" s="4">
        <v>35</v>
      </c>
      <c r="B36" s="4" t="s">
        <v>42</v>
      </c>
      <c r="C36" s="4" t="s">
        <v>50</v>
      </c>
      <c r="D36" s="4" t="s">
        <v>60</v>
      </c>
      <c r="E36" s="29" t="s">
        <v>71</v>
      </c>
      <c r="G36" s="4" t="s">
        <v>239</v>
      </c>
      <c r="H36" s="83" t="s">
        <v>242</v>
      </c>
      <c r="I36" s="41">
        <v>4034.4827586206898</v>
      </c>
      <c r="J36" s="4" t="s">
        <v>356</v>
      </c>
      <c r="K36" s="15">
        <v>46004</v>
      </c>
      <c r="L36" s="4">
        <v>2025404656</v>
      </c>
      <c r="M36" s="83" t="s">
        <v>222</v>
      </c>
      <c r="N36" s="4">
        <v>2025</v>
      </c>
    </row>
    <row r="37" spans="1:14">
      <c r="A37" s="4">
        <v>36</v>
      </c>
      <c r="B37" s="4" t="s">
        <v>42</v>
      </c>
      <c r="C37" s="4" t="s">
        <v>47</v>
      </c>
      <c r="D37" s="4" t="s">
        <v>60</v>
      </c>
      <c r="E37" s="29" t="s">
        <v>71</v>
      </c>
      <c r="G37" s="4" t="s">
        <v>239</v>
      </c>
      <c r="H37" s="83" t="s">
        <v>242</v>
      </c>
      <c r="I37" s="41">
        <v>489.65517241379308</v>
      </c>
      <c r="J37" s="4" t="s">
        <v>384</v>
      </c>
      <c r="K37" s="15">
        <v>46006</v>
      </c>
      <c r="L37" s="4">
        <v>2025404899</v>
      </c>
      <c r="M37" s="83" t="s">
        <v>222</v>
      </c>
      <c r="N37" s="4">
        <v>2025</v>
      </c>
    </row>
    <row r="38" spans="1:14">
      <c r="A38" s="4">
        <v>37</v>
      </c>
      <c r="B38" s="4" t="s">
        <v>54</v>
      </c>
      <c r="C38" s="4" t="s">
        <v>95</v>
      </c>
      <c r="D38" s="4" t="s">
        <v>60</v>
      </c>
      <c r="E38" s="29" t="s">
        <v>71</v>
      </c>
      <c r="G38" s="4" t="s">
        <v>344</v>
      </c>
      <c r="H38" s="4" t="s">
        <v>118</v>
      </c>
      <c r="I38" s="41">
        <v>12125</v>
      </c>
      <c r="J38" s="4" t="s">
        <v>554</v>
      </c>
      <c r="K38" s="15">
        <v>46366</v>
      </c>
      <c r="L38" s="4">
        <v>2025404803</v>
      </c>
      <c r="M38" s="83" t="s">
        <v>222</v>
      </c>
      <c r="N38" s="4">
        <v>2025</v>
      </c>
    </row>
    <row r="39" spans="1:14">
      <c r="A39" s="4">
        <v>38</v>
      </c>
      <c r="B39" s="4" t="s">
        <v>52</v>
      </c>
      <c r="C39" s="4" t="s">
        <v>62</v>
      </c>
      <c r="D39" s="4" t="s">
        <v>60</v>
      </c>
      <c r="E39" s="29" t="s">
        <v>71</v>
      </c>
      <c r="G39" s="4" t="s">
        <v>237</v>
      </c>
      <c r="H39" s="83" t="s">
        <v>243</v>
      </c>
      <c r="I39" s="41">
        <v>5227.5862068965516</v>
      </c>
      <c r="J39" s="4" t="s">
        <v>355</v>
      </c>
      <c r="K39" s="15">
        <v>46001</v>
      </c>
      <c r="L39" s="4">
        <v>2026400055</v>
      </c>
      <c r="M39" s="83" t="s">
        <v>222</v>
      </c>
      <c r="N39" s="4">
        <v>2025</v>
      </c>
    </row>
    <row r="40" spans="1:14">
      <c r="A40" s="4">
        <v>39</v>
      </c>
      <c r="B40" s="4" t="s">
        <v>17</v>
      </c>
      <c r="C40" s="4" t="s">
        <v>22</v>
      </c>
      <c r="D40" s="4" t="s">
        <v>60</v>
      </c>
      <c r="E40" s="29" t="s">
        <v>71</v>
      </c>
      <c r="G40" s="4" t="s">
        <v>237</v>
      </c>
      <c r="H40" s="83" t="s">
        <v>243</v>
      </c>
      <c r="I40" s="41">
        <v>1896.5517241379309</v>
      </c>
      <c r="J40" s="4" t="s">
        <v>364</v>
      </c>
      <c r="K40" s="15">
        <v>46013</v>
      </c>
      <c r="L40" s="4">
        <v>2026400009</v>
      </c>
      <c r="M40" s="83" t="s">
        <v>222</v>
      </c>
      <c r="N40" s="4">
        <v>2025</v>
      </c>
    </row>
    <row r="41" spans="1:14">
      <c r="A41" s="4">
        <v>40</v>
      </c>
      <c r="B41" s="4" t="s">
        <v>54</v>
      </c>
      <c r="C41" s="4" t="s">
        <v>95</v>
      </c>
      <c r="D41" s="4" t="s">
        <v>60</v>
      </c>
      <c r="E41" s="4" t="s">
        <v>71</v>
      </c>
      <c r="G41" s="4" t="s">
        <v>237</v>
      </c>
      <c r="H41" s="83" t="s">
        <v>243</v>
      </c>
      <c r="I41" s="41">
        <v>827.58620689655174</v>
      </c>
      <c r="J41" s="4" t="s">
        <v>378</v>
      </c>
      <c r="K41" s="15">
        <v>46013</v>
      </c>
      <c r="L41" s="4">
        <v>2025404830</v>
      </c>
      <c r="M41" s="83" t="s">
        <v>222</v>
      </c>
      <c r="N41" s="4">
        <v>2025</v>
      </c>
    </row>
    <row r="42" spans="1:14">
      <c r="A42" s="4">
        <v>41</v>
      </c>
      <c r="B42" s="4" t="s">
        <v>42</v>
      </c>
      <c r="C42" s="4" t="s">
        <v>48</v>
      </c>
      <c r="D42" s="4" t="s">
        <v>60</v>
      </c>
      <c r="E42" s="29" t="s">
        <v>71</v>
      </c>
      <c r="G42" s="4" t="s">
        <v>336</v>
      </c>
      <c r="H42" s="4" t="s">
        <v>118</v>
      </c>
      <c r="I42" s="41">
        <v>2689.655172413793</v>
      </c>
      <c r="J42" s="4" t="s">
        <v>359</v>
      </c>
      <c r="K42" s="15">
        <v>45997</v>
      </c>
      <c r="L42" s="4">
        <v>2025404598</v>
      </c>
      <c r="M42" s="83" t="s">
        <v>222</v>
      </c>
      <c r="N42" s="4">
        <v>2025</v>
      </c>
    </row>
    <row r="43" spans="1:14">
      <c r="A43" s="4">
        <v>42</v>
      </c>
      <c r="B43" s="4" t="s">
        <v>52</v>
      </c>
      <c r="C43" s="4" t="s">
        <v>62</v>
      </c>
      <c r="D43" s="4" t="s">
        <v>60</v>
      </c>
      <c r="E43" s="29" t="s">
        <v>71</v>
      </c>
      <c r="G43" s="4" t="s">
        <v>336</v>
      </c>
      <c r="H43" s="4" t="s">
        <v>118</v>
      </c>
      <c r="I43" s="41">
        <v>1196.5517241379309</v>
      </c>
      <c r="J43" s="4" t="s">
        <v>375</v>
      </c>
      <c r="K43" s="15">
        <v>46006</v>
      </c>
      <c r="L43" s="4">
        <v>2025404784</v>
      </c>
      <c r="M43" s="83" t="s">
        <v>222</v>
      </c>
      <c r="N43" s="4">
        <v>2025</v>
      </c>
    </row>
    <row r="44" spans="1:14">
      <c r="A44" s="4">
        <v>43</v>
      </c>
      <c r="B44" s="4" t="s">
        <v>54</v>
      </c>
      <c r="C44" s="4" t="s">
        <v>95</v>
      </c>
      <c r="D44" s="4" t="s">
        <v>60</v>
      </c>
      <c r="E44" s="29" t="s">
        <v>71</v>
      </c>
      <c r="G44" s="4" t="s">
        <v>336</v>
      </c>
      <c r="H44" s="4" t="s">
        <v>118</v>
      </c>
      <c r="I44" s="41">
        <v>689.65517241379314</v>
      </c>
      <c r="J44" s="4" t="s">
        <v>380</v>
      </c>
      <c r="K44" s="15">
        <v>46011</v>
      </c>
      <c r="L44" s="4">
        <v>2025404764</v>
      </c>
      <c r="M44" s="83" t="s">
        <v>222</v>
      </c>
      <c r="N44" s="4">
        <v>2025</v>
      </c>
    </row>
    <row r="45" spans="1:14">
      <c r="A45" s="4">
        <v>44</v>
      </c>
      <c r="B45" s="4" t="s">
        <v>42</v>
      </c>
      <c r="C45" s="4" t="s">
        <v>50</v>
      </c>
      <c r="D45" s="4" t="s">
        <v>60</v>
      </c>
      <c r="E45" s="29" t="s">
        <v>71</v>
      </c>
      <c r="G45" s="4" t="s">
        <v>121</v>
      </c>
      <c r="H45" s="4" t="s">
        <v>118</v>
      </c>
      <c r="I45" s="41">
        <v>2220.54</v>
      </c>
      <c r="J45" s="4" t="s">
        <v>443</v>
      </c>
      <c r="K45" s="15">
        <v>46005</v>
      </c>
      <c r="L45" s="4">
        <v>2025404490</v>
      </c>
      <c r="M45" s="83" t="s">
        <v>222</v>
      </c>
      <c r="N45" s="4">
        <v>2025</v>
      </c>
    </row>
    <row r="46" spans="1:14">
      <c r="A46" s="4">
        <v>45</v>
      </c>
      <c r="B46" s="4" t="s">
        <v>17</v>
      </c>
      <c r="C46" s="4" t="s">
        <v>22</v>
      </c>
      <c r="D46" s="4" t="s">
        <v>60</v>
      </c>
      <c r="E46" s="4" t="s">
        <v>71</v>
      </c>
      <c r="G46" s="4" t="s">
        <v>121</v>
      </c>
      <c r="H46" s="4" t="s">
        <v>118</v>
      </c>
      <c r="I46" s="41">
        <v>1581.9</v>
      </c>
      <c r="J46" s="4" t="s">
        <v>450</v>
      </c>
      <c r="K46" s="15">
        <v>46005</v>
      </c>
      <c r="L46" s="4">
        <v>2025404516</v>
      </c>
      <c r="M46" s="83" t="s">
        <v>222</v>
      </c>
      <c r="N46" s="4">
        <v>2025</v>
      </c>
    </row>
    <row r="47" spans="1:14">
      <c r="A47" s="4">
        <v>46</v>
      </c>
      <c r="B47" s="4" t="s">
        <v>35</v>
      </c>
      <c r="C47" s="4" t="s">
        <v>36</v>
      </c>
      <c r="D47" s="4" t="s">
        <v>60</v>
      </c>
      <c r="E47" s="29" t="s">
        <v>71</v>
      </c>
      <c r="G47" s="4" t="s">
        <v>121</v>
      </c>
      <c r="H47" s="4" t="s">
        <v>118</v>
      </c>
      <c r="I47" s="41">
        <v>248.83</v>
      </c>
      <c r="J47" s="4" t="s">
        <v>451</v>
      </c>
      <c r="K47" s="15">
        <v>46005</v>
      </c>
      <c r="L47" s="4">
        <v>2025404461</v>
      </c>
      <c r="M47" s="83" t="s">
        <v>222</v>
      </c>
      <c r="N47" s="4">
        <v>2025</v>
      </c>
    </row>
    <row r="48" spans="1:14">
      <c r="A48" s="4">
        <v>47</v>
      </c>
      <c r="B48" s="4" t="s">
        <v>17</v>
      </c>
      <c r="C48" s="4" t="s">
        <v>26</v>
      </c>
      <c r="D48" s="4" t="s">
        <v>60</v>
      </c>
      <c r="E48" s="29" t="s">
        <v>71</v>
      </c>
      <c r="G48" s="4" t="s">
        <v>121</v>
      </c>
      <c r="H48" s="4" t="s">
        <v>118</v>
      </c>
      <c r="I48" s="41">
        <v>290.39999999999998</v>
      </c>
      <c r="J48" s="4" t="s">
        <v>452</v>
      </c>
      <c r="K48" s="15">
        <v>46000</v>
      </c>
      <c r="L48" s="4">
        <v>2025404475</v>
      </c>
      <c r="M48" s="83" t="s">
        <v>222</v>
      </c>
      <c r="N48" s="4">
        <v>2025</v>
      </c>
    </row>
    <row r="49" spans="1:14">
      <c r="A49" s="4">
        <v>48</v>
      </c>
      <c r="B49" s="4" t="s">
        <v>35</v>
      </c>
      <c r="C49" s="4" t="s">
        <v>36</v>
      </c>
      <c r="D49" s="4" t="s">
        <v>60</v>
      </c>
      <c r="E49" s="29" t="s">
        <v>71</v>
      </c>
      <c r="G49" s="4" t="s">
        <v>121</v>
      </c>
      <c r="H49" s="4" t="s">
        <v>118</v>
      </c>
      <c r="I49" s="41">
        <v>1211.04</v>
      </c>
      <c r="J49" s="4" t="s">
        <v>454</v>
      </c>
      <c r="K49" s="15">
        <v>46002</v>
      </c>
      <c r="L49" s="4">
        <v>2025404459</v>
      </c>
      <c r="M49" s="83" t="s">
        <v>222</v>
      </c>
      <c r="N49" s="4">
        <v>2025</v>
      </c>
    </row>
    <row r="50" spans="1:14">
      <c r="A50" s="4">
        <v>49</v>
      </c>
      <c r="B50" s="4" t="s">
        <v>42</v>
      </c>
      <c r="C50" s="4" t="s">
        <v>47</v>
      </c>
      <c r="D50" s="4" t="s">
        <v>60</v>
      </c>
      <c r="E50" s="29" t="s">
        <v>71</v>
      </c>
      <c r="G50" s="4" t="s">
        <v>121</v>
      </c>
      <c r="H50" s="4" t="s">
        <v>118</v>
      </c>
      <c r="I50" s="41">
        <v>285</v>
      </c>
      <c r="J50" s="4" t="s">
        <v>455</v>
      </c>
      <c r="K50" s="15">
        <v>46002</v>
      </c>
      <c r="L50" s="4">
        <v>2025404456</v>
      </c>
      <c r="M50" s="83" t="s">
        <v>222</v>
      </c>
      <c r="N50" s="4">
        <v>2025</v>
      </c>
    </row>
    <row r="51" spans="1:14">
      <c r="A51" s="4">
        <v>50</v>
      </c>
      <c r="B51" s="4" t="s">
        <v>42</v>
      </c>
      <c r="C51" s="4" t="s">
        <v>50</v>
      </c>
      <c r="D51" s="4" t="s">
        <v>60</v>
      </c>
      <c r="E51" s="29" t="s">
        <v>71</v>
      </c>
      <c r="G51" s="4" t="s">
        <v>121</v>
      </c>
      <c r="H51" s="4" t="s">
        <v>118</v>
      </c>
      <c r="I51" s="41">
        <v>1955.6</v>
      </c>
      <c r="J51" s="4" t="s">
        <v>456</v>
      </c>
      <c r="K51" s="15">
        <v>46000</v>
      </c>
      <c r="L51" s="4">
        <v>2025404449</v>
      </c>
      <c r="M51" s="83" t="s">
        <v>222</v>
      </c>
      <c r="N51" s="4">
        <v>2025</v>
      </c>
    </row>
    <row r="52" spans="1:14">
      <c r="A52" s="4">
        <v>51</v>
      </c>
      <c r="B52" s="29" t="s">
        <v>35</v>
      </c>
      <c r="C52" s="29" t="s">
        <v>36</v>
      </c>
      <c r="D52" s="4" t="s">
        <v>60</v>
      </c>
      <c r="E52" s="29" t="s">
        <v>71</v>
      </c>
      <c r="G52" s="29" t="s">
        <v>121</v>
      </c>
      <c r="H52" s="4" t="s">
        <v>118</v>
      </c>
      <c r="I52" s="41">
        <v>1066.49</v>
      </c>
      <c r="J52" s="4" t="s">
        <v>467</v>
      </c>
      <c r="K52" s="15">
        <v>46006</v>
      </c>
      <c r="L52" s="4">
        <v>2025404445</v>
      </c>
      <c r="M52" s="83" t="s">
        <v>222</v>
      </c>
      <c r="N52" s="4">
        <v>2025</v>
      </c>
    </row>
    <row r="53" spans="1:14">
      <c r="A53" s="4">
        <v>52</v>
      </c>
      <c r="B53" s="4" t="s">
        <v>52</v>
      </c>
      <c r="C53" s="4" t="s">
        <v>62</v>
      </c>
      <c r="D53" s="4" t="s">
        <v>60</v>
      </c>
      <c r="E53" s="29" t="s">
        <v>71</v>
      </c>
      <c r="G53" s="4" t="s">
        <v>121</v>
      </c>
      <c r="H53" s="4" t="s">
        <v>118</v>
      </c>
      <c r="I53" s="41">
        <v>500.92</v>
      </c>
      <c r="J53" s="4" t="s">
        <v>470</v>
      </c>
      <c r="K53" s="15">
        <v>45987</v>
      </c>
      <c r="L53" s="4">
        <v>2025404518</v>
      </c>
      <c r="M53" s="83" t="s">
        <v>222</v>
      </c>
      <c r="N53" s="4">
        <v>2025</v>
      </c>
    </row>
    <row r="54" spans="1:14">
      <c r="A54" s="4">
        <v>53</v>
      </c>
      <c r="B54" s="4" t="s">
        <v>42</v>
      </c>
      <c r="C54" s="4" t="s">
        <v>48</v>
      </c>
      <c r="D54" s="4" t="s">
        <v>60</v>
      </c>
      <c r="E54" s="4" t="s">
        <v>71</v>
      </c>
      <c r="G54" s="4" t="s">
        <v>121</v>
      </c>
      <c r="H54" s="4" t="s">
        <v>118</v>
      </c>
      <c r="I54" s="41">
        <v>800</v>
      </c>
      <c r="J54" s="4" t="s">
        <v>479</v>
      </c>
      <c r="K54" s="15">
        <v>46007</v>
      </c>
      <c r="L54" s="4">
        <v>2025404482</v>
      </c>
      <c r="M54" s="83" t="s">
        <v>222</v>
      </c>
      <c r="N54" s="4">
        <v>2025</v>
      </c>
    </row>
    <row r="55" spans="1:14">
      <c r="A55" s="4">
        <v>54</v>
      </c>
      <c r="B55" s="4" t="s">
        <v>35</v>
      </c>
      <c r="C55" s="4" t="s">
        <v>36</v>
      </c>
      <c r="D55" s="4" t="s">
        <v>60</v>
      </c>
      <c r="E55" s="29" t="s">
        <v>71</v>
      </c>
      <c r="G55" s="4" t="s">
        <v>121</v>
      </c>
      <c r="H55" s="4" t="s">
        <v>118</v>
      </c>
      <c r="I55" s="41">
        <v>2721</v>
      </c>
      <c r="J55" s="4" t="s">
        <v>480</v>
      </c>
      <c r="K55" s="15">
        <v>46007</v>
      </c>
      <c r="L55" s="4">
        <v>2025404472</v>
      </c>
      <c r="M55" s="83" t="s">
        <v>222</v>
      </c>
      <c r="N55" s="4">
        <v>2025</v>
      </c>
    </row>
    <row r="56" spans="1:14">
      <c r="A56" s="4">
        <v>55</v>
      </c>
      <c r="B56" s="4" t="s">
        <v>35</v>
      </c>
      <c r="C56" s="4" t="s">
        <v>36</v>
      </c>
      <c r="D56" s="4" t="s">
        <v>60</v>
      </c>
      <c r="E56" s="29" t="s">
        <v>71</v>
      </c>
      <c r="G56" s="4" t="s">
        <v>121</v>
      </c>
      <c r="H56" s="4" t="s">
        <v>118</v>
      </c>
      <c r="I56" s="41">
        <v>2721</v>
      </c>
      <c r="J56" s="4" t="s">
        <v>481</v>
      </c>
      <c r="K56" s="15">
        <v>46007</v>
      </c>
      <c r="L56" s="4">
        <v>2025404454</v>
      </c>
      <c r="M56" s="83" t="s">
        <v>222</v>
      </c>
      <c r="N56" s="4">
        <v>2025</v>
      </c>
    </row>
    <row r="57" spans="1:14">
      <c r="A57" s="4">
        <v>56</v>
      </c>
      <c r="B57" s="4" t="s">
        <v>27</v>
      </c>
      <c r="C57" s="4" t="s">
        <v>28</v>
      </c>
      <c r="D57" s="4" t="s">
        <v>60</v>
      </c>
      <c r="E57" s="29" t="s">
        <v>71</v>
      </c>
      <c r="G57" s="4" t="s">
        <v>121</v>
      </c>
      <c r="H57" s="4" t="s">
        <v>118</v>
      </c>
      <c r="I57" s="41">
        <v>383.67</v>
      </c>
      <c r="J57" s="4" t="s">
        <v>482</v>
      </c>
      <c r="K57" s="15">
        <v>45973</v>
      </c>
      <c r="L57" s="4">
        <v>2025404442</v>
      </c>
      <c r="M57" s="83" t="s">
        <v>222</v>
      </c>
      <c r="N57" s="4">
        <v>2025</v>
      </c>
    </row>
    <row r="58" spans="1:14">
      <c r="A58" s="4">
        <v>57</v>
      </c>
      <c r="B58" s="29" t="s">
        <v>35</v>
      </c>
      <c r="C58" s="29" t="s">
        <v>36</v>
      </c>
      <c r="D58" s="4" t="s">
        <v>60</v>
      </c>
      <c r="E58" s="29" t="s">
        <v>71</v>
      </c>
      <c r="G58" s="29" t="s">
        <v>121</v>
      </c>
      <c r="H58" s="4" t="s">
        <v>118</v>
      </c>
      <c r="I58" s="41">
        <v>519.58000000000004</v>
      </c>
      <c r="J58" s="4" t="s">
        <v>505</v>
      </c>
      <c r="K58" s="15">
        <v>46005</v>
      </c>
      <c r="L58" s="4">
        <v>2025404513</v>
      </c>
      <c r="M58" s="83" t="s">
        <v>222</v>
      </c>
      <c r="N58" s="4">
        <v>2025</v>
      </c>
    </row>
    <row r="59" spans="1:14">
      <c r="A59" s="4">
        <v>58</v>
      </c>
      <c r="B59" s="4" t="s">
        <v>35</v>
      </c>
      <c r="C59" s="4" t="s">
        <v>36</v>
      </c>
      <c r="D59" s="4" t="s">
        <v>60</v>
      </c>
      <c r="E59" s="29" t="s">
        <v>71</v>
      </c>
      <c r="G59" s="4" t="s">
        <v>121</v>
      </c>
      <c r="H59" s="4" t="s">
        <v>118</v>
      </c>
      <c r="I59" s="41">
        <v>123.66</v>
      </c>
      <c r="J59" s="4" t="s">
        <v>508</v>
      </c>
      <c r="K59" s="15">
        <v>46018</v>
      </c>
      <c r="L59" s="4">
        <v>2025404714</v>
      </c>
      <c r="M59" s="83" t="s">
        <v>222</v>
      </c>
      <c r="N59" s="4">
        <v>2025</v>
      </c>
    </row>
    <row r="60" spans="1:14">
      <c r="A60" s="4">
        <v>59</v>
      </c>
      <c r="B60" s="4" t="s">
        <v>54</v>
      </c>
      <c r="C60" s="4" t="s">
        <v>95</v>
      </c>
      <c r="D60" s="4" t="s">
        <v>60</v>
      </c>
      <c r="E60" s="29" t="s">
        <v>71</v>
      </c>
      <c r="G60" s="4" t="s">
        <v>121</v>
      </c>
      <c r="H60" s="4" t="s">
        <v>118</v>
      </c>
      <c r="I60" s="41">
        <v>2215.4</v>
      </c>
      <c r="J60" s="4" t="s">
        <v>509</v>
      </c>
      <c r="K60" s="15">
        <v>46016</v>
      </c>
      <c r="L60" s="4">
        <v>2025404717</v>
      </c>
      <c r="M60" s="83" t="s">
        <v>222</v>
      </c>
      <c r="N60" s="4">
        <v>2025</v>
      </c>
    </row>
    <row r="61" spans="1:14">
      <c r="A61" s="4">
        <v>60</v>
      </c>
      <c r="B61" s="4" t="s">
        <v>54</v>
      </c>
      <c r="C61" s="4" t="s">
        <v>55</v>
      </c>
      <c r="D61" s="4" t="s">
        <v>60</v>
      </c>
      <c r="E61" s="29" t="s">
        <v>71</v>
      </c>
      <c r="G61" s="4" t="s">
        <v>121</v>
      </c>
      <c r="H61" s="4" t="s">
        <v>118</v>
      </c>
      <c r="I61" s="41">
        <v>2110.0500000000002</v>
      </c>
      <c r="J61" s="4" t="s">
        <v>510</v>
      </c>
      <c r="K61" s="15">
        <v>46018</v>
      </c>
      <c r="L61" s="4">
        <v>2025404707</v>
      </c>
      <c r="M61" s="83" t="s">
        <v>222</v>
      </c>
      <c r="N61" s="4">
        <v>2025</v>
      </c>
    </row>
    <row r="62" spans="1:14">
      <c r="A62" s="4">
        <v>61</v>
      </c>
      <c r="B62" s="4" t="s">
        <v>17</v>
      </c>
      <c r="C62" s="4" t="s">
        <v>25</v>
      </c>
      <c r="D62" s="4" t="s">
        <v>60</v>
      </c>
      <c r="E62" s="29" t="s">
        <v>71</v>
      </c>
      <c r="G62" s="4" t="s">
        <v>342</v>
      </c>
      <c r="H62" s="83" t="s">
        <v>610</v>
      </c>
      <c r="I62" s="41">
        <v>12689.655172413793</v>
      </c>
      <c r="J62" s="4" t="s">
        <v>345</v>
      </c>
      <c r="K62" s="15">
        <v>46005</v>
      </c>
      <c r="L62" s="4">
        <v>2025404792</v>
      </c>
      <c r="M62" s="83" t="s">
        <v>222</v>
      </c>
      <c r="N62" s="4">
        <v>2025</v>
      </c>
    </row>
    <row r="63" spans="1:14">
      <c r="A63" s="4">
        <v>62</v>
      </c>
      <c r="B63" s="4" t="s">
        <v>42</v>
      </c>
      <c r="C63" s="4" t="s">
        <v>50</v>
      </c>
      <c r="D63" s="4" t="s">
        <v>60</v>
      </c>
      <c r="E63" s="4" t="s">
        <v>71</v>
      </c>
      <c r="G63" s="4" t="s">
        <v>293</v>
      </c>
      <c r="H63" s="4" t="s">
        <v>118</v>
      </c>
      <c r="I63" s="41">
        <v>3586.2068965517242</v>
      </c>
      <c r="J63" s="4" t="s">
        <v>357</v>
      </c>
      <c r="K63" s="15">
        <v>46009</v>
      </c>
      <c r="L63" s="4">
        <v>2025404659</v>
      </c>
      <c r="M63" s="83" t="s">
        <v>222</v>
      </c>
      <c r="N63" s="4">
        <v>2025</v>
      </c>
    </row>
    <row r="64" spans="1:14">
      <c r="A64" s="4">
        <v>63</v>
      </c>
      <c r="B64" s="4" t="s">
        <v>42</v>
      </c>
      <c r="C64" s="4" t="s">
        <v>50</v>
      </c>
      <c r="D64" s="4" t="s">
        <v>60</v>
      </c>
      <c r="E64" s="4" t="s">
        <v>71</v>
      </c>
      <c r="G64" s="4" t="s">
        <v>294</v>
      </c>
      <c r="H64" s="4" t="s">
        <v>118</v>
      </c>
      <c r="I64" s="41">
        <v>2922.7586206896553</v>
      </c>
      <c r="J64" s="4" t="s">
        <v>240</v>
      </c>
      <c r="K64" s="15">
        <v>46007</v>
      </c>
      <c r="L64" s="4">
        <v>2025404770</v>
      </c>
      <c r="M64" s="83" t="s">
        <v>222</v>
      </c>
      <c r="N64" s="4">
        <v>2025</v>
      </c>
    </row>
    <row r="65" spans="1:14">
      <c r="A65" s="4">
        <v>64</v>
      </c>
      <c r="B65" s="4" t="s">
        <v>17</v>
      </c>
      <c r="C65" s="4" t="s">
        <v>22</v>
      </c>
      <c r="D65" s="4" t="s">
        <v>60</v>
      </c>
      <c r="E65" s="29" t="s">
        <v>71</v>
      </c>
      <c r="G65" s="4" t="s">
        <v>122</v>
      </c>
      <c r="H65" s="4" t="s">
        <v>118</v>
      </c>
      <c r="I65" s="41">
        <v>71.14</v>
      </c>
      <c r="J65" s="4" t="s">
        <v>413</v>
      </c>
      <c r="K65" s="15">
        <v>45987</v>
      </c>
      <c r="L65" s="4">
        <v>2025404443</v>
      </c>
      <c r="M65" s="83" t="s">
        <v>222</v>
      </c>
      <c r="N65" s="4">
        <v>2025</v>
      </c>
    </row>
    <row r="66" spans="1:14">
      <c r="A66" s="4">
        <v>65</v>
      </c>
      <c r="B66" s="4" t="s">
        <v>42</v>
      </c>
      <c r="C66" s="4" t="s">
        <v>44</v>
      </c>
      <c r="D66" s="4" t="s">
        <v>60</v>
      </c>
      <c r="E66" s="29" t="s">
        <v>71</v>
      </c>
      <c r="G66" s="30" t="s">
        <v>122</v>
      </c>
      <c r="H66" s="4" t="s">
        <v>118</v>
      </c>
      <c r="I66" s="41">
        <v>784.32</v>
      </c>
      <c r="J66" s="30" t="s">
        <v>414</v>
      </c>
      <c r="K66" s="40">
        <v>45987</v>
      </c>
      <c r="L66" s="30">
        <v>2025404448</v>
      </c>
      <c r="M66" s="83" t="s">
        <v>222</v>
      </c>
      <c r="N66" s="4">
        <v>2025</v>
      </c>
    </row>
    <row r="67" spans="1:14">
      <c r="A67" s="4">
        <v>66</v>
      </c>
      <c r="B67" s="4" t="s">
        <v>35</v>
      </c>
      <c r="C67" s="4" t="s">
        <v>36</v>
      </c>
      <c r="D67" s="4" t="s">
        <v>60</v>
      </c>
      <c r="E67" s="4" t="s">
        <v>71</v>
      </c>
      <c r="G67" s="4" t="s">
        <v>122</v>
      </c>
      <c r="H67" s="4" t="s">
        <v>118</v>
      </c>
      <c r="I67" s="41">
        <v>292.49</v>
      </c>
      <c r="J67" s="4" t="s">
        <v>415</v>
      </c>
      <c r="K67" s="15">
        <v>45987</v>
      </c>
      <c r="L67" s="4">
        <v>2025404451</v>
      </c>
      <c r="M67" s="83" t="s">
        <v>222</v>
      </c>
      <c r="N67" s="4">
        <v>2025</v>
      </c>
    </row>
    <row r="68" spans="1:14">
      <c r="A68" s="4">
        <v>67</v>
      </c>
      <c r="B68" s="4" t="s">
        <v>17</v>
      </c>
      <c r="C68" s="4" t="s">
        <v>22</v>
      </c>
      <c r="D68" s="4" t="s">
        <v>60</v>
      </c>
      <c r="E68" s="29" t="s">
        <v>71</v>
      </c>
      <c r="G68" s="4" t="s">
        <v>122</v>
      </c>
      <c r="H68" s="4" t="s">
        <v>118</v>
      </c>
      <c r="I68" s="41">
        <v>106.28</v>
      </c>
      <c r="J68" s="4" t="s">
        <v>416</v>
      </c>
      <c r="K68" s="15">
        <v>45992</v>
      </c>
      <c r="L68" s="4">
        <v>2025404473</v>
      </c>
      <c r="M68" s="83" t="s">
        <v>222</v>
      </c>
      <c r="N68" s="4">
        <v>2025</v>
      </c>
    </row>
    <row r="69" spans="1:14">
      <c r="A69" s="4">
        <v>68</v>
      </c>
      <c r="B69" s="4" t="s">
        <v>35</v>
      </c>
      <c r="C69" s="4" t="s">
        <v>36</v>
      </c>
      <c r="D69" s="4" t="s">
        <v>60</v>
      </c>
      <c r="E69" s="29" t="s">
        <v>71</v>
      </c>
      <c r="G69" s="4" t="s">
        <v>122</v>
      </c>
      <c r="H69" s="4" t="s">
        <v>118</v>
      </c>
      <c r="I69" s="41">
        <v>342.04</v>
      </c>
      <c r="J69" s="4" t="s">
        <v>417</v>
      </c>
      <c r="K69" s="15">
        <v>45989</v>
      </c>
      <c r="L69" s="4">
        <v>2025404480</v>
      </c>
      <c r="M69" s="83" t="s">
        <v>222</v>
      </c>
      <c r="N69" s="4">
        <v>2025</v>
      </c>
    </row>
    <row r="70" spans="1:14">
      <c r="A70" s="4">
        <v>69</v>
      </c>
      <c r="B70" s="29" t="s">
        <v>35</v>
      </c>
      <c r="C70" s="29" t="s">
        <v>36</v>
      </c>
      <c r="D70" s="4" t="s">
        <v>60</v>
      </c>
      <c r="E70" s="29" t="s">
        <v>71</v>
      </c>
      <c r="G70" s="29" t="s">
        <v>122</v>
      </c>
      <c r="H70" s="4" t="s">
        <v>118</v>
      </c>
      <c r="I70" s="41">
        <v>258.48</v>
      </c>
      <c r="J70" s="4" t="s">
        <v>418</v>
      </c>
      <c r="K70" s="15">
        <v>45992</v>
      </c>
      <c r="L70" s="4">
        <v>2025404481</v>
      </c>
      <c r="M70" s="83" t="s">
        <v>222</v>
      </c>
      <c r="N70" s="4">
        <v>2025</v>
      </c>
    </row>
    <row r="71" spans="1:14">
      <c r="A71" s="4">
        <v>70</v>
      </c>
      <c r="B71" s="4" t="s">
        <v>35</v>
      </c>
      <c r="C71" s="4" t="s">
        <v>36</v>
      </c>
      <c r="D71" s="4" t="s">
        <v>60</v>
      </c>
      <c r="E71" s="4" t="s">
        <v>71</v>
      </c>
      <c r="G71" s="4" t="s">
        <v>122</v>
      </c>
      <c r="H71" s="4" t="s">
        <v>118</v>
      </c>
      <c r="I71" s="41">
        <v>480</v>
      </c>
      <c r="J71" s="4" t="s">
        <v>419</v>
      </c>
      <c r="K71" s="15">
        <v>45992</v>
      </c>
      <c r="L71" s="4">
        <v>2025404488</v>
      </c>
      <c r="M71" s="83" t="s">
        <v>222</v>
      </c>
      <c r="N71" s="4">
        <v>2025</v>
      </c>
    </row>
    <row r="72" spans="1:14">
      <c r="A72" s="4">
        <v>71</v>
      </c>
      <c r="B72" s="4" t="s">
        <v>42</v>
      </c>
      <c r="C72" s="4" t="s">
        <v>50</v>
      </c>
      <c r="D72" s="4" t="s">
        <v>60</v>
      </c>
      <c r="E72" s="4" t="s">
        <v>71</v>
      </c>
      <c r="G72" s="4" t="s">
        <v>122</v>
      </c>
      <c r="H72" s="4" t="s">
        <v>118</v>
      </c>
      <c r="I72" s="41">
        <v>1383.6</v>
      </c>
      <c r="J72" s="4" t="s">
        <v>420</v>
      </c>
      <c r="K72" s="15">
        <v>45988</v>
      </c>
      <c r="L72" s="4">
        <v>2025404450</v>
      </c>
      <c r="M72" s="83" t="s">
        <v>222</v>
      </c>
      <c r="N72" s="4">
        <v>2025</v>
      </c>
    </row>
    <row r="73" spans="1:14">
      <c r="A73" s="4">
        <v>72</v>
      </c>
      <c r="B73" s="29" t="s">
        <v>17</v>
      </c>
      <c r="C73" s="29" t="s">
        <v>22</v>
      </c>
      <c r="D73" s="4" t="s">
        <v>60</v>
      </c>
      <c r="E73" s="4" t="s">
        <v>71</v>
      </c>
      <c r="G73" s="4" t="s">
        <v>122</v>
      </c>
      <c r="H73" s="4" t="s">
        <v>118</v>
      </c>
      <c r="I73" s="41">
        <v>76.2</v>
      </c>
      <c r="J73" s="4" t="s">
        <v>421</v>
      </c>
      <c r="K73" s="15">
        <v>45992</v>
      </c>
      <c r="L73" s="4">
        <v>2025404468</v>
      </c>
      <c r="M73" s="83" t="s">
        <v>222</v>
      </c>
      <c r="N73" s="4">
        <v>2025</v>
      </c>
    </row>
    <row r="74" spans="1:14">
      <c r="A74" s="4">
        <v>73</v>
      </c>
      <c r="B74" s="4" t="s">
        <v>35</v>
      </c>
      <c r="C74" s="4" t="s">
        <v>36</v>
      </c>
      <c r="D74" s="4" t="s">
        <v>60</v>
      </c>
      <c r="E74" s="29" t="s">
        <v>71</v>
      </c>
      <c r="G74" s="4" t="s">
        <v>122</v>
      </c>
      <c r="H74" s="4" t="s">
        <v>118</v>
      </c>
      <c r="I74" s="41">
        <v>122.36</v>
      </c>
      <c r="J74" s="4" t="s">
        <v>422</v>
      </c>
      <c r="K74" s="15">
        <v>45992</v>
      </c>
      <c r="L74" s="4">
        <v>2025404483</v>
      </c>
      <c r="M74" s="83" t="s">
        <v>222</v>
      </c>
      <c r="N74" s="4">
        <v>2025</v>
      </c>
    </row>
    <row r="75" spans="1:14">
      <c r="A75" s="4">
        <v>74</v>
      </c>
      <c r="B75" s="4" t="s">
        <v>42</v>
      </c>
      <c r="C75" s="4" t="s">
        <v>47</v>
      </c>
      <c r="D75" s="4" t="s">
        <v>60</v>
      </c>
      <c r="E75" s="4" t="s">
        <v>71</v>
      </c>
      <c r="G75" s="4" t="s">
        <v>122</v>
      </c>
      <c r="H75" s="4" t="s">
        <v>118</v>
      </c>
      <c r="I75" s="41">
        <v>147.69999999999999</v>
      </c>
      <c r="J75" s="4" t="s">
        <v>423</v>
      </c>
      <c r="K75" s="15">
        <v>45992</v>
      </c>
      <c r="L75" s="4">
        <v>2025404484</v>
      </c>
      <c r="M75" s="83" t="s">
        <v>222</v>
      </c>
      <c r="N75" s="4">
        <v>2025</v>
      </c>
    </row>
    <row r="76" spans="1:14">
      <c r="A76" s="4">
        <v>75</v>
      </c>
      <c r="B76" s="4" t="s">
        <v>35</v>
      </c>
      <c r="C76" s="4" t="s">
        <v>36</v>
      </c>
      <c r="D76" s="4" t="s">
        <v>60</v>
      </c>
      <c r="E76" s="29" t="s">
        <v>71</v>
      </c>
      <c r="G76" s="4" t="s">
        <v>122</v>
      </c>
      <c r="H76" s="4" t="s">
        <v>118</v>
      </c>
      <c r="I76" s="41">
        <v>480</v>
      </c>
      <c r="J76" s="4" t="s">
        <v>424</v>
      </c>
      <c r="K76" s="15">
        <v>45992</v>
      </c>
      <c r="L76" s="4">
        <v>2025404486</v>
      </c>
      <c r="M76" s="83" t="s">
        <v>222</v>
      </c>
      <c r="N76" s="4">
        <v>2025</v>
      </c>
    </row>
    <row r="77" spans="1:14">
      <c r="A77" s="4">
        <v>76</v>
      </c>
      <c r="B77" s="4" t="s">
        <v>35</v>
      </c>
      <c r="C77" s="4" t="s">
        <v>36</v>
      </c>
      <c r="D77" s="4" t="s">
        <v>60</v>
      </c>
      <c r="E77" s="29" t="s">
        <v>71</v>
      </c>
      <c r="G77" s="4" t="s">
        <v>122</v>
      </c>
      <c r="H77" s="4" t="s">
        <v>118</v>
      </c>
      <c r="I77" s="41">
        <v>129.15</v>
      </c>
      <c r="J77" s="4" t="s">
        <v>425</v>
      </c>
      <c r="K77" s="15">
        <v>45992</v>
      </c>
      <c r="L77" s="4">
        <v>2025404485</v>
      </c>
      <c r="M77" s="83" t="s">
        <v>222</v>
      </c>
      <c r="N77" s="4">
        <v>2025</v>
      </c>
    </row>
    <row r="78" spans="1:14">
      <c r="A78" s="4">
        <v>77</v>
      </c>
      <c r="B78" s="4" t="s">
        <v>52</v>
      </c>
      <c r="C78" s="4" t="s">
        <v>62</v>
      </c>
      <c r="D78" s="4" t="s">
        <v>60</v>
      </c>
      <c r="E78" s="29" t="s">
        <v>71</v>
      </c>
      <c r="G78" s="4" t="s">
        <v>122</v>
      </c>
      <c r="H78" s="4" t="s">
        <v>118</v>
      </c>
      <c r="I78" s="92">
        <v>1877</v>
      </c>
      <c r="J78" s="4" t="s">
        <v>426</v>
      </c>
      <c r="K78" s="15">
        <v>45992</v>
      </c>
      <c r="L78" s="4">
        <v>2025404487</v>
      </c>
      <c r="M78" s="83" t="s">
        <v>222</v>
      </c>
      <c r="N78" s="4">
        <v>2025</v>
      </c>
    </row>
    <row r="79" spans="1:14">
      <c r="A79" s="4">
        <v>78</v>
      </c>
      <c r="B79" s="4" t="s">
        <v>35</v>
      </c>
      <c r="C79" s="4" t="s">
        <v>36</v>
      </c>
      <c r="D79" s="4" t="s">
        <v>60</v>
      </c>
      <c r="E79" s="29" t="s">
        <v>71</v>
      </c>
      <c r="G79" s="4" t="s">
        <v>122</v>
      </c>
      <c r="H79" s="4" t="s">
        <v>118</v>
      </c>
      <c r="I79" s="41">
        <v>76.84</v>
      </c>
      <c r="J79" s="4" t="s">
        <v>471</v>
      </c>
      <c r="K79" s="15">
        <v>45992</v>
      </c>
      <c r="L79" s="4">
        <v>2025404586</v>
      </c>
      <c r="M79" s="83" t="s">
        <v>222</v>
      </c>
      <c r="N79" s="4">
        <v>2025</v>
      </c>
    </row>
    <row r="80" spans="1:14">
      <c r="A80" s="4">
        <v>79</v>
      </c>
      <c r="B80" s="4" t="s">
        <v>35</v>
      </c>
      <c r="C80" s="4" t="s">
        <v>36</v>
      </c>
      <c r="D80" s="4" t="s">
        <v>60</v>
      </c>
      <c r="E80" s="4" t="s">
        <v>71</v>
      </c>
      <c r="G80" s="4" t="s">
        <v>122</v>
      </c>
      <c r="H80" s="4" t="s">
        <v>118</v>
      </c>
      <c r="I80" s="41">
        <v>747.6</v>
      </c>
      <c r="J80" s="4" t="s">
        <v>472</v>
      </c>
      <c r="K80" s="15">
        <v>45986</v>
      </c>
      <c r="L80" s="4">
        <v>2025404587</v>
      </c>
      <c r="M80" s="83" t="s">
        <v>222</v>
      </c>
      <c r="N80" s="4">
        <v>2025</v>
      </c>
    </row>
    <row r="81" spans="1:14">
      <c r="A81" s="4">
        <v>80</v>
      </c>
      <c r="B81" s="4" t="s">
        <v>35</v>
      </c>
      <c r="C81" s="4" t="s">
        <v>36</v>
      </c>
      <c r="D81" s="4" t="s">
        <v>60</v>
      </c>
      <c r="E81" s="29" t="s">
        <v>71</v>
      </c>
      <c r="G81" s="4" t="s">
        <v>122</v>
      </c>
      <c r="H81" s="4" t="s">
        <v>118</v>
      </c>
      <c r="I81" s="41">
        <v>253.75</v>
      </c>
      <c r="J81" s="4" t="s">
        <v>425</v>
      </c>
      <c r="K81" s="15">
        <v>45992</v>
      </c>
      <c r="L81" s="4">
        <v>2025404588</v>
      </c>
      <c r="M81" s="83" t="s">
        <v>222</v>
      </c>
      <c r="N81" s="4">
        <v>2025</v>
      </c>
    </row>
    <row r="82" spans="1:14">
      <c r="A82" s="4">
        <v>81</v>
      </c>
      <c r="B82" s="4" t="s">
        <v>42</v>
      </c>
      <c r="C82" s="4" t="s">
        <v>50</v>
      </c>
      <c r="D82" s="4" t="s">
        <v>60</v>
      </c>
      <c r="E82" s="29" t="s">
        <v>71</v>
      </c>
      <c r="G82" s="4" t="s">
        <v>122</v>
      </c>
      <c r="H82" s="4" t="s">
        <v>118</v>
      </c>
      <c r="I82" s="41">
        <v>1313.36</v>
      </c>
      <c r="J82" s="4" t="s">
        <v>473</v>
      </c>
      <c r="K82" s="15">
        <v>45993</v>
      </c>
      <c r="L82" s="4">
        <v>2025404596</v>
      </c>
      <c r="M82" s="83" t="s">
        <v>222</v>
      </c>
      <c r="N82" s="4">
        <v>2025</v>
      </c>
    </row>
    <row r="83" spans="1:14">
      <c r="A83" s="4">
        <v>82</v>
      </c>
      <c r="B83" s="4" t="s">
        <v>17</v>
      </c>
      <c r="C83" s="4" t="s">
        <v>25</v>
      </c>
      <c r="D83" s="4" t="s">
        <v>60</v>
      </c>
      <c r="E83" s="29" t="s">
        <v>71</v>
      </c>
      <c r="G83" s="4" t="s">
        <v>122</v>
      </c>
      <c r="H83" s="4" t="s">
        <v>118</v>
      </c>
      <c r="I83" s="41">
        <v>715.5</v>
      </c>
      <c r="J83" s="4" t="s">
        <v>521</v>
      </c>
      <c r="K83" s="15">
        <v>46001</v>
      </c>
      <c r="L83" s="4">
        <v>2025404724</v>
      </c>
      <c r="M83" s="83" t="s">
        <v>222</v>
      </c>
      <c r="N83" s="4">
        <v>2025</v>
      </c>
    </row>
    <row r="84" spans="1:14">
      <c r="A84" s="4">
        <v>83</v>
      </c>
      <c r="B84" s="4" t="s">
        <v>42</v>
      </c>
      <c r="C84" s="4" t="s">
        <v>50</v>
      </c>
      <c r="D84" s="4" t="s">
        <v>60</v>
      </c>
      <c r="E84" s="29" t="s">
        <v>71</v>
      </c>
      <c r="G84" s="4" t="s">
        <v>122</v>
      </c>
      <c r="H84" s="4" t="s">
        <v>118</v>
      </c>
      <c r="I84" s="41">
        <v>974.12</v>
      </c>
      <c r="J84" s="4" t="s">
        <v>522</v>
      </c>
      <c r="K84" s="15">
        <v>46001</v>
      </c>
      <c r="L84" s="4">
        <v>2025404725</v>
      </c>
      <c r="M84" s="83" t="s">
        <v>222</v>
      </c>
      <c r="N84" s="4">
        <v>2025</v>
      </c>
    </row>
    <row r="85" spans="1:14">
      <c r="A85" s="4">
        <v>84</v>
      </c>
      <c r="B85" s="4" t="s">
        <v>35</v>
      </c>
      <c r="C85" s="4" t="s">
        <v>37</v>
      </c>
      <c r="D85" s="4" t="s">
        <v>60</v>
      </c>
      <c r="E85" s="29" t="s">
        <v>71</v>
      </c>
      <c r="G85" s="4" t="s">
        <v>122</v>
      </c>
      <c r="H85" s="4" t="s">
        <v>118</v>
      </c>
      <c r="I85" s="41">
        <v>492.46</v>
      </c>
      <c r="J85" s="4" t="s">
        <v>523</v>
      </c>
      <c r="K85" s="15">
        <v>45992</v>
      </c>
      <c r="L85" s="4">
        <v>2025404730</v>
      </c>
      <c r="M85" s="83" t="s">
        <v>222</v>
      </c>
      <c r="N85" s="4">
        <v>2025</v>
      </c>
    </row>
    <row r="86" spans="1:14">
      <c r="A86" s="4">
        <v>85</v>
      </c>
      <c r="B86" s="4" t="s">
        <v>42</v>
      </c>
      <c r="C86" s="4" t="s">
        <v>51</v>
      </c>
      <c r="D86" s="4" t="s">
        <v>60</v>
      </c>
      <c r="E86" s="29" t="s">
        <v>71</v>
      </c>
      <c r="G86" s="4" t="s">
        <v>122</v>
      </c>
      <c r="H86" s="4" t="s">
        <v>118</v>
      </c>
      <c r="I86" s="41">
        <v>377.55</v>
      </c>
      <c r="J86" s="4" t="s">
        <v>524</v>
      </c>
      <c r="K86" s="15">
        <v>46001</v>
      </c>
      <c r="L86" s="4">
        <v>2025404732</v>
      </c>
      <c r="M86" s="83" t="s">
        <v>222</v>
      </c>
      <c r="N86" s="4">
        <v>2025</v>
      </c>
    </row>
    <row r="87" spans="1:14">
      <c r="A87" s="4">
        <v>86</v>
      </c>
      <c r="B87" s="4" t="s">
        <v>52</v>
      </c>
      <c r="C87" s="4" t="s">
        <v>62</v>
      </c>
      <c r="D87" s="4" t="s">
        <v>60</v>
      </c>
      <c r="E87" s="29" t="s">
        <v>71</v>
      </c>
      <c r="G87" s="4" t="s">
        <v>122</v>
      </c>
      <c r="H87" s="4" t="s">
        <v>118</v>
      </c>
      <c r="I87" s="41">
        <v>990</v>
      </c>
      <c r="J87" s="4" t="s">
        <v>525</v>
      </c>
      <c r="K87" s="15">
        <v>46001</v>
      </c>
      <c r="L87" s="4">
        <v>2025404738</v>
      </c>
      <c r="M87" s="83" t="s">
        <v>222</v>
      </c>
      <c r="N87" s="4">
        <v>2025</v>
      </c>
    </row>
    <row r="88" spans="1:14">
      <c r="A88" s="4">
        <v>87</v>
      </c>
      <c r="B88" s="4" t="s">
        <v>54</v>
      </c>
      <c r="C88" s="4" t="s">
        <v>95</v>
      </c>
      <c r="D88" s="4" t="s">
        <v>60</v>
      </c>
      <c r="E88" s="29" t="s">
        <v>71</v>
      </c>
      <c r="G88" s="4" t="s">
        <v>122</v>
      </c>
      <c r="H88" s="4" t="s">
        <v>118</v>
      </c>
      <c r="I88" s="41">
        <v>69.23</v>
      </c>
      <c r="J88" s="4" t="s">
        <v>526</v>
      </c>
      <c r="K88" s="15">
        <v>45987</v>
      </c>
      <c r="L88" s="4">
        <v>2025404743</v>
      </c>
      <c r="M88" s="83" t="s">
        <v>222</v>
      </c>
      <c r="N88" s="4">
        <v>2025</v>
      </c>
    </row>
    <row r="89" spans="1:14">
      <c r="A89" s="4">
        <v>88</v>
      </c>
      <c r="B89" s="4" t="s">
        <v>42</v>
      </c>
      <c r="C89" s="4" t="s">
        <v>48</v>
      </c>
      <c r="D89" s="4" t="s">
        <v>60</v>
      </c>
      <c r="E89" s="29" t="s">
        <v>71</v>
      </c>
      <c r="G89" s="4" t="s">
        <v>122</v>
      </c>
      <c r="H89" s="4" t="s">
        <v>118</v>
      </c>
      <c r="I89" s="41">
        <v>203</v>
      </c>
      <c r="J89" s="4" t="s">
        <v>527</v>
      </c>
      <c r="K89" s="15">
        <v>46005</v>
      </c>
      <c r="L89" s="4">
        <v>2025404746</v>
      </c>
      <c r="M89" s="83" t="s">
        <v>222</v>
      </c>
      <c r="N89" s="4">
        <v>2025</v>
      </c>
    </row>
    <row r="90" spans="1:14">
      <c r="A90" s="4">
        <v>89</v>
      </c>
      <c r="B90" s="4" t="s">
        <v>42</v>
      </c>
      <c r="C90" s="4" t="s">
        <v>50</v>
      </c>
      <c r="D90" s="4" t="s">
        <v>60</v>
      </c>
      <c r="E90" s="29" t="s">
        <v>71</v>
      </c>
      <c r="G90" s="4" t="s">
        <v>122</v>
      </c>
      <c r="H90" s="4" t="s">
        <v>118</v>
      </c>
      <c r="I90" s="41">
        <v>692.28</v>
      </c>
      <c r="J90" s="4" t="s">
        <v>528</v>
      </c>
      <c r="K90" s="15">
        <v>45992</v>
      </c>
      <c r="L90" s="4">
        <v>2025404748</v>
      </c>
      <c r="M90" s="83" t="s">
        <v>222</v>
      </c>
      <c r="N90" s="4">
        <v>2025</v>
      </c>
    </row>
    <row r="91" spans="1:14">
      <c r="A91" s="4">
        <v>90</v>
      </c>
      <c r="B91" s="4" t="s">
        <v>52</v>
      </c>
      <c r="C91" s="4" t="s">
        <v>62</v>
      </c>
      <c r="D91" s="4" t="s">
        <v>60</v>
      </c>
      <c r="E91" s="29" t="s">
        <v>71</v>
      </c>
      <c r="G91" s="4" t="s">
        <v>122</v>
      </c>
      <c r="H91" s="4" t="s">
        <v>118</v>
      </c>
      <c r="I91" s="41">
        <v>1983.51</v>
      </c>
      <c r="J91" s="4" t="s">
        <v>529</v>
      </c>
      <c r="K91" s="15">
        <v>45987</v>
      </c>
      <c r="L91" s="4">
        <v>2025404759</v>
      </c>
      <c r="M91" s="83" t="s">
        <v>222</v>
      </c>
      <c r="N91" s="4">
        <v>2025</v>
      </c>
    </row>
    <row r="92" spans="1:14">
      <c r="A92" s="4">
        <v>91</v>
      </c>
      <c r="B92" s="4" t="s">
        <v>52</v>
      </c>
      <c r="C92" s="4" t="s">
        <v>62</v>
      </c>
      <c r="D92" s="4" t="s">
        <v>60</v>
      </c>
      <c r="E92" s="29" t="s">
        <v>71</v>
      </c>
      <c r="G92" s="4" t="s">
        <v>122</v>
      </c>
      <c r="H92" s="4" t="s">
        <v>118</v>
      </c>
      <c r="I92" s="41">
        <v>1906.2</v>
      </c>
      <c r="J92" s="4" t="s">
        <v>530</v>
      </c>
      <c r="K92" s="15">
        <v>46001</v>
      </c>
      <c r="L92" s="4">
        <v>2025404760</v>
      </c>
      <c r="M92" s="83" t="s">
        <v>222</v>
      </c>
      <c r="N92" s="4">
        <v>2025</v>
      </c>
    </row>
    <row r="93" spans="1:14">
      <c r="A93" s="4">
        <v>92</v>
      </c>
      <c r="B93" s="4" t="s">
        <v>52</v>
      </c>
      <c r="C93" s="4" t="s">
        <v>62</v>
      </c>
      <c r="D93" s="4" t="s">
        <v>60</v>
      </c>
      <c r="E93" s="29" t="s">
        <v>71</v>
      </c>
      <c r="G93" s="4" t="s">
        <v>122</v>
      </c>
      <c r="H93" s="4" t="s">
        <v>118</v>
      </c>
      <c r="I93" s="41">
        <v>761.56</v>
      </c>
      <c r="J93" s="4" t="s">
        <v>531</v>
      </c>
      <c r="K93" s="15">
        <v>46005</v>
      </c>
      <c r="L93" s="4">
        <v>2025404761</v>
      </c>
      <c r="M93" s="83" t="s">
        <v>222</v>
      </c>
      <c r="N93" s="4">
        <v>2025</v>
      </c>
    </row>
    <row r="94" spans="1:14">
      <c r="A94" s="4">
        <v>93</v>
      </c>
      <c r="B94" s="4" t="s">
        <v>52</v>
      </c>
      <c r="C94" s="4" t="s">
        <v>62</v>
      </c>
      <c r="D94" s="4" t="s">
        <v>60</v>
      </c>
      <c r="E94" s="29" t="s">
        <v>71</v>
      </c>
      <c r="G94" s="4" t="s">
        <v>122</v>
      </c>
      <c r="H94" s="4" t="s">
        <v>118</v>
      </c>
      <c r="I94" s="41">
        <v>1194.48</v>
      </c>
      <c r="J94" s="4" t="s">
        <v>532</v>
      </c>
      <c r="K94" s="15">
        <v>46005</v>
      </c>
      <c r="L94" s="4">
        <v>2025404763</v>
      </c>
      <c r="M94" s="83" t="s">
        <v>222</v>
      </c>
      <c r="N94" s="4">
        <v>2025</v>
      </c>
    </row>
    <row r="95" spans="1:14">
      <c r="A95" s="4">
        <v>94</v>
      </c>
      <c r="B95" s="4" t="s">
        <v>54</v>
      </c>
      <c r="C95" s="4" t="s">
        <v>95</v>
      </c>
      <c r="D95" s="4" t="s">
        <v>60</v>
      </c>
      <c r="E95" s="29" t="s">
        <v>71</v>
      </c>
      <c r="G95" s="4" t="s">
        <v>122</v>
      </c>
      <c r="H95" s="4" t="s">
        <v>118</v>
      </c>
      <c r="I95" s="41">
        <v>470.76</v>
      </c>
      <c r="J95" s="4" t="s">
        <v>533</v>
      </c>
      <c r="K95" s="15">
        <v>46005</v>
      </c>
      <c r="L95" s="4">
        <v>2025404765</v>
      </c>
      <c r="M95" s="83" t="s">
        <v>222</v>
      </c>
      <c r="N95" s="4">
        <v>2025</v>
      </c>
    </row>
    <row r="96" spans="1:14">
      <c r="A96" s="4">
        <v>95</v>
      </c>
      <c r="B96" s="4" t="s">
        <v>42</v>
      </c>
      <c r="C96" s="4" t="s">
        <v>49</v>
      </c>
      <c r="D96" s="4" t="s">
        <v>60</v>
      </c>
      <c r="E96" s="29" t="s">
        <v>71</v>
      </c>
      <c r="G96" s="4" t="s">
        <v>122</v>
      </c>
      <c r="H96" s="4" t="s">
        <v>118</v>
      </c>
      <c r="I96" s="41">
        <v>332.32</v>
      </c>
      <c r="J96" s="4" t="s">
        <v>534</v>
      </c>
      <c r="K96" s="15">
        <v>45992</v>
      </c>
      <c r="L96" s="4">
        <v>2025404731</v>
      </c>
      <c r="M96" s="83" t="s">
        <v>222</v>
      </c>
      <c r="N96" s="4">
        <v>2025</v>
      </c>
    </row>
    <row r="97" spans="1:14">
      <c r="A97" s="4">
        <v>96</v>
      </c>
      <c r="B97" s="4" t="s">
        <v>17</v>
      </c>
      <c r="C97" s="4" t="s">
        <v>22</v>
      </c>
      <c r="D97" s="4" t="s">
        <v>60</v>
      </c>
      <c r="E97" s="29" t="s">
        <v>71</v>
      </c>
      <c r="G97" s="4" t="s">
        <v>122</v>
      </c>
      <c r="H97" s="4" t="s">
        <v>118</v>
      </c>
      <c r="I97" s="41">
        <v>238.62</v>
      </c>
      <c r="J97" s="4" t="s">
        <v>536</v>
      </c>
      <c r="K97" s="15">
        <v>46001</v>
      </c>
      <c r="L97" s="4">
        <v>2025404740</v>
      </c>
      <c r="M97" s="83" t="s">
        <v>222</v>
      </c>
      <c r="N97" s="4">
        <v>2025</v>
      </c>
    </row>
    <row r="98" spans="1:14">
      <c r="A98" s="4">
        <v>97</v>
      </c>
      <c r="B98" s="4" t="s">
        <v>17</v>
      </c>
      <c r="C98" s="4" t="s">
        <v>24</v>
      </c>
      <c r="D98" s="4" t="s">
        <v>60</v>
      </c>
      <c r="E98" s="29" t="s">
        <v>71</v>
      </c>
      <c r="G98" s="4" t="s">
        <v>122</v>
      </c>
      <c r="H98" s="4" t="s">
        <v>118</v>
      </c>
      <c r="I98" s="41">
        <v>133.41999999999999</v>
      </c>
      <c r="J98" s="4" t="s">
        <v>537</v>
      </c>
      <c r="K98" s="15">
        <v>46001</v>
      </c>
      <c r="L98" s="4">
        <v>2025404742</v>
      </c>
      <c r="M98" s="83" t="s">
        <v>222</v>
      </c>
      <c r="N98" s="4">
        <v>2025</v>
      </c>
    </row>
    <row r="99" spans="1:14">
      <c r="A99" s="4">
        <v>98</v>
      </c>
      <c r="B99" s="4" t="s">
        <v>17</v>
      </c>
      <c r="C99" s="4" t="s">
        <v>24</v>
      </c>
      <c r="D99" s="4" t="s">
        <v>60</v>
      </c>
      <c r="E99" s="29" t="s">
        <v>71</v>
      </c>
      <c r="G99" s="4" t="s">
        <v>122</v>
      </c>
      <c r="H99" s="4" t="s">
        <v>118</v>
      </c>
      <c r="I99" s="41">
        <v>305.99</v>
      </c>
      <c r="J99" s="4" t="s">
        <v>537</v>
      </c>
      <c r="K99" s="15">
        <v>46001</v>
      </c>
      <c r="L99" s="4">
        <v>2025404723</v>
      </c>
      <c r="M99" s="83" t="s">
        <v>222</v>
      </c>
      <c r="N99" s="4">
        <v>2025</v>
      </c>
    </row>
    <row r="100" spans="1:14">
      <c r="A100" s="4">
        <v>99</v>
      </c>
      <c r="B100" s="4" t="s">
        <v>42</v>
      </c>
      <c r="C100" s="4" t="s">
        <v>48</v>
      </c>
      <c r="D100" s="4" t="s">
        <v>60</v>
      </c>
      <c r="E100" s="29" t="s">
        <v>71</v>
      </c>
      <c r="G100" s="4" t="s">
        <v>122</v>
      </c>
      <c r="H100" s="4" t="s">
        <v>118</v>
      </c>
      <c r="I100" s="41">
        <v>81.209999999999994</v>
      </c>
      <c r="J100" s="4" t="s">
        <v>553</v>
      </c>
      <c r="K100" s="15">
        <v>46022</v>
      </c>
      <c r="L100" s="4">
        <v>2025404747</v>
      </c>
      <c r="M100" s="83" t="s">
        <v>222</v>
      </c>
      <c r="N100" s="4">
        <v>2025</v>
      </c>
    </row>
    <row r="101" spans="1:14">
      <c r="A101" s="4">
        <v>100</v>
      </c>
      <c r="B101" s="4" t="s">
        <v>54</v>
      </c>
      <c r="C101" s="4" t="s">
        <v>59</v>
      </c>
      <c r="D101" s="4" t="s">
        <v>60</v>
      </c>
      <c r="E101" s="29" t="s">
        <v>71</v>
      </c>
      <c r="G101" s="4" t="s">
        <v>122</v>
      </c>
      <c r="H101" s="4" t="s">
        <v>118</v>
      </c>
      <c r="I101" s="41">
        <v>764.94</v>
      </c>
      <c r="J101" s="4" t="s">
        <v>580</v>
      </c>
      <c r="K101" s="15">
        <v>46005</v>
      </c>
      <c r="L101" s="4">
        <v>2026400021</v>
      </c>
      <c r="M101" s="83" t="s">
        <v>222</v>
      </c>
      <c r="N101" s="4">
        <v>2025</v>
      </c>
    </row>
    <row r="102" spans="1:14">
      <c r="A102" s="4">
        <v>101</v>
      </c>
      <c r="B102" s="4" t="s">
        <v>17</v>
      </c>
      <c r="C102" s="4" t="s">
        <v>22</v>
      </c>
      <c r="D102" s="4" t="s">
        <v>60</v>
      </c>
      <c r="E102" s="29" t="s">
        <v>71</v>
      </c>
      <c r="G102" s="4" t="s">
        <v>122</v>
      </c>
      <c r="H102" s="4" t="s">
        <v>118</v>
      </c>
      <c r="I102" s="41">
        <v>55.38</v>
      </c>
      <c r="J102" s="4" t="s">
        <v>581</v>
      </c>
      <c r="K102" s="15">
        <v>45992</v>
      </c>
      <c r="L102" s="4">
        <v>2025404804</v>
      </c>
      <c r="M102" s="83" t="s">
        <v>222</v>
      </c>
      <c r="N102" s="4">
        <v>2025</v>
      </c>
    </row>
    <row r="103" spans="1:14">
      <c r="A103" s="4">
        <v>102</v>
      </c>
      <c r="B103" s="4" t="s">
        <v>17</v>
      </c>
      <c r="C103" s="4" t="s">
        <v>22</v>
      </c>
      <c r="D103" s="4" t="s">
        <v>60</v>
      </c>
      <c r="E103" s="29" t="s">
        <v>71</v>
      </c>
      <c r="G103" s="4" t="s">
        <v>122</v>
      </c>
      <c r="H103" s="4" t="s">
        <v>118</v>
      </c>
      <c r="I103" s="41">
        <v>245.04</v>
      </c>
      <c r="J103" s="4" t="s">
        <v>524</v>
      </c>
      <c r="K103" s="15">
        <v>45992</v>
      </c>
      <c r="L103" s="4">
        <v>2025404805</v>
      </c>
      <c r="M103" s="83" t="s">
        <v>222</v>
      </c>
      <c r="N103" s="4">
        <v>2025</v>
      </c>
    </row>
    <row r="104" spans="1:14">
      <c r="A104" s="4">
        <v>103</v>
      </c>
      <c r="B104" s="4" t="s">
        <v>35</v>
      </c>
      <c r="C104" s="4" t="s">
        <v>36</v>
      </c>
      <c r="D104" s="4" t="s">
        <v>60</v>
      </c>
      <c r="E104" s="29" t="s">
        <v>71</v>
      </c>
      <c r="G104" s="4" t="s">
        <v>122</v>
      </c>
      <c r="H104" s="4" t="s">
        <v>118</v>
      </c>
      <c r="I104" s="41">
        <v>304.60000000000002</v>
      </c>
      <c r="J104" s="4" t="s">
        <v>589</v>
      </c>
      <c r="K104" s="15">
        <v>46001</v>
      </c>
      <c r="L104" s="4">
        <v>2026400023</v>
      </c>
      <c r="M104" s="83" t="s">
        <v>222</v>
      </c>
      <c r="N104" s="4">
        <v>2025</v>
      </c>
    </row>
    <row r="105" spans="1:14">
      <c r="A105" s="4">
        <v>104</v>
      </c>
      <c r="B105" s="4" t="s">
        <v>35</v>
      </c>
      <c r="C105" s="4" t="s">
        <v>36</v>
      </c>
      <c r="D105" s="4" t="s">
        <v>60</v>
      </c>
      <c r="E105" s="29" t="s">
        <v>71</v>
      </c>
      <c r="G105" s="4" t="s">
        <v>122</v>
      </c>
      <c r="H105" s="4" t="s">
        <v>118</v>
      </c>
      <c r="I105" s="41">
        <v>559.58000000000004</v>
      </c>
      <c r="J105" s="4" t="s">
        <v>590</v>
      </c>
      <c r="K105" s="15">
        <v>46011</v>
      </c>
      <c r="L105" s="4">
        <v>2026400040</v>
      </c>
      <c r="M105" s="83" t="s">
        <v>222</v>
      </c>
      <c r="N105" s="4">
        <v>2025</v>
      </c>
    </row>
    <row r="106" spans="1:14">
      <c r="A106" s="4">
        <v>105</v>
      </c>
      <c r="B106" s="4" t="s">
        <v>35</v>
      </c>
      <c r="C106" s="4" t="s">
        <v>36</v>
      </c>
      <c r="D106" s="4" t="s">
        <v>60</v>
      </c>
      <c r="E106" s="29" t="s">
        <v>71</v>
      </c>
      <c r="G106" s="4" t="s">
        <v>122</v>
      </c>
      <c r="H106" s="4" t="s">
        <v>118</v>
      </c>
      <c r="I106" s="41">
        <v>1476.92</v>
      </c>
      <c r="J106" s="4" t="s">
        <v>591</v>
      </c>
      <c r="K106" s="15">
        <v>46011</v>
      </c>
      <c r="L106" s="4">
        <v>2026400041</v>
      </c>
      <c r="M106" s="83" t="s">
        <v>222</v>
      </c>
      <c r="N106" s="4">
        <v>2025</v>
      </c>
    </row>
    <row r="107" spans="1:14">
      <c r="A107" s="4">
        <v>106</v>
      </c>
      <c r="B107" s="4" t="s">
        <v>17</v>
      </c>
      <c r="C107" s="4" t="s">
        <v>18</v>
      </c>
      <c r="D107" s="4" t="s">
        <v>60</v>
      </c>
      <c r="E107" s="29" t="s">
        <v>71</v>
      </c>
      <c r="G107" s="4" t="s">
        <v>122</v>
      </c>
      <c r="H107" s="4" t="s">
        <v>118</v>
      </c>
      <c r="I107" s="41">
        <v>402.31</v>
      </c>
      <c r="J107" s="4" t="s">
        <v>592</v>
      </c>
      <c r="K107" s="15">
        <v>46001</v>
      </c>
      <c r="L107" s="4">
        <v>2026400042</v>
      </c>
      <c r="M107" s="83" t="s">
        <v>222</v>
      </c>
      <c r="N107" s="4">
        <v>2025</v>
      </c>
    </row>
    <row r="108" spans="1:14">
      <c r="A108" s="4">
        <v>107</v>
      </c>
      <c r="B108" s="4" t="s">
        <v>17</v>
      </c>
      <c r="C108" s="4" t="s">
        <v>18</v>
      </c>
      <c r="D108" s="4" t="s">
        <v>60</v>
      </c>
      <c r="E108" s="29" t="s">
        <v>71</v>
      </c>
      <c r="G108" s="4" t="s">
        <v>122</v>
      </c>
      <c r="H108" s="4" t="s">
        <v>118</v>
      </c>
      <c r="I108" s="41">
        <v>119.82</v>
      </c>
      <c r="J108" s="4" t="s">
        <v>593</v>
      </c>
      <c r="K108" s="15">
        <v>46001</v>
      </c>
      <c r="L108" s="4">
        <v>2026400044</v>
      </c>
      <c r="M108" s="83" t="s">
        <v>222</v>
      </c>
      <c r="N108" s="4">
        <v>2025</v>
      </c>
    </row>
    <row r="109" spans="1:14">
      <c r="A109" s="4">
        <v>108</v>
      </c>
      <c r="B109" s="4" t="s">
        <v>17</v>
      </c>
      <c r="C109" s="4" t="s">
        <v>25</v>
      </c>
      <c r="D109" s="4" t="s">
        <v>60</v>
      </c>
      <c r="E109" s="29" t="s">
        <v>71</v>
      </c>
      <c r="G109" s="4" t="s">
        <v>341</v>
      </c>
      <c r="H109" s="4" t="s">
        <v>118</v>
      </c>
      <c r="I109" s="41">
        <v>1356</v>
      </c>
      <c r="J109" s="4" t="s">
        <v>544</v>
      </c>
      <c r="K109" s="15">
        <v>46020</v>
      </c>
      <c r="L109" s="4">
        <v>2025404799</v>
      </c>
      <c r="M109" s="83" t="s">
        <v>222</v>
      </c>
      <c r="N109" s="4">
        <v>2025</v>
      </c>
    </row>
    <row r="110" spans="1:14">
      <c r="A110" s="4">
        <v>109</v>
      </c>
      <c r="B110" s="29" t="s">
        <v>52</v>
      </c>
      <c r="C110" s="29" t="s">
        <v>62</v>
      </c>
      <c r="D110" s="4" t="s">
        <v>60</v>
      </c>
      <c r="E110" s="29" t="s">
        <v>71</v>
      </c>
      <c r="G110" s="29" t="s">
        <v>334</v>
      </c>
      <c r="H110" s="4" t="s">
        <v>118</v>
      </c>
      <c r="I110" s="41">
        <v>1517.2413793103449</v>
      </c>
      <c r="J110" s="4" t="s">
        <v>369</v>
      </c>
      <c r="K110" s="15">
        <v>46020</v>
      </c>
      <c r="L110" s="4">
        <v>2025404860</v>
      </c>
      <c r="M110" s="83" t="s">
        <v>222</v>
      </c>
      <c r="N110" s="4">
        <v>2025</v>
      </c>
    </row>
    <row r="111" spans="1:14">
      <c r="A111" s="4">
        <v>110</v>
      </c>
      <c r="B111" s="4" t="s">
        <v>42</v>
      </c>
      <c r="C111" s="4" t="s">
        <v>50</v>
      </c>
      <c r="D111" s="4" t="s">
        <v>60</v>
      </c>
      <c r="E111" s="29" t="s">
        <v>71</v>
      </c>
      <c r="G111" s="4" t="s">
        <v>334</v>
      </c>
      <c r="H111" s="4" t="s">
        <v>118</v>
      </c>
      <c r="I111" s="41">
        <v>1448.2758620689656</v>
      </c>
      <c r="J111" s="4" t="s">
        <v>371</v>
      </c>
      <c r="K111" s="15">
        <v>45993</v>
      </c>
      <c r="L111" s="4">
        <v>2025404531</v>
      </c>
      <c r="M111" s="83" t="s">
        <v>222</v>
      </c>
      <c r="N111" s="4">
        <v>2025</v>
      </c>
    </row>
    <row r="112" spans="1:14">
      <c r="A112" s="4">
        <v>111</v>
      </c>
      <c r="B112" s="4" t="s">
        <v>17</v>
      </c>
      <c r="C112" s="4" t="s">
        <v>22</v>
      </c>
      <c r="D112" s="4" t="s">
        <v>60</v>
      </c>
      <c r="E112" s="29" t="s">
        <v>71</v>
      </c>
      <c r="G112" s="4" t="s">
        <v>340</v>
      </c>
      <c r="H112" s="4" t="s">
        <v>118</v>
      </c>
      <c r="I112" s="41">
        <v>15626.449591280654</v>
      </c>
      <c r="J112" s="4" t="s">
        <v>543</v>
      </c>
      <c r="K112" s="15">
        <v>46021</v>
      </c>
      <c r="L112" s="4">
        <v>2025403864</v>
      </c>
      <c r="M112" s="83" t="s">
        <v>222</v>
      </c>
      <c r="N112" s="4">
        <v>2025</v>
      </c>
    </row>
    <row r="113" spans="1:14">
      <c r="A113" s="4">
        <v>112</v>
      </c>
      <c r="B113" s="4" t="s">
        <v>54</v>
      </c>
      <c r="C113" s="4" t="s">
        <v>55</v>
      </c>
      <c r="D113" s="4" t="s">
        <v>60</v>
      </c>
      <c r="E113" s="29" t="s">
        <v>71</v>
      </c>
      <c r="G113" s="4" t="s">
        <v>233</v>
      </c>
      <c r="H113" s="4" t="s">
        <v>118</v>
      </c>
      <c r="I113" s="41">
        <v>7800</v>
      </c>
      <c r="J113" s="4" t="s">
        <v>411</v>
      </c>
      <c r="K113" s="15">
        <v>45999</v>
      </c>
      <c r="L113" s="4">
        <v>2025404354</v>
      </c>
      <c r="M113" s="83" t="s">
        <v>222</v>
      </c>
      <c r="N113" s="4">
        <v>2025</v>
      </c>
    </row>
    <row r="114" spans="1:14">
      <c r="A114" s="4">
        <v>113</v>
      </c>
      <c r="B114" s="4" t="s">
        <v>54</v>
      </c>
      <c r="C114" s="4" t="s">
        <v>55</v>
      </c>
      <c r="D114" s="4" t="s">
        <v>60</v>
      </c>
      <c r="E114" s="29" t="s">
        <v>71</v>
      </c>
      <c r="G114" s="4" t="s">
        <v>330</v>
      </c>
      <c r="H114" s="4" t="s">
        <v>118</v>
      </c>
      <c r="I114" s="41">
        <v>1655.1724137931035</v>
      </c>
      <c r="J114" s="4" t="s">
        <v>367</v>
      </c>
      <c r="K114" s="15">
        <v>45994</v>
      </c>
      <c r="L114" s="4">
        <v>2025404387</v>
      </c>
      <c r="M114" s="83" t="s">
        <v>222</v>
      </c>
      <c r="N114" s="4">
        <v>2025</v>
      </c>
    </row>
    <row r="115" spans="1:14">
      <c r="A115" s="4">
        <v>114</v>
      </c>
      <c r="B115" s="4" t="s">
        <v>54</v>
      </c>
      <c r="C115" s="4" t="s">
        <v>95</v>
      </c>
      <c r="D115" s="4" t="s">
        <v>60</v>
      </c>
      <c r="E115" s="29" t="s">
        <v>71</v>
      </c>
      <c r="G115" s="4" t="s">
        <v>234</v>
      </c>
      <c r="H115" s="83" t="s">
        <v>608</v>
      </c>
      <c r="I115" s="41">
        <v>4450</v>
      </c>
      <c r="J115" s="4" t="s">
        <v>453</v>
      </c>
      <c r="K115" s="15">
        <v>45997</v>
      </c>
      <c r="L115" s="4">
        <v>2025404607</v>
      </c>
      <c r="M115" s="83" t="s">
        <v>222</v>
      </c>
      <c r="N115" s="4">
        <v>2025</v>
      </c>
    </row>
    <row r="116" spans="1:14">
      <c r="A116" s="4">
        <v>115</v>
      </c>
      <c r="B116" s="4" t="s">
        <v>54</v>
      </c>
      <c r="C116" s="4" t="s">
        <v>95</v>
      </c>
      <c r="D116" s="4" t="s">
        <v>60</v>
      </c>
      <c r="E116" s="29" t="s">
        <v>71</v>
      </c>
      <c r="G116" s="4" t="s">
        <v>234</v>
      </c>
      <c r="H116" s="83" t="s">
        <v>608</v>
      </c>
      <c r="I116" s="41">
        <v>4125</v>
      </c>
      <c r="J116" s="4" t="s">
        <v>457</v>
      </c>
      <c r="K116" s="15">
        <v>45995</v>
      </c>
      <c r="L116" s="4">
        <v>2025404629</v>
      </c>
      <c r="M116" s="83" t="s">
        <v>222</v>
      </c>
      <c r="N116" s="4">
        <v>2025</v>
      </c>
    </row>
    <row r="117" spans="1:14">
      <c r="A117" s="4">
        <v>116</v>
      </c>
      <c r="B117" s="4" t="s">
        <v>35</v>
      </c>
      <c r="C117" s="4" t="s">
        <v>41</v>
      </c>
      <c r="D117" s="4" t="s">
        <v>60</v>
      </c>
      <c r="E117" s="29" t="s">
        <v>71</v>
      </c>
      <c r="G117" s="4" t="s">
        <v>234</v>
      </c>
      <c r="H117" s="83" t="s">
        <v>608</v>
      </c>
      <c r="I117" s="41">
        <v>760</v>
      </c>
      <c r="J117" s="4" t="s">
        <v>506</v>
      </c>
      <c r="K117" s="15">
        <v>45991</v>
      </c>
      <c r="L117" s="4">
        <v>2025404627</v>
      </c>
      <c r="M117" s="83" t="s">
        <v>222</v>
      </c>
      <c r="N117" s="4">
        <v>2025</v>
      </c>
    </row>
    <row r="118" spans="1:14">
      <c r="A118" s="4">
        <v>117</v>
      </c>
      <c r="B118" s="4" t="s">
        <v>35</v>
      </c>
      <c r="C118" s="4" t="s">
        <v>36</v>
      </c>
      <c r="D118" s="4" t="s">
        <v>60</v>
      </c>
      <c r="E118" s="29" t="s">
        <v>71</v>
      </c>
      <c r="G118" s="4" t="s">
        <v>234</v>
      </c>
      <c r="H118" s="83" t="s">
        <v>608</v>
      </c>
      <c r="I118" s="41">
        <v>350</v>
      </c>
      <c r="J118" s="4" t="s">
        <v>518</v>
      </c>
      <c r="K118" s="15">
        <v>46007</v>
      </c>
      <c r="L118" s="4">
        <v>2025404783</v>
      </c>
      <c r="M118" s="83" t="s">
        <v>222</v>
      </c>
      <c r="N118" s="4">
        <v>2025</v>
      </c>
    </row>
    <row r="119" spans="1:14">
      <c r="A119" s="4">
        <v>118</v>
      </c>
      <c r="B119" s="4" t="s">
        <v>54</v>
      </c>
      <c r="C119" s="4" t="s">
        <v>95</v>
      </c>
      <c r="D119" s="4" t="s">
        <v>60</v>
      </c>
      <c r="E119" s="29" t="s">
        <v>71</v>
      </c>
      <c r="G119" s="4" t="s">
        <v>234</v>
      </c>
      <c r="H119" s="83" t="s">
        <v>608</v>
      </c>
      <c r="I119" s="41">
        <v>2600</v>
      </c>
      <c r="J119" s="4" t="s">
        <v>574</v>
      </c>
      <c r="K119" s="15">
        <v>46012</v>
      </c>
      <c r="L119" s="4">
        <v>2025404751</v>
      </c>
      <c r="M119" s="83" t="s">
        <v>222</v>
      </c>
      <c r="N119" s="4">
        <v>2025</v>
      </c>
    </row>
    <row r="120" spans="1:14">
      <c r="A120" s="4">
        <v>119</v>
      </c>
      <c r="B120" s="4" t="s">
        <v>42</v>
      </c>
      <c r="C120" s="4" t="s">
        <v>49</v>
      </c>
      <c r="D120" s="4" t="s">
        <v>60</v>
      </c>
      <c r="E120" s="29" t="s">
        <v>71</v>
      </c>
      <c r="G120" s="4" t="s">
        <v>234</v>
      </c>
      <c r="H120" s="83" t="s">
        <v>608</v>
      </c>
      <c r="I120" s="41">
        <v>3360</v>
      </c>
      <c r="J120" s="4" t="s">
        <v>577</v>
      </c>
      <c r="K120" s="15">
        <v>46004</v>
      </c>
      <c r="L120" s="4">
        <v>2025404835</v>
      </c>
      <c r="M120" s="83" t="s">
        <v>222</v>
      </c>
      <c r="N120" s="4">
        <v>2025</v>
      </c>
    </row>
    <row r="121" spans="1:14">
      <c r="A121" s="4">
        <v>120</v>
      </c>
      <c r="B121" s="4" t="s">
        <v>42</v>
      </c>
      <c r="C121" s="4" t="s">
        <v>50</v>
      </c>
      <c r="D121" s="4" t="s">
        <v>60</v>
      </c>
      <c r="E121" s="29" t="s">
        <v>71</v>
      </c>
      <c r="G121" s="4" t="s">
        <v>234</v>
      </c>
      <c r="H121" s="83" t="s">
        <v>608</v>
      </c>
      <c r="I121" s="41">
        <v>960</v>
      </c>
      <c r="J121" s="4" t="s">
        <v>578</v>
      </c>
      <c r="K121" s="15">
        <v>46007</v>
      </c>
      <c r="L121" s="4">
        <v>2025404782</v>
      </c>
      <c r="M121" s="83" t="s">
        <v>222</v>
      </c>
      <c r="N121" s="4">
        <v>2025</v>
      </c>
    </row>
    <row r="122" spans="1:14">
      <c r="A122" s="4">
        <v>121</v>
      </c>
      <c r="B122" s="4" t="s">
        <v>42</v>
      </c>
      <c r="C122" s="4" t="s">
        <v>48</v>
      </c>
      <c r="D122" s="4" t="s">
        <v>60</v>
      </c>
      <c r="E122" s="29" t="s">
        <v>71</v>
      </c>
      <c r="G122" s="4" t="s">
        <v>234</v>
      </c>
      <c r="H122" s="83" t="s">
        <v>608</v>
      </c>
      <c r="I122" s="41">
        <v>66880</v>
      </c>
      <c r="J122" s="4" t="s">
        <v>579</v>
      </c>
      <c r="K122" s="15">
        <v>45998</v>
      </c>
      <c r="L122" s="4">
        <v>2025404802</v>
      </c>
      <c r="M122" s="83" t="s">
        <v>222</v>
      </c>
      <c r="N122" s="4">
        <v>2025</v>
      </c>
    </row>
    <row r="123" spans="1:14">
      <c r="A123" s="4">
        <v>122</v>
      </c>
      <c r="B123" s="4" t="s">
        <v>52</v>
      </c>
      <c r="C123" s="4" t="s">
        <v>62</v>
      </c>
      <c r="D123" s="4" t="s">
        <v>60</v>
      </c>
      <c r="E123" s="29" t="s">
        <v>71</v>
      </c>
      <c r="G123" s="4" t="s">
        <v>234</v>
      </c>
      <c r="H123" s="83" t="s">
        <v>608</v>
      </c>
      <c r="I123" s="41">
        <v>600</v>
      </c>
      <c r="J123" s="4" t="s">
        <v>587</v>
      </c>
      <c r="K123" s="15">
        <v>45992</v>
      </c>
      <c r="L123" s="4">
        <v>2025404542</v>
      </c>
      <c r="M123" s="83" t="s">
        <v>222</v>
      </c>
      <c r="N123" s="4">
        <v>2025</v>
      </c>
    </row>
    <row r="124" spans="1:14">
      <c r="A124" s="4">
        <v>123</v>
      </c>
      <c r="B124" s="4" t="s">
        <v>17</v>
      </c>
      <c r="C124" s="4" t="s">
        <v>25</v>
      </c>
      <c r="D124" s="4" t="s">
        <v>60</v>
      </c>
      <c r="E124" s="29" t="s">
        <v>71</v>
      </c>
      <c r="G124" s="4" t="s">
        <v>123</v>
      </c>
      <c r="H124" s="4" t="s">
        <v>118</v>
      </c>
      <c r="I124" s="41">
        <v>6896.5517241379312</v>
      </c>
      <c r="J124" s="4" t="s">
        <v>347</v>
      </c>
      <c r="K124" s="15">
        <v>46019</v>
      </c>
      <c r="L124" s="4">
        <v>2025404565</v>
      </c>
      <c r="M124" s="83" t="s">
        <v>222</v>
      </c>
      <c r="N124" s="4">
        <v>2025</v>
      </c>
    </row>
    <row r="125" spans="1:14">
      <c r="A125" s="4">
        <v>124</v>
      </c>
      <c r="B125" s="4" t="s">
        <v>54</v>
      </c>
      <c r="C125" s="4" t="s">
        <v>95</v>
      </c>
      <c r="D125" s="4" t="s">
        <v>60</v>
      </c>
      <c r="E125" s="4" t="s">
        <v>71</v>
      </c>
      <c r="G125" s="4" t="s">
        <v>123</v>
      </c>
      <c r="H125" s="4" t="s">
        <v>118</v>
      </c>
      <c r="I125" s="41">
        <v>3600</v>
      </c>
      <c r="J125" s="4" t="s">
        <v>474</v>
      </c>
      <c r="K125" s="15">
        <v>45998</v>
      </c>
      <c r="L125" s="4">
        <v>2025404581</v>
      </c>
      <c r="M125" s="83" t="s">
        <v>222</v>
      </c>
      <c r="N125" s="4">
        <v>2025</v>
      </c>
    </row>
    <row r="126" spans="1:14">
      <c r="A126" s="4">
        <v>125</v>
      </c>
      <c r="B126" s="4" t="s">
        <v>52</v>
      </c>
      <c r="C126" s="4" t="s">
        <v>62</v>
      </c>
      <c r="D126" s="4" t="s">
        <v>60</v>
      </c>
      <c r="E126" s="29" t="s">
        <v>71</v>
      </c>
      <c r="G126" s="4" t="s">
        <v>337</v>
      </c>
      <c r="H126" s="4" t="s">
        <v>118</v>
      </c>
      <c r="I126" s="41">
        <v>1379.3103448275863</v>
      </c>
      <c r="J126" s="4" t="s">
        <v>374</v>
      </c>
      <c r="K126" s="15">
        <v>46012</v>
      </c>
      <c r="L126" s="4">
        <v>2025404756</v>
      </c>
      <c r="M126" s="83" t="s">
        <v>222</v>
      </c>
      <c r="N126" s="4">
        <v>2025</v>
      </c>
    </row>
    <row r="127" spans="1:14">
      <c r="A127" s="4">
        <v>126</v>
      </c>
      <c r="B127" s="4" t="s">
        <v>52</v>
      </c>
      <c r="C127" s="4" t="s">
        <v>62</v>
      </c>
      <c r="D127" s="4" t="s">
        <v>60</v>
      </c>
      <c r="E127" s="29" t="s">
        <v>71</v>
      </c>
      <c r="G127" s="4" t="s">
        <v>337</v>
      </c>
      <c r="H127" s="4" t="s">
        <v>118</v>
      </c>
      <c r="I127" s="41">
        <v>862.06896551724139</v>
      </c>
      <c r="J127" s="4" t="s">
        <v>376</v>
      </c>
      <c r="K127" s="15">
        <v>46002</v>
      </c>
      <c r="L127" s="4">
        <v>2025404755</v>
      </c>
      <c r="M127" s="83" t="s">
        <v>222</v>
      </c>
      <c r="N127" s="4">
        <v>2025</v>
      </c>
    </row>
    <row r="128" spans="1:14">
      <c r="A128" s="4">
        <v>127</v>
      </c>
      <c r="B128" s="4" t="s">
        <v>42</v>
      </c>
      <c r="C128" s="4" t="s">
        <v>48</v>
      </c>
      <c r="D128" s="4" t="s">
        <v>60</v>
      </c>
      <c r="E128" s="29" t="s">
        <v>71</v>
      </c>
      <c r="G128" s="30" t="s">
        <v>236</v>
      </c>
      <c r="H128" s="83" t="s">
        <v>241</v>
      </c>
      <c r="I128" s="41">
        <v>3521.7241379310344</v>
      </c>
      <c r="J128" s="30" t="s">
        <v>240</v>
      </c>
      <c r="K128" s="15">
        <v>45998</v>
      </c>
      <c r="L128" s="30">
        <v>2025404566</v>
      </c>
      <c r="M128" s="83" t="s">
        <v>222</v>
      </c>
      <c r="N128" s="4">
        <v>2025</v>
      </c>
    </row>
    <row r="129" spans="1:14">
      <c r="A129" s="4">
        <v>128</v>
      </c>
      <c r="B129" s="4" t="s">
        <v>54</v>
      </c>
      <c r="C129" s="4" t="s">
        <v>55</v>
      </c>
      <c r="D129" s="4" t="s">
        <v>60</v>
      </c>
      <c r="E129" s="29" t="s">
        <v>71</v>
      </c>
      <c r="G129" s="4" t="s">
        <v>236</v>
      </c>
      <c r="H129" s="83" t="s">
        <v>241</v>
      </c>
      <c r="I129" s="41">
        <v>1972.4137931034484</v>
      </c>
      <c r="J129" s="4" t="s">
        <v>361</v>
      </c>
      <c r="K129" s="15">
        <v>45993</v>
      </c>
      <c r="L129" s="4">
        <v>2025404353</v>
      </c>
      <c r="M129" s="83" t="s">
        <v>222</v>
      </c>
      <c r="N129" s="4">
        <v>2025</v>
      </c>
    </row>
    <row r="130" spans="1:14">
      <c r="A130" s="4">
        <v>129</v>
      </c>
      <c r="B130" s="4" t="s">
        <v>52</v>
      </c>
      <c r="C130" s="4" t="s">
        <v>62</v>
      </c>
      <c r="D130" s="4" t="s">
        <v>60</v>
      </c>
      <c r="E130" s="29" t="s">
        <v>71</v>
      </c>
      <c r="G130" s="4" t="s">
        <v>236</v>
      </c>
      <c r="H130" s="83" t="s">
        <v>241</v>
      </c>
      <c r="I130" s="41">
        <v>1710.344827586207</v>
      </c>
      <c r="J130" s="4" t="s">
        <v>366</v>
      </c>
      <c r="K130" s="15">
        <v>45993</v>
      </c>
      <c r="L130" s="4">
        <v>2025404356</v>
      </c>
      <c r="M130" s="83" t="s">
        <v>222</v>
      </c>
      <c r="N130" s="4">
        <v>2025</v>
      </c>
    </row>
    <row r="131" spans="1:14">
      <c r="A131" s="4">
        <v>130</v>
      </c>
      <c r="B131" s="4" t="s">
        <v>42</v>
      </c>
      <c r="C131" s="4" t="s">
        <v>50</v>
      </c>
      <c r="D131" s="4" t="s">
        <v>60</v>
      </c>
      <c r="E131" s="29" t="s">
        <v>71</v>
      </c>
      <c r="G131" s="4" t="s">
        <v>236</v>
      </c>
      <c r="H131" s="83" t="s">
        <v>241</v>
      </c>
      <c r="I131" s="41">
        <v>1577.9310344827586</v>
      </c>
      <c r="J131" s="4" t="s">
        <v>368</v>
      </c>
      <c r="K131" s="15">
        <v>45999</v>
      </c>
      <c r="L131" s="4">
        <v>2025404500</v>
      </c>
      <c r="M131" s="83" t="s">
        <v>222</v>
      </c>
      <c r="N131" s="4">
        <v>2025</v>
      </c>
    </row>
    <row r="132" spans="1:14">
      <c r="A132" s="4">
        <v>131</v>
      </c>
      <c r="B132" s="29" t="s">
        <v>52</v>
      </c>
      <c r="C132" s="29" t="s">
        <v>62</v>
      </c>
      <c r="D132" s="4" t="s">
        <v>60</v>
      </c>
      <c r="E132" s="4" t="s">
        <v>71</v>
      </c>
      <c r="G132" s="4" t="s">
        <v>236</v>
      </c>
      <c r="H132" s="83" t="s">
        <v>241</v>
      </c>
      <c r="I132" s="41">
        <v>1421.3793103448277</v>
      </c>
      <c r="J132" s="4" t="s">
        <v>372</v>
      </c>
      <c r="K132" s="15">
        <v>46007</v>
      </c>
      <c r="L132" s="4">
        <v>2025404529</v>
      </c>
      <c r="M132" s="83" t="s">
        <v>222</v>
      </c>
      <c r="N132" s="4">
        <v>2025</v>
      </c>
    </row>
    <row r="133" spans="1:14">
      <c r="A133" s="4">
        <v>132</v>
      </c>
      <c r="B133" s="4" t="s">
        <v>52</v>
      </c>
      <c r="C133" s="4" t="s">
        <v>62</v>
      </c>
      <c r="D133" s="4" t="s">
        <v>60</v>
      </c>
      <c r="E133" s="4" t="s">
        <v>71</v>
      </c>
      <c r="G133" s="4" t="s">
        <v>236</v>
      </c>
      <c r="H133" s="83" t="s">
        <v>241</v>
      </c>
      <c r="I133" s="41">
        <v>1406.8965517241379</v>
      </c>
      <c r="J133" s="4" t="s">
        <v>373</v>
      </c>
      <c r="K133" s="15">
        <v>46011</v>
      </c>
      <c r="L133" s="4">
        <v>2025404662</v>
      </c>
      <c r="M133" s="83" t="s">
        <v>222</v>
      </c>
      <c r="N133" s="4">
        <v>2025</v>
      </c>
    </row>
    <row r="134" spans="1:14">
      <c r="A134" s="4">
        <v>133</v>
      </c>
      <c r="B134" s="4" t="s">
        <v>35</v>
      </c>
      <c r="C134" s="4" t="s">
        <v>36</v>
      </c>
      <c r="D134" s="4" t="s">
        <v>60</v>
      </c>
      <c r="E134" s="29" t="s">
        <v>71</v>
      </c>
      <c r="G134" s="4" t="s">
        <v>332</v>
      </c>
      <c r="H134" s="4" t="s">
        <v>118</v>
      </c>
      <c r="I134" s="41">
        <v>15000</v>
      </c>
      <c r="J134" s="4" t="s">
        <v>412</v>
      </c>
      <c r="K134" s="15">
        <v>45999</v>
      </c>
      <c r="L134" s="4">
        <v>2025404440</v>
      </c>
      <c r="M134" s="83" t="s">
        <v>222</v>
      </c>
      <c r="N134" s="4">
        <v>2025</v>
      </c>
    </row>
    <row r="135" spans="1:14">
      <c r="A135" s="4">
        <v>134</v>
      </c>
      <c r="B135" s="4" t="s">
        <v>54</v>
      </c>
      <c r="C135" s="4" t="s">
        <v>95</v>
      </c>
      <c r="D135" s="4" t="s">
        <v>60</v>
      </c>
      <c r="E135" s="29" t="s">
        <v>71</v>
      </c>
      <c r="G135" s="4" t="s">
        <v>235</v>
      </c>
      <c r="H135" s="4" t="s">
        <v>118</v>
      </c>
      <c r="I135" s="41">
        <v>2665.1724137931033</v>
      </c>
      <c r="J135" s="4" t="s">
        <v>360</v>
      </c>
      <c r="K135" s="15">
        <v>46004</v>
      </c>
      <c r="L135" s="4">
        <v>2025404613</v>
      </c>
      <c r="M135" s="83" t="s">
        <v>222</v>
      </c>
      <c r="N135" s="4">
        <v>2025</v>
      </c>
    </row>
    <row r="136" spans="1:14">
      <c r="A136" s="4">
        <v>135</v>
      </c>
      <c r="B136" s="4" t="s">
        <v>35</v>
      </c>
      <c r="C136" s="4" t="s">
        <v>37</v>
      </c>
      <c r="D136" s="4" t="s">
        <v>60</v>
      </c>
      <c r="E136" s="4" t="s">
        <v>71</v>
      </c>
      <c r="G136" s="4" t="s">
        <v>235</v>
      </c>
      <c r="H136" s="4" t="s">
        <v>118</v>
      </c>
      <c r="I136" s="41">
        <v>673.10344827586209</v>
      </c>
      <c r="J136" s="4" t="s">
        <v>381</v>
      </c>
      <c r="K136" s="15">
        <v>45992</v>
      </c>
      <c r="L136" s="4">
        <v>2025404604</v>
      </c>
      <c r="M136" s="83" t="s">
        <v>222</v>
      </c>
      <c r="N136" s="4">
        <v>2025</v>
      </c>
    </row>
    <row r="137" spans="1:14">
      <c r="A137" s="4">
        <v>136</v>
      </c>
      <c r="B137" s="4" t="s">
        <v>17</v>
      </c>
      <c r="C137" s="4" t="s">
        <v>22</v>
      </c>
      <c r="D137" s="4" t="s">
        <v>60</v>
      </c>
      <c r="E137" s="4" t="s">
        <v>71</v>
      </c>
      <c r="G137" s="4" t="s">
        <v>235</v>
      </c>
      <c r="H137" s="4" t="s">
        <v>118</v>
      </c>
      <c r="I137" s="41">
        <v>544.82758620689651</v>
      </c>
      <c r="J137" s="4" t="s">
        <v>382</v>
      </c>
      <c r="K137" s="15">
        <v>46001</v>
      </c>
      <c r="L137" s="4">
        <v>2025404129</v>
      </c>
      <c r="M137" s="83" t="s">
        <v>222</v>
      </c>
      <c r="N137" s="4">
        <v>2025</v>
      </c>
    </row>
    <row r="138" spans="1:14">
      <c r="A138" s="4">
        <v>137</v>
      </c>
      <c r="B138" s="4" t="s">
        <v>54</v>
      </c>
      <c r="C138" s="4" t="s">
        <v>55</v>
      </c>
      <c r="D138" s="4" t="s">
        <v>60</v>
      </c>
      <c r="E138" s="29" t="s">
        <v>71</v>
      </c>
      <c r="G138" s="4" t="s">
        <v>87</v>
      </c>
      <c r="H138" s="4" t="s">
        <v>118</v>
      </c>
      <c r="I138" s="41">
        <v>7540.6896551724139</v>
      </c>
      <c r="J138" s="4" t="s">
        <v>346</v>
      </c>
      <c r="K138" s="15">
        <v>46001</v>
      </c>
      <c r="L138" s="4">
        <v>2025404571</v>
      </c>
      <c r="M138" s="83" t="s">
        <v>222</v>
      </c>
      <c r="N138" s="4">
        <v>2025</v>
      </c>
    </row>
    <row r="139" spans="1:14">
      <c r="A139" s="4">
        <v>138</v>
      </c>
      <c r="B139" s="4" t="s">
        <v>52</v>
      </c>
      <c r="C139" s="4" t="s">
        <v>62</v>
      </c>
      <c r="D139" s="4" t="s">
        <v>60</v>
      </c>
      <c r="E139" s="4" t="s">
        <v>71</v>
      </c>
      <c r="G139" s="4" t="s">
        <v>343</v>
      </c>
      <c r="H139" s="4" t="s">
        <v>118</v>
      </c>
      <c r="I139" s="41">
        <v>827.58620689655174</v>
      </c>
      <c r="J139" s="4" t="s">
        <v>377</v>
      </c>
      <c r="K139" s="15">
        <v>46007</v>
      </c>
      <c r="L139" s="4">
        <v>2025404824</v>
      </c>
      <c r="M139" s="83" t="s">
        <v>222</v>
      </c>
      <c r="N139" s="4">
        <v>2025</v>
      </c>
    </row>
    <row r="140" spans="1:14">
      <c r="A140" s="4">
        <v>139</v>
      </c>
      <c r="B140" s="4" t="s">
        <v>58</v>
      </c>
      <c r="C140" s="4" t="s">
        <v>59</v>
      </c>
      <c r="D140" s="4" t="s">
        <v>60</v>
      </c>
      <c r="E140" s="4" t="s">
        <v>71</v>
      </c>
      <c r="G140" s="4" t="s">
        <v>338</v>
      </c>
      <c r="H140" s="4" t="s">
        <v>118</v>
      </c>
      <c r="I140" s="41">
        <v>3751</v>
      </c>
      <c r="J140" s="4" t="s">
        <v>519</v>
      </c>
      <c r="K140" s="15">
        <v>46015</v>
      </c>
      <c r="L140" s="4">
        <v>2025404809</v>
      </c>
      <c r="M140" s="83" t="s">
        <v>222</v>
      </c>
      <c r="N140" s="4">
        <v>2025</v>
      </c>
    </row>
    <row r="141" spans="1:14">
      <c r="A141" s="4">
        <v>140</v>
      </c>
      <c r="B141" s="29" t="s">
        <v>52</v>
      </c>
      <c r="C141" s="29" t="s">
        <v>62</v>
      </c>
      <c r="D141" s="4" t="s">
        <v>60</v>
      </c>
      <c r="E141" s="4" t="s">
        <v>71</v>
      </c>
      <c r="G141" s="4" t="s">
        <v>331</v>
      </c>
      <c r="H141" s="4" t="s">
        <v>118</v>
      </c>
      <c r="I141" s="41">
        <v>1953.7931034482758</v>
      </c>
      <c r="J141" s="4" t="s">
        <v>363</v>
      </c>
      <c r="K141" s="15">
        <v>45994</v>
      </c>
      <c r="L141" s="4">
        <v>2025404411</v>
      </c>
      <c r="M141" s="83" t="s">
        <v>222</v>
      </c>
      <c r="N141" s="4">
        <v>2025</v>
      </c>
    </row>
    <row r="142" spans="1:14">
      <c r="A142" s="4">
        <v>141</v>
      </c>
      <c r="B142" s="4" t="s">
        <v>17</v>
      </c>
      <c r="C142" s="4" t="s">
        <v>22</v>
      </c>
      <c r="D142" s="4" t="s">
        <v>60</v>
      </c>
      <c r="E142" s="29" t="s">
        <v>71</v>
      </c>
      <c r="G142" s="4" t="s">
        <v>331</v>
      </c>
      <c r="H142" s="4" t="s">
        <v>118</v>
      </c>
      <c r="I142" s="41">
        <v>1473.1034482758621</v>
      </c>
      <c r="J142" s="4" t="s">
        <v>370</v>
      </c>
      <c r="K142" s="15">
        <v>46001</v>
      </c>
      <c r="L142" s="4">
        <v>2025404492</v>
      </c>
      <c r="M142" s="83" t="s">
        <v>222</v>
      </c>
      <c r="N142" s="4">
        <v>2025</v>
      </c>
    </row>
    <row r="143" spans="1:14">
      <c r="A143" s="4">
        <v>142</v>
      </c>
      <c r="B143" s="4" t="s">
        <v>52</v>
      </c>
      <c r="C143" s="4" t="s">
        <v>62</v>
      </c>
      <c r="D143" s="4" t="s">
        <v>60</v>
      </c>
      <c r="E143" s="29" t="s">
        <v>71</v>
      </c>
      <c r="G143" s="4" t="s">
        <v>331</v>
      </c>
      <c r="H143" s="4" t="s">
        <v>118</v>
      </c>
      <c r="I143" s="41">
        <v>1241.3793103448277</v>
      </c>
      <c r="J143" s="4" t="s">
        <v>363</v>
      </c>
      <c r="K143" s="15">
        <v>45994</v>
      </c>
      <c r="L143" s="4">
        <v>2025404412</v>
      </c>
      <c r="M143" s="83" t="s">
        <v>222</v>
      </c>
      <c r="N143" s="4">
        <v>2025</v>
      </c>
    </row>
    <row r="144" spans="1:14">
      <c r="A144" s="4">
        <v>143</v>
      </c>
      <c r="B144" s="4" t="s">
        <v>52</v>
      </c>
      <c r="C144" s="4" t="s">
        <v>62</v>
      </c>
      <c r="D144" s="4" t="s">
        <v>60</v>
      </c>
      <c r="E144" s="29" t="s">
        <v>71</v>
      </c>
      <c r="G144" s="4" t="s">
        <v>124</v>
      </c>
      <c r="H144" s="4" t="s">
        <v>118</v>
      </c>
      <c r="I144" s="41">
        <v>1596.9</v>
      </c>
      <c r="J144" s="4" t="s">
        <v>388</v>
      </c>
      <c r="K144" s="15">
        <v>45994</v>
      </c>
      <c r="L144" s="4">
        <v>2025404195</v>
      </c>
      <c r="M144" s="83" t="s">
        <v>222</v>
      </c>
      <c r="N144" s="4">
        <v>2025</v>
      </c>
    </row>
    <row r="145" spans="1:14">
      <c r="A145" s="4">
        <v>144</v>
      </c>
      <c r="B145" s="4" t="s">
        <v>35</v>
      </c>
      <c r="C145" s="4" t="s">
        <v>36</v>
      </c>
      <c r="D145" s="4" t="s">
        <v>60</v>
      </c>
      <c r="E145" s="29" t="s">
        <v>71</v>
      </c>
      <c r="G145" s="4" t="s">
        <v>124</v>
      </c>
      <c r="H145" s="4" t="s">
        <v>118</v>
      </c>
      <c r="I145" s="41">
        <v>170</v>
      </c>
      <c r="J145" s="4" t="s">
        <v>389</v>
      </c>
      <c r="K145" s="15">
        <v>45994</v>
      </c>
      <c r="L145" s="4">
        <v>2025404287</v>
      </c>
      <c r="M145" s="83" t="s">
        <v>222</v>
      </c>
      <c r="N145" s="4">
        <v>2025</v>
      </c>
    </row>
    <row r="146" spans="1:14">
      <c r="A146" s="4">
        <v>145</v>
      </c>
      <c r="B146" s="4" t="s">
        <v>42</v>
      </c>
      <c r="C146" s="4" t="s">
        <v>46</v>
      </c>
      <c r="D146" s="4" t="s">
        <v>60</v>
      </c>
      <c r="E146" s="29" t="s">
        <v>71</v>
      </c>
      <c r="G146" s="4" t="s">
        <v>124</v>
      </c>
      <c r="H146" s="4" t="s">
        <v>118</v>
      </c>
      <c r="I146" s="41">
        <v>634.29999999999995</v>
      </c>
      <c r="J146" s="4">
        <v>12418</v>
      </c>
      <c r="K146" s="15">
        <v>45994</v>
      </c>
      <c r="L146" s="4">
        <v>2025404301</v>
      </c>
      <c r="M146" s="83" t="s">
        <v>222</v>
      </c>
      <c r="N146" s="4">
        <v>2025</v>
      </c>
    </row>
    <row r="147" spans="1:14">
      <c r="A147" s="4">
        <v>146</v>
      </c>
      <c r="B147" s="4" t="s">
        <v>42</v>
      </c>
      <c r="C147" s="4" t="s">
        <v>285</v>
      </c>
      <c r="D147" s="4" t="s">
        <v>60</v>
      </c>
      <c r="E147" s="4" t="s">
        <v>71</v>
      </c>
      <c r="G147" s="4" t="s">
        <v>124</v>
      </c>
      <c r="H147" s="4" t="s">
        <v>118</v>
      </c>
      <c r="I147" s="41">
        <v>832</v>
      </c>
      <c r="J147" s="4" t="s">
        <v>390</v>
      </c>
      <c r="K147" s="15">
        <v>45994</v>
      </c>
      <c r="L147" s="4">
        <v>2025404324</v>
      </c>
      <c r="M147" s="83" t="s">
        <v>222</v>
      </c>
      <c r="N147" s="4">
        <v>2025</v>
      </c>
    </row>
    <row r="148" spans="1:14">
      <c r="A148" s="4">
        <v>147</v>
      </c>
      <c r="B148" s="4" t="s">
        <v>35</v>
      </c>
      <c r="C148" s="4" t="s">
        <v>36</v>
      </c>
      <c r="D148" s="4" t="s">
        <v>60</v>
      </c>
      <c r="E148" s="29" t="s">
        <v>71</v>
      </c>
      <c r="G148" s="4" t="s">
        <v>124</v>
      </c>
      <c r="H148" s="4" t="s">
        <v>118</v>
      </c>
      <c r="I148" s="41">
        <v>2931.7</v>
      </c>
      <c r="J148" s="4" t="s">
        <v>391</v>
      </c>
      <c r="K148" s="15">
        <v>45994</v>
      </c>
      <c r="L148" s="4">
        <v>2025404327</v>
      </c>
      <c r="M148" s="83" t="s">
        <v>222</v>
      </c>
      <c r="N148" s="4">
        <v>2025</v>
      </c>
    </row>
    <row r="149" spans="1:14">
      <c r="A149" s="4">
        <v>148</v>
      </c>
      <c r="B149" s="4" t="s">
        <v>42</v>
      </c>
      <c r="C149" s="4" t="s">
        <v>285</v>
      </c>
      <c r="D149" s="4" t="s">
        <v>60</v>
      </c>
      <c r="E149" s="29" t="s">
        <v>71</v>
      </c>
      <c r="G149" s="4" t="s">
        <v>124</v>
      </c>
      <c r="H149" s="4" t="s">
        <v>118</v>
      </c>
      <c r="I149" s="41">
        <v>75</v>
      </c>
      <c r="J149" s="4" t="s">
        <v>392</v>
      </c>
      <c r="K149" s="15">
        <v>45994</v>
      </c>
      <c r="L149" s="4">
        <v>2025404332</v>
      </c>
      <c r="M149" s="83" t="s">
        <v>222</v>
      </c>
      <c r="N149" s="4">
        <v>2025</v>
      </c>
    </row>
    <row r="150" spans="1:14">
      <c r="A150" s="4">
        <v>149</v>
      </c>
      <c r="B150" s="4" t="s">
        <v>35</v>
      </c>
      <c r="C150" s="4" t="s">
        <v>36</v>
      </c>
      <c r="D150" s="4" t="s">
        <v>60</v>
      </c>
      <c r="E150" s="29" t="s">
        <v>71</v>
      </c>
      <c r="G150" s="4" t="s">
        <v>124</v>
      </c>
      <c r="H150" s="4" t="s">
        <v>118</v>
      </c>
      <c r="I150" s="41">
        <v>295</v>
      </c>
      <c r="J150" s="4" t="s">
        <v>393</v>
      </c>
      <c r="K150" s="15">
        <v>45935</v>
      </c>
      <c r="L150" s="4">
        <v>2025404333</v>
      </c>
      <c r="M150" s="83" t="s">
        <v>222</v>
      </c>
      <c r="N150" s="4">
        <v>2025</v>
      </c>
    </row>
    <row r="151" spans="1:14">
      <c r="A151" s="4">
        <v>150</v>
      </c>
      <c r="B151" s="4" t="s">
        <v>42</v>
      </c>
      <c r="C151" s="4" t="s">
        <v>45</v>
      </c>
      <c r="D151" s="4" t="s">
        <v>60</v>
      </c>
      <c r="E151" s="29" t="s">
        <v>71</v>
      </c>
      <c r="G151" s="4" t="s">
        <v>124</v>
      </c>
      <c r="H151" s="4" t="s">
        <v>118</v>
      </c>
      <c r="I151" s="41">
        <v>3075</v>
      </c>
      <c r="J151" s="4" t="s">
        <v>394</v>
      </c>
      <c r="K151" s="15">
        <v>45994</v>
      </c>
      <c r="L151" s="4">
        <v>2025404335</v>
      </c>
      <c r="M151" s="83" t="s">
        <v>222</v>
      </c>
      <c r="N151" s="4">
        <v>2025</v>
      </c>
    </row>
    <row r="152" spans="1:14">
      <c r="A152" s="4">
        <v>151</v>
      </c>
      <c r="B152" s="4" t="s">
        <v>35</v>
      </c>
      <c r="C152" s="4" t="s">
        <v>36</v>
      </c>
      <c r="D152" s="4" t="s">
        <v>60</v>
      </c>
      <c r="E152" s="29" t="s">
        <v>71</v>
      </c>
      <c r="G152" s="4" t="s">
        <v>124</v>
      </c>
      <c r="H152" s="4" t="s">
        <v>118</v>
      </c>
      <c r="I152" s="41">
        <v>2931.7</v>
      </c>
      <c r="J152" s="4" t="s">
        <v>395</v>
      </c>
      <c r="K152" s="15">
        <v>45994</v>
      </c>
      <c r="L152" s="4">
        <v>2025404336</v>
      </c>
      <c r="M152" s="83" t="s">
        <v>222</v>
      </c>
      <c r="N152" s="4">
        <v>2025</v>
      </c>
    </row>
    <row r="153" spans="1:14">
      <c r="A153" s="4">
        <v>152</v>
      </c>
      <c r="B153" s="4" t="s">
        <v>42</v>
      </c>
      <c r="C153" s="4" t="s">
        <v>46</v>
      </c>
      <c r="D153" s="4" t="s">
        <v>60</v>
      </c>
      <c r="E153" s="29" t="s">
        <v>71</v>
      </c>
      <c r="G153" s="4" t="s">
        <v>124</v>
      </c>
      <c r="H153" s="4" t="s">
        <v>118</v>
      </c>
      <c r="I153" s="41">
        <v>70</v>
      </c>
      <c r="J153" s="4" t="s">
        <v>396</v>
      </c>
      <c r="K153" s="15">
        <v>45994</v>
      </c>
      <c r="L153" s="4">
        <v>2025404337</v>
      </c>
      <c r="M153" s="83" t="s">
        <v>222</v>
      </c>
      <c r="N153" s="4">
        <v>2025</v>
      </c>
    </row>
    <row r="154" spans="1:14">
      <c r="A154" s="4">
        <v>153</v>
      </c>
      <c r="B154" s="4" t="s">
        <v>35</v>
      </c>
      <c r="C154" s="4" t="s">
        <v>36</v>
      </c>
      <c r="D154" s="4" t="s">
        <v>60</v>
      </c>
      <c r="E154" s="29" t="s">
        <v>71</v>
      </c>
      <c r="G154" s="4" t="s">
        <v>124</v>
      </c>
      <c r="H154" s="4" t="s">
        <v>118</v>
      </c>
      <c r="I154" s="41">
        <v>684</v>
      </c>
      <c r="J154" s="4" t="s">
        <v>397</v>
      </c>
      <c r="K154" s="40">
        <v>45994</v>
      </c>
      <c r="L154" s="4">
        <v>2025404338</v>
      </c>
      <c r="M154" s="83" t="s">
        <v>222</v>
      </c>
      <c r="N154" s="4">
        <v>2025</v>
      </c>
    </row>
    <row r="155" spans="1:14">
      <c r="A155" s="4">
        <v>154</v>
      </c>
      <c r="B155" s="29" t="s">
        <v>42</v>
      </c>
      <c r="C155" s="29" t="s">
        <v>44</v>
      </c>
      <c r="D155" s="4" t="s">
        <v>60</v>
      </c>
      <c r="E155" s="29" t="s">
        <v>71</v>
      </c>
      <c r="G155" s="29" t="s">
        <v>124</v>
      </c>
      <c r="H155" s="4" t="s">
        <v>118</v>
      </c>
      <c r="I155" s="41">
        <v>627</v>
      </c>
      <c r="J155" s="4" t="s">
        <v>398</v>
      </c>
      <c r="K155" s="15">
        <v>45994</v>
      </c>
      <c r="L155" s="4">
        <v>2025404339</v>
      </c>
      <c r="M155" s="83" t="s">
        <v>222</v>
      </c>
      <c r="N155" s="4">
        <v>2025</v>
      </c>
    </row>
    <row r="156" spans="1:14">
      <c r="A156" s="4">
        <v>155</v>
      </c>
      <c r="B156" s="4" t="s">
        <v>17</v>
      </c>
      <c r="C156" s="4" t="s">
        <v>18</v>
      </c>
      <c r="D156" s="4" t="s">
        <v>60</v>
      </c>
      <c r="E156" s="4" t="s">
        <v>71</v>
      </c>
      <c r="G156" s="4" t="s">
        <v>124</v>
      </c>
      <c r="H156" s="4" t="s">
        <v>118</v>
      </c>
      <c r="I156" s="41">
        <v>340</v>
      </c>
      <c r="J156" s="4" t="s">
        <v>399</v>
      </c>
      <c r="K156" s="15">
        <v>45994</v>
      </c>
      <c r="L156" s="4">
        <v>2025404342</v>
      </c>
      <c r="M156" s="83" t="s">
        <v>222</v>
      </c>
      <c r="N156" s="4">
        <v>2025</v>
      </c>
    </row>
    <row r="157" spans="1:14">
      <c r="A157" s="4">
        <v>156</v>
      </c>
      <c r="B157" s="29" t="s">
        <v>52</v>
      </c>
      <c r="C157" s="29" t="s">
        <v>62</v>
      </c>
      <c r="D157" s="4" t="s">
        <v>60</v>
      </c>
      <c r="E157" s="4" t="s">
        <v>71</v>
      </c>
      <c r="G157" s="4" t="s">
        <v>124</v>
      </c>
      <c r="H157" s="4" t="s">
        <v>118</v>
      </c>
      <c r="I157" s="41">
        <v>248.7</v>
      </c>
      <c r="J157" s="4" t="s">
        <v>400</v>
      </c>
      <c r="K157" s="15">
        <v>45994</v>
      </c>
      <c r="L157" s="4">
        <v>2025404348</v>
      </c>
      <c r="M157" s="83" t="s">
        <v>222</v>
      </c>
      <c r="N157" s="4">
        <v>2025</v>
      </c>
    </row>
    <row r="158" spans="1:14">
      <c r="A158" s="4">
        <v>157</v>
      </c>
      <c r="B158" s="4" t="s">
        <v>42</v>
      </c>
      <c r="C158" s="4" t="s">
        <v>50</v>
      </c>
      <c r="D158" s="4" t="s">
        <v>60</v>
      </c>
      <c r="E158" s="29" t="s">
        <v>71</v>
      </c>
      <c r="G158" s="4" t="s">
        <v>124</v>
      </c>
      <c r="H158" s="4" t="s">
        <v>118</v>
      </c>
      <c r="I158" s="41">
        <v>795</v>
      </c>
      <c r="J158" s="4" t="s">
        <v>401</v>
      </c>
      <c r="K158" s="15">
        <v>45994</v>
      </c>
      <c r="L158" s="4">
        <v>2025404358</v>
      </c>
      <c r="M158" s="83" t="s">
        <v>222</v>
      </c>
      <c r="N158" s="4">
        <v>2025</v>
      </c>
    </row>
    <row r="159" spans="1:14">
      <c r="A159" s="4">
        <v>158</v>
      </c>
      <c r="B159" s="4" t="s">
        <v>35</v>
      </c>
      <c r="C159" s="4" t="s">
        <v>36</v>
      </c>
      <c r="D159" s="4" t="s">
        <v>60</v>
      </c>
      <c r="E159" s="29" t="s">
        <v>71</v>
      </c>
      <c r="G159" s="4" t="s">
        <v>124</v>
      </c>
      <c r="H159" s="4" t="s">
        <v>118</v>
      </c>
      <c r="I159" s="41">
        <v>170</v>
      </c>
      <c r="J159" s="4" t="s">
        <v>402</v>
      </c>
      <c r="K159" s="15">
        <v>45994</v>
      </c>
      <c r="L159" s="4">
        <v>2025404362</v>
      </c>
      <c r="M159" s="83" t="s">
        <v>222</v>
      </c>
      <c r="N159" s="4">
        <v>2025</v>
      </c>
    </row>
    <row r="160" spans="1:14">
      <c r="A160" s="4">
        <v>159</v>
      </c>
      <c r="B160" s="29" t="s">
        <v>52</v>
      </c>
      <c r="C160" s="29" t="s">
        <v>62</v>
      </c>
      <c r="D160" s="4" t="s">
        <v>60</v>
      </c>
      <c r="E160" s="29" t="s">
        <v>71</v>
      </c>
      <c r="G160" s="29" t="s">
        <v>124</v>
      </c>
      <c r="H160" s="4" t="s">
        <v>118</v>
      </c>
      <c r="I160" s="41">
        <v>390</v>
      </c>
      <c r="J160" s="4" t="s">
        <v>403</v>
      </c>
      <c r="K160" s="15">
        <v>45994</v>
      </c>
      <c r="L160" s="4">
        <v>2025404366</v>
      </c>
      <c r="M160" s="83" t="s">
        <v>222</v>
      </c>
      <c r="N160" s="4">
        <v>2025</v>
      </c>
    </row>
    <row r="161" spans="1:14">
      <c r="A161" s="4">
        <v>160</v>
      </c>
      <c r="B161" s="4" t="s">
        <v>42</v>
      </c>
      <c r="C161" s="4" t="s">
        <v>50</v>
      </c>
      <c r="D161" s="4" t="s">
        <v>60</v>
      </c>
      <c r="E161" s="29" t="s">
        <v>71</v>
      </c>
      <c r="G161" s="4" t="s">
        <v>124</v>
      </c>
      <c r="H161" s="4" t="s">
        <v>118</v>
      </c>
      <c r="I161" s="92">
        <v>898.5</v>
      </c>
      <c r="J161" s="4" t="s">
        <v>404</v>
      </c>
      <c r="K161" s="15">
        <v>45994</v>
      </c>
      <c r="L161" s="4">
        <v>2025404385</v>
      </c>
      <c r="M161" s="83" t="s">
        <v>222</v>
      </c>
      <c r="N161" s="4">
        <v>2025</v>
      </c>
    </row>
    <row r="162" spans="1:14">
      <c r="A162" s="4">
        <v>161</v>
      </c>
      <c r="B162" s="4" t="s">
        <v>42</v>
      </c>
      <c r="C162" s="4" t="s">
        <v>50</v>
      </c>
      <c r="D162" s="4" t="s">
        <v>60</v>
      </c>
      <c r="E162" s="29" t="s">
        <v>71</v>
      </c>
      <c r="G162" s="4" t="s">
        <v>124</v>
      </c>
      <c r="H162" s="4" t="s">
        <v>118</v>
      </c>
      <c r="I162" s="41">
        <v>195.5</v>
      </c>
      <c r="J162" s="4" t="s">
        <v>405</v>
      </c>
      <c r="K162" s="15">
        <v>45994</v>
      </c>
      <c r="L162" s="4">
        <v>2025404408</v>
      </c>
      <c r="M162" s="83" t="s">
        <v>222</v>
      </c>
      <c r="N162" s="4">
        <v>2025</v>
      </c>
    </row>
    <row r="163" spans="1:14">
      <c r="A163" s="4">
        <v>162</v>
      </c>
      <c r="B163" s="4" t="s">
        <v>17</v>
      </c>
      <c r="C163" s="4" t="s">
        <v>22</v>
      </c>
      <c r="D163" s="4" t="s">
        <v>60</v>
      </c>
      <c r="E163" s="29" t="s">
        <v>71</v>
      </c>
      <c r="G163" s="4" t="s">
        <v>124</v>
      </c>
      <c r="H163" s="4" t="s">
        <v>118</v>
      </c>
      <c r="I163" s="41">
        <v>1408.7</v>
      </c>
      <c r="J163" s="4" t="s">
        <v>406</v>
      </c>
      <c r="K163" s="15">
        <v>45994</v>
      </c>
      <c r="L163" s="4">
        <v>2025403968</v>
      </c>
      <c r="M163" s="83" t="s">
        <v>222</v>
      </c>
      <c r="N163" s="4">
        <v>2025</v>
      </c>
    </row>
    <row r="164" spans="1:14">
      <c r="A164" s="4">
        <v>163</v>
      </c>
      <c r="B164" s="29" t="s">
        <v>54</v>
      </c>
      <c r="C164" s="29" t="s">
        <v>55</v>
      </c>
      <c r="D164" s="4" t="s">
        <v>60</v>
      </c>
      <c r="E164" s="29" t="s">
        <v>71</v>
      </c>
      <c r="G164" s="29" t="s">
        <v>124</v>
      </c>
      <c r="H164" s="4" t="s">
        <v>118</v>
      </c>
      <c r="I164" s="41">
        <v>350</v>
      </c>
      <c r="J164" s="4" t="s">
        <v>407</v>
      </c>
      <c r="K164" s="15">
        <v>45994</v>
      </c>
      <c r="L164" s="4">
        <v>2025404355</v>
      </c>
      <c r="M164" s="83" t="s">
        <v>222</v>
      </c>
      <c r="N164" s="4">
        <v>2025</v>
      </c>
    </row>
    <row r="165" spans="1:14">
      <c r="A165" s="4">
        <v>164</v>
      </c>
      <c r="B165" s="4" t="s">
        <v>42</v>
      </c>
      <c r="C165" s="4" t="s">
        <v>48</v>
      </c>
      <c r="D165" s="4" t="s">
        <v>60</v>
      </c>
      <c r="E165" s="4" t="s">
        <v>71</v>
      </c>
      <c r="G165" s="4" t="s">
        <v>124</v>
      </c>
      <c r="H165" s="4" t="s">
        <v>118</v>
      </c>
      <c r="I165" s="41">
        <v>140</v>
      </c>
      <c r="J165" s="4" t="s">
        <v>427</v>
      </c>
      <c r="K165" s="15">
        <v>46001</v>
      </c>
      <c r="L165" s="4">
        <v>2025404496</v>
      </c>
      <c r="M165" s="83" t="s">
        <v>222</v>
      </c>
      <c r="N165" s="4">
        <v>2025</v>
      </c>
    </row>
    <row r="166" spans="1:14">
      <c r="A166" s="4">
        <v>165</v>
      </c>
      <c r="B166" s="4" t="s">
        <v>42</v>
      </c>
      <c r="C166" s="4" t="s">
        <v>44</v>
      </c>
      <c r="D166" s="4" t="s">
        <v>60</v>
      </c>
      <c r="E166" s="29" t="s">
        <v>71</v>
      </c>
      <c r="G166" s="4" t="s">
        <v>124</v>
      </c>
      <c r="H166" s="4" t="s">
        <v>118</v>
      </c>
      <c r="I166" s="41">
        <v>214.1</v>
      </c>
      <c r="J166" s="4" t="s">
        <v>428</v>
      </c>
      <c r="K166" s="15">
        <v>46001</v>
      </c>
      <c r="L166" s="4">
        <v>2025404502</v>
      </c>
      <c r="M166" s="83" t="s">
        <v>222</v>
      </c>
      <c r="N166" s="4">
        <v>2025</v>
      </c>
    </row>
    <row r="167" spans="1:14">
      <c r="A167" s="4">
        <v>166</v>
      </c>
      <c r="B167" s="4" t="s">
        <v>42</v>
      </c>
      <c r="C167" s="4" t="s">
        <v>51</v>
      </c>
      <c r="D167" s="4" t="s">
        <v>60</v>
      </c>
      <c r="E167" s="29" t="s">
        <v>71</v>
      </c>
      <c r="G167" s="4" t="s">
        <v>124</v>
      </c>
      <c r="H167" s="4" t="s">
        <v>118</v>
      </c>
      <c r="I167" s="41">
        <v>535</v>
      </c>
      <c r="J167" s="4" t="s">
        <v>429</v>
      </c>
      <c r="K167" s="15">
        <v>46001</v>
      </c>
      <c r="L167" s="4">
        <v>2025404469</v>
      </c>
      <c r="M167" s="83" t="s">
        <v>222</v>
      </c>
      <c r="N167" s="4">
        <v>2025</v>
      </c>
    </row>
    <row r="168" spans="1:14">
      <c r="A168" s="4">
        <v>167</v>
      </c>
      <c r="B168" s="4" t="s">
        <v>42</v>
      </c>
      <c r="C168" s="4" t="s">
        <v>50</v>
      </c>
      <c r="D168" s="4" t="s">
        <v>60</v>
      </c>
      <c r="E168" s="29" t="s">
        <v>71</v>
      </c>
      <c r="G168" s="4" t="s">
        <v>124</v>
      </c>
      <c r="H168" s="4" t="s">
        <v>118</v>
      </c>
      <c r="I168" s="41">
        <v>2598.6999999999998</v>
      </c>
      <c r="J168" s="4" t="s">
        <v>430</v>
      </c>
      <c r="K168" s="15">
        <v>46001</v>
      </c>
      <c r="L168" s="4">
        <v>2025404474</v>
      </c>
      <c r="M168" s="83" t="s">
        <v>222</v>
      </c>
      <c r="N168" s="4">
        <v>2025</v>
      </c>
    </row>
    <row r="169" spans="1:14">
      <c r="A169" s="4">
        <v>168</v>
      </c>
      <c r="B169" s="29" t="s">
        <v>17</v>
      </c>
      <c r="C169" s="29" t="s">
        <v>25</v>
      </c>
      <c r="D169" s="4" t="s">
        <v>60</v>
      </c>
      <c r="E169" s="4" t="s">
        <v>71</v>
      </c>
      <c r="G169" s="4" t="s">
        <v>124</v>
      </c>
      <c r="H169" s="4" t="s">
        <v>118</v>
      </c>
      <c r="I169" s="41">
        <v>390</v>
      </c>
      <c r="J169" s="4" t="s">
        <v>431</v>
      </c>
      <c r="K169" s="15">
        <v>46001</v>
      </c>
      <c r="L169" s="4">
        <v>2025404476</v>
      </c>
      <c r="M169" s="83" t="s">
        <v>222</v>
      </c>
      <c r="N169" s="4">
        <v>2025</v>
      </c>
    </row>
    <row r="170" spans="1:14">
      <c r="A170" s="4">
        <v>169</v>
      </c>
      <c r="B170" s="4" t="s">
        <v>42</v>
      </c>
      <c r="C170" s="4" t="s">
        <v>49</v>
      </c>
      <c r="D170" s="4" t="s">
        <v>60</v>
      </c>
      <c r="E170" s="4" t="s">
        <v>71</v>
      </c>
      <c r="G170" s="4" t="s">
        <v>124</v>
      </c>
      <c r="H170" s="4" t="s">
        <v>118</v>
      </c>
      <c r="I170" s="41">
        <v>140</v>
      </c>
      <c r="J170" s="4" t="s">
        <v>432</v>
      </c>
      <c r="K170" s="15">
        <v>46001</v>
      </c>
      <c r="L170" s="4">
        <v>2025404470</v>
      </c>
      <c r="M170" s="83" t="s">
        <v>222</v>
      </c>
      <c r="N170" s="4">
        <v>2025</v>
      </c>
    </row>
    <row r="171" spans="1:14">
      <c r="A171" s="4">
        <v>170</v>
      </c>
      <c r="B171" s="4" t="s">
        <v>17</v>
      </c>
      <c r="C171" s="4" t="s">
        <v>22</v>
      </c>
      <c r="D171" s="4" t="s">
        <v>60</v>
      </c>
      <c r="E171" s="29" t="s">
        <v>71</v>
      </c>
      <c r="G171" s="4" t="s">
        <v>124</v>
      </c>
      <c r="H171" s="4" t="s">
        <v>118</v>
      </c>
      <c r="I171" s="41">
        <v>650</v>
      </c>
      <c r="J171" s="4" t="s">
        <v>433</v>
      </c>
      <c r="K171" s="15">
        <v>46001</v>
      </c>
      <c r="L171" s="4">
        <v>2025404477</v>
      </c>
      <c r="M171" s="83" t="s">
        <v>222</v>
      </c>
      <c r="N171" s="4">
        <v>2025</v>
      </c>
    </row>
    <row r="172" spans="1:14">
      <c r="A172" s="4">
        <v>171</v>
      </c>
      <c r="B172" s="4" t="s">
        <v>17</v>
      </c>
      <c r="C172" s="4" t="s">
        <v>18</v>
      </c>
      <c r="D172" s="4" t="s">
        <v>60</v>
      </c>
      <c r="E172" s="29" t="s">
        <v>71</v>
      </c>
      <c r="G172" s="4" t="s">
        <v>124</v>
      </c>
      <c r="H172" s="4" t="s">
        <v>118</v>
      </c>
      <c r="I172" s="41">
        <v>45</v>
      </c>
      <c r="J172" s="4" t="s">
        <v>434</v>
      </c>
      <c r="K172" s="15">
        <v>46001</v>
      </c>
      <c r="L172" s="4">
        <v>2025404478</v>
      </c>
      <c r="M172" s="83" t="s">
        <v>222</v>
      </c>
      <c r="N172" s="4">
        <v>2025</v>
      </c>
    </row>
    <row r="173" spans="1:14">
      <c r="A173" s="4">
        <v>172</v>
      </c>
      <c r="B173" s="4" t="s">
        <v>42</v>
      </c>
      <c r="C173" s="4" t="s">
        <v>50</v>
      </c>
      <c r="D173" s="4" t="s">
        <v>60</v>
      </c>
      <c r="E173" s="29" t="s">
        <v>71</v>
      </c>
      <c r="G173" s="4" t="s">
        <v>124</v>
      </c>
      <c r="H173" s="4" t="s">
        <v>118</v>
      </c>
      <c r="I173" s="41">
        <v>260</v>
      </c>
      <c r="J173" s="4" t="s">
        <v>435</v>
      </c>
      <c r="K173" s="15">
        <v>46001</v>
      </c>
      <c r="L173" s="4">
        <v>2025404479</v>
      </c>
      <c r="M173" s="83" t="s">
        <v>222</v>
      </c>
      <c r="N173" s="4">
        <v>2025</v>
      </c>
    </row>
    <row r="174" spans="1:14">
      <c r="A174" s="4">
        <v>173</v>
      </c>
      <c r="B174" s="4" t="s">
        <v>52</v>
      </c>
      <c r="C174" s="4" t="s">
        <v>62</v>
      </c>
      <c r="D174" s="4" t="s">
        <v>60</v>
      </c>
      <c r="E174" s="29" t="s">
        <v>71</v>
      </c>
      <c r="G174" s="4" t="s">
        <v>124</v>
      </c>
      <c r="H174" s="4" t="s">
        <v>118</v>
      </c>
      <c r="I174" s="41">
        <v>280</v>
      </c>
      <c r="J174" s="4" t="s">
        <v>436</v>
      </c>
      <c r="K174" s="40">
        <v>46001</v>
      </c>
      <c r="L174" s="4">
        <v>2025404444</v>
      </c>
      <c r="M174" s="83" t="s">
        <v>222</v>
      </c>
      <c r="N174" s="4">
        <v>2025</v>
      </c>
    </row>
    <row r="175" spans="1:14">
      <c r="A175" s="4">
        <v>174</v>
      </c>
      <c r="B175" s="4" t="s">
        <v>42</v>
      </c>
      <c r="C175" s="4" t="s">
        <v>49</v>
      </c>
      <c r="D175" s="4" t="s">
        <v>60</v>
      </c>
      <c r="E175" s="29" t="s">
        <v>71</v>
      </c>
      <c r="G175" s="30" t="s">
        <v>124</v>
      </c>
      <c r="H175" s="4" t="s">
        <v>118</v>
      </c>
      <c r="I175" s="41">
        <v>510</v>
      </c>
      <c r="J175" s="30" t="s">
        <v>437</v>
      </c>
      <c r="K175" s="15">
        <v>46001</v>
      </c>
      <c r="L175" s="30">
        <v>2025404458</v>
      </c>
      <c r="M175" s="83" t="s">
        <v>222</v>
      </c>
      <c r="N175" s="4">
        <v>2025</v>
      </c>
    </row>
    <row r="176" spans="1:14">
      <c r="A176" s="4">
        <v>175</v>
      </c>
      <c r="B176" s="4" t="s">
        <v>17</v>
      </c>
      <c r="C176" s="4" t="s">
        <v>25</v>
      </c>
      <c r="D176" s="4" t="s">
        <v>60</v>
      </c>
      <c r="E176" s="29" t="s">
        <v>71</v>
      </c>
      <c r="G176" s="4" t="s">
        <v>124</v>
      </c>
      <c r="H176" s="4" t="s">
        <v>118</v>
      </c>
      <c r="I176" s="41">
        <v>768.9</v>
      </c>
      <c r="J176" s="4" t="s">
        <v>438</v>
      </c>
      <c r="K176" s="15">
        <v>46001</v>
      </c>
      <c r="L176" s="4">
        <v>2025404466</v>
      </c>
      <c r="M176" s="83" t="s">
        <v>222</v>
      </c>
      <c r="N176" s="4">
        <v>2025</v>
      </c>
    </row>
    <row r="177" spans="1:14">
      <c r="A177" s="4">
        <v>176</v>
      </c>
      <c r="B177" s="4" t="s">
        <v>35</v>
      </c>
      <c r="C177" s="4" t="s">
        <v>37</v>
      </c>
      <c r="D177" s="4" t="s">
        <v>60</v>
      </c>
      <c r="E177" s="29" t="s">
        <v>71</v>
      </c>
      <c r="G177" s="4" t="s">
        <v>124</v>
      </c>
      <c r="H177" s="4" t="s">
        <v>118</v>
      </c>
      <c r="I177" s="41">
        <v>479.6</v>
      </c>
      <c r="J177" s="4" t="s">
        <v>439</v>
      </c>
      <c r="K177" s="15">
        <v>46001</v>
      </c>
      <c r="L177" s="4">
        <v>2025404457</v>
      </c>
      <c r="M177" s="83" t="s">
        <v>222</v>
      </c>
      <c r="N177" s="4">
        <v>2025</v>
      </c>
    </row>
    <row r="178" spans="1:14">
      <c r="A178" s="4">
        <v>177</v>
      </c>
      <c r="B178" s="4" t="s">
        <v>17</v>
      </c>
      <c r="C178" s="4" t="s">
        <v>25</v>
      </c>
      <c r="D178" s="4" t="s">
        <v>60</v>
      </c>
      <c r="E178" s="29" t="s">
        <v>71</v>
      </c>
      <c r="G178" s="4" t="s">
        <v>124</v>
      </c>
      <c r="H178" s="4" t="s">
        <v>118</v>
      </c>
      <c r="I178" s="41">
        <v>1829.5</v>
      </c>
      <c r="J178" s="4" t="s">
        <v>440</v>
      </c>
      <c r="K178" s="15">
        <v>46001</v>
      </c>
      <c r="L178" s="4">
        <v>2025404345</v>
      </c>
      <c r="M178" s="83" t="s">
        <v>222</v>
      </c>
      <c r="N178" s="4">
        <v>2025</v>
      </c>
    </row>
    <row r="179" spans="1:14">
      <c r="A179" s="4">
        <v>178</v>
      </c>
      <c r="B179" s="4" t="s">
        <v>35</v>
      </c>
      <c r="C179" s="4" t="s">
        <v>37</v>
      </c>
      <c r="D179" s="4" t="s">
        <v>60</v>
      </c>
      <c r="E179" s="29" t="s">
        <v>71</v>
      </c>
      <c r="G179" s="4" t="s">
        <v>124</v>
      </c>
      <c r="H179" s="4" t="s">
        <v>118</v>
      </c>
      <c r="I179" s="41">
        <v>953.3</v>
      </c>
      <c r="J179" s="4" t="s">
        <v>441</v>
      </c>
      <c r="K179" s="15">
        <v>46001</v>
      </c>
      <c r="L179" s="4">
        <v>2025404434</v>
      </c>
      <c r="M179" s="83" t="s">
        <v>222</v>
      </c>
      <c r="N179" s="4">
        <v>2025</v>
      </c>
    </row>
    <row r="180" spans="1:14">
      <c r="A180" s="4">
        <v>179</v>
      </c>
      <c r="B180" s="4" t="s">
        <v>42</v>
      </c>
      <c r="C180" s="4" t="s">
        <v>46</v>
      </c>
      <c r="D180" s="4" t="s">
        <v>60</v>
      </c>
      <c r="E180" s="29" t="s">
        <v>71</v>
      </c>
      <c r="G180" s="4" t="s">
        <v>124</v>
      </c>
      <c r="H180" s="4" t="s">
        <v>118</v>
      </c>
      <c r="I180" s="41">
        <v>210.8</v>
      </c>
      <c r="J180" s="4" t="s">
        <v>442</v>
      </c>
      <c r="K180" s="15">
        <v>46001</v>
      </c>
      <c r="L180" s="30">
        <v>2025404315</v>
      </c>
      <c r="M180" s="83" t="s">
        <v>222</v>
      </c>
      <c r="N180" s="4">
        <v>2025</v>
      </c>
    </row>
    <row r="181" spans="1:14">
      <c r="A181" s="4">
        <v>180</v>
      </c>
      <c r="B181" s="4" t="s">
        <v>17</v>
      </c>
      <c r="C181" s="4" t="s">
        <v>24</v>
      </c>
      <c r="D181" s="4" t="s">
        <v>60</v>
      </c>
      <c r="E181" s="29" t="s">
        <v>71</v>
      </c>
      <c r="G181" s="4" t="s">
        <v>124</v>
      </c>
      <c r="H181" s="4" t="s">
        <v>118</v>
      </c>
      <c r="I181" s="41">
        <v>1592.9</v>
      </c>
      <c r="J181" s="4" t="s">
        <v>444</v>
      </c>
      <c r="K181" s="15">
        <v>46005</v>
      </c>
      <c r="L181" s="4">
        <v>2025404537</v>
      </c>
      <c r="M181" s="83" t="s">
        <v>222</v>
      </c>
      <c r="N181" s="4">
        <v>2025</v>
      </c>
    </row>
    <row r="182" spans="1:14">
      <c r="A182" s="4">
        <v>181</v>
      </c>
      <c r="B182" s="4" t="s">
        <v>52</v>
      </c>
      <c r="C182" s="4" t="s">
        <v>62</v>
      </c>
      <c r="D182" s="4" t="s">
        <v>60</v>
      </c>
      <c r="E182" s="29" t="s">
        <v>71</v>
      </c>
      <c r="G182" s="4" t="s">
        <v>124</v>
      </c>
      <c r="H182" s="4" t="s">
        <v>118</v>
      </c>
      <c r="I182" s="41">
        <v>480</v>
      </c>
      <c r="J182" s="4" t="s">
        <v>446</v>
      </c>
      <c r="K182" s="15">
        <v>46001</v>
      </c>
      <c r="L182" s="4">
        <v>2025404431</v>
      </c>
      <c r="M182" s="83" t="s">
        <v>222</v>
      </c>
      <c r="N182" s="4">
        <v>2025</v>
      </c>
    </row>
    <row r="183" spans="1:14">
      <c r="A183" s="4">
        <v>182</v>
      </c>
      <c r="B183" s="4" t="s">
        <v>52</v>
      </c>
      <c r="C183" s="4" t="s">
        <v>62</v>
      </c>
      <c r="D183" s="4" t="s">
        <v>60</v>
      </c>
      <c r="E183" s="29" t="s">
        <v>71</v>
      </c>
      <c r="G183" s="4" t="s">
        <v>124</v>
      </c>
      <c r="H183" s="4" t="s">
        <v>118</v>
      </c>
      <c r="I183" s="41">
        <v>3301.5</v>
      </c>
      <c r="J183" s="4" t="s">
        <v>447</v>
      </c>
      <c r="K183" s="15">
        <v>46004</v>
      </c>
      <c r="L183" s="4">
        <v>2025404530</v>
      </c>
      <c r="M183" s="83" t="s">
        <v>222</v>
      </c>
      <c r="N183" s="4">
        <v>2025</v>
      </c>
    </row>
    <row r="184" spans="1:14">
      <c r="A184" s="4">
        <v>183</v>
      </c>
      <c r="B184" s="4" t="s">
        <v>17</v>
      </c>
      <c r="C184" s="4" t="s">
        <v>24</v>
      </c>
      <c r="D184" s="4" t="s">
        <v>60</v>
      </c>
      <c r="E184" s="29" t="s">
        <v>71</v>
      </c>
      <c r="G184" s="4" t="s">
        <v>124</v>
      </c>
      <c r="H184" s="4" t="s">
        <v>118</v>
      </c>
      <c r="I184" s="41">
        <v>57.5</v>
      </c>
      <c r="J184" s="4" t="s">
        <v>448</v>
      </c>
      <c r="K184" s="15">
        <v>46005</v>
      </c>
      <c r="L184" s="4">
        <v>2025404540</v>
      </c>
      <c r="M184" s="83" t="s">
        <v>222</v>
      </c>
      <c r="N184" s="4">
        <v>2025</v>
      </c>
    </row>
    <row r="185" spans="1:14">
      <c r="A185" s="4">
        <v>184</v>
      </c>
      <c r="B185" s="4" t="s">
        <v>54</v>
      </c>
      <c r="C185" s="4" t="s">
        <v>55</v>
      </c>
      <c r="D185" s="4" t="s">
        <v>60</v>
      </c>
      <c r="E185" s="29" t="s">
        <v>71</v>
      </c>
      <c r="G185" s="4" t="s">
        <v>124</v>
      </c>
      <c r="H185" s="4" t="s">
        <v>118</v>
      </c>
      <c r="I185" s="41">
        <v>800</v>
      </c>
      <c r="J185" s="4" t="s">
        <v>460</v>
      </c>
      <c r="K185" s="15">
        <v>46004</v>
      </c>
      <c r="L185" s="4">
        <v>2025404527</v>
      </c>
      <c r="M185" s="83" t="s">
        <v>222</v>
      </c>
      <c r="N185" s="4">
        <v>2025</v>
      </c>
    </row>
    <row r="186" spans="1:14">
      <c r="A186" s="4">
        <v>185</v>
      </c>
      <c r="B186" s="4" t="s">
        <v>42</v>
      </c>
      <c r="C186" s="4" t="s">
        <v>48</v>
      </c>
      <c r="D186" s="4" t="s">
        <v>60</v>
      </c>
      <c r="E186" s="29" t="s">
        <v>71</v>
      </c>
      <c r="G186" s="4" t="s">
        <v>124</v>
      </c>
      <c r="H186" s="4" t="s">
        <v>118</v>
      </c>
      <c r="I186" s="41">
        <v>192</v>
      </c>
      <c r="J186" s="4" t="s">
        <v>461</v>
      </c>
      <c r="K186" s="15">
        <v>46004</v>
      </c>
      <c r="L186" s="4">
        <v>2025404528</v>
      </c>
      <c r="M186" s="83" t="s">
        <v>222</v>
      </c>
      <c r="N186" s="4">
        <v>2025</v>
      </c>
    </row>
    <row r="187" spans="1:14">
      <c r="A187" s="4">
        <v>186</v>
      </c>
      <c r="B187" s="4" t="s">
        <v>17</v>
      </c>
      <c r="C187" s="4" t="s">
        <v>24</v>
      </c>
      <c r="D187" s="4" t="s">
        <v>60</v>
      </c>
      <c r="E187" s="29" t="s">
        <v>71</v>
      </c>
      <c r="G187" s="4" t="s">
        <v>124</v>
      </c>
      <c r="H187" s="4" t="s">
        <v>118</v>
      </c>
      <c r="I187" s="41">
        <v>155</v>
      </c>
      <c r="J187" s="4" t="s">
        <v>462</v>
      </c>
      <c r="K187" s="15">
        <v>46004</v>
      </c>
      <c r="L187" s="4">
        <v>2025404538</v>
      </c>
      <c r="M187" s="83" t="s">
        <v>222</v>
      </c>
      <c r="N187" s="4">
        <v>2025</v>
      </c>
    </row>
    <row r="188" spans="1:14">
      <c r="A188" s="4">
        <v>187</v>
      </c>
      <c r="B188" s="4" t="s">
        <v>52</v>
      </c>
      <c r="C188" s="4" t="s">
        <v>62</v>
      </c>
      <c r="D188" s="4" t="s">
        <v>60</v>
      </c>
      <c r="E188" s="29" t="s">
        <v>71</v>
      </c>
      <c r="G188" s="4" t="s">
        <v>124</v>
      </c>
      <c r="H188" s="4" t="s">
        <v>118</v>
      </c>
      <c r="I188" s="41">
        <v>170</v>
      </c>
      <c r="J188" s="4" t="s">
        <v>463</v>
      </c>
      <c r="K188" s="15">
        <v>46004</v>
      </c>
      <c r="L188" s="4">
        <v>2025404539</v>
      </c>
      <c r="M188" s="83" t="s">
        <v>222</v>
      </c>
      <c r="N188" s="4">
        <v>2025</v>
      </c>
    </row>
    <row r="189" spans="1:14">
      <c r="A189" s="4">
        <v>188</v>
      </c>
      <c r="B189" s="4" t="s">
        <v>52</v>
      </c>
      <c r="C189" s="4" t="s">
        <v>62</v>
      </c>
      <c r="D189" s="4" t="s">
        <v>60</v>
      </c>
      <c r="E189" s="29" t="s">
        <v>71</v>
      </c>
      <c r="G189" s="4" t="s">
        <v>124</v>
      </c>
      <c r="H189" s="4" t="s">
        <v>118</v>
      </c>
      <c r="I189" s="41">
        <v>2050</v>
      </c>
      <c r="J189" s="4" t="s">
        <v>464</v>
      </c>
      <c r="K189" s="15">
        <v>46004</v>
      </c>
      <c r="L189" s="4">
        <v>2025404521</v>
      </c>
      <c r="M189" s="83" t="s">
        <v>222</v>
      </c>
      <c r="N189" s="4">
        <v>2025</v>
      </c>
    </row>
    <row r="190" spans="1:14">
      <c r="A190" s="4">
        <v>189</v>
      </c>
      <c r="B190" s="4" t="s">
        <v>42</v>
      </c>
      <c r="C190" s="4" t="s">
        <v>48</v>
      </c>
      <c r="D190" s="4" t="s">
        <v>60</v>
      </c>
      <c r="E190" s="29" t="s">
        <v>71</v>
      </c>
      <c r="G190" s="4" t="s">
        <v>124</v>
      </c>
      <c r="H190" s="4" t="s">
        <v>118</v>
      </c>
      <c r="I190" s="41">
        <v>1277</v>
      </c>
      <c r="J190" s="4" t="s">
        <v>465</v>
      </c>
      <c r="K190" s="15">
        <v>46004</v>
      </c>
      <c r="L190" s="4">
        <v>2025404489</v>
      </c>
      <c r="M190" s="83" t="s">
        <v>222</v>
      </c>
      <c r="N190" s="4">
        <v>2025</v>
      </c>
    </row>
    <row r="191" spans="1:14">
      <c r="A191" s="4">
        <v>190</v>
      </c>
      <c r="B191" s="4" t="s">
        <v>17</v>
      </c>
      <c r="C191" s="4" t="s">
        <v>22</v>
      </c>
      <c r="D191" s="4" t="s">
        <v>60</v>
      </c>
      <c r="E191" s="29" t="s">
        <v>71</v>
      </c>
      <c r="G191" s="4" t="s">
        <v>124</v>
      </c>
      <c r="H191" s="4" t="s">
        <v>118</v>
      </c>
      <c r="I191" s="41">
        <v>416</v>
      </c>
      <c r="J191" s="4" t="s">
        <v>466</v>
      </c>
      <c r="K191" s="15">
        <v>46005</v>
      </c>
      <c r="L191" s="4">
        <v>2025404491</v>
      </c>
      <c r="M191" s="83" t="s">
        <v>222</v>
      </c>
      <c r="N191" s="4">
        <v>2025</v>
      </c>
    </row>
    <row r="192" spans="1:14">
      <c r="A192" s="4">
        <v>191</v>
      </c>
      <c r="B192" s="4" t="s">
        <v>42</v>
      </c>
      <c r="C192" s="4" t="s">
        <v>48</v>
      </c>
      <c r="D192" s="4" t="s">
        <v>60</v>
      </c>
      <c r="E192" s="29" t="s">
        <v>71</v>
      </c>
      <c r="G192" s="4" t="s">
        <v>124</v>
      </c>
      <c r="H192" s="4" t="s">
        <v>118</v>
      </c>
      <c r="I192" s="41">
        <v>1097.5</v>
      </c>
      <c r="J192" s="4" t="s">
        <v>475</v>
      </c>
      <c r="K192" s="40">
        <v>46004</v>
      </c>
      <c r="L192" s="4">
        <v>2025404494</v>
      </c>
      <c r="M192" s="83" t="s">
        <v>222</v>
      </c>
      <c r="N192" s="4">
        <v>2025</v>
      </c>
    </row>
    <row r="193" spans="1:14">
      <c r="A193" s="4">
        <v>192</v>
      </c>
      <c r="B193" s="4" t="s">
        <v>35</v>
      </c>
      <c r="C193" s="4" t="s">
        <v>37</v>
      </c>
      <c r="D193" s="4" t="s">
        <v>60</v>
      </c>
      <c r="E193" s="29" t="s">
        <v>71</v>
      </c>
      <c r="G193" s="30" t="s">
        <v>124</v>
      </c>
      <c r="H193" s="4" t="s">
        <v>118</v>
      </c>
      <c r="I193" s="41">
        <v>100</v>
      </c>
      <c r="J193" s="30" t="s">
        <v>476</v>
      </c>
      <c r="K193" s="15">
        <v>45994</v>
      </c>
      <c r="L193" s="30">
        <v>2025404410</v>
      </c>
      <c r="M193" s="83" t="s">
        <v>222</v>
      </c>
      <c r="N193" s="4">
        <v>2025</v>
      </c>
    </row>
    <row r="194" spans="1:14">
      <c r="A194" s="4">
        <v>193</v>
      </c>
      <c r="B194" s="4" t="s">
        <v>35</v>
      </c>
      <c r="C194" s="4" t="s">
        <v>37</v>
      </c>
      <c r="D194" s="4" t="s">
        <v>60</v>
      </c>
      <c r="E194" s="29" t="s">
        <v>71</v>
      </c>
      <c r="G194" s="4" t="s">
        <v>124</v>
      </c>
      <c r="H194" s="4" t="s">
        <v>118</v>
      </c>
      <c r="I194" s="41">
        <v>1860.5</v>
      </c>
      <c r="J194" s="4" t="s">
        <v>477</v>
      </c>
      <c r="K194" s="15">
        <v>45994</v>
      </c>
      <c r="L194" s="4">
        <v>2025404409</v>
      </c>
      <c r="M194" s="83" t="s">
        <v>222</v>
      </c>
      <c r="N194" s="4">
        <v>2025</v>
      </c>
    </row>
    <row r="195" spans="1:14">
      <c r="A195" s="4">
        <v>194</v>
      </c>
      <c r="B195" s="4" t="s">
        <v>42</v>
      </c>
      <c r="C195" s="4" t="s">
        <v>48</v>
      </c>
      <c r="D195" s="4" t="s">
        <v>60</v>
      </c>
      <c r="E195" s="29" t="s">
        <v>71</v>
      </c>
      <c r="G195" s="4" t="s">
        <v>124</v>
      </c>
      <c r="H195" s="4" t="s">
        <v>118</v>
      </c>
      <c r="I195" s="41">
        <v>182</v>
      </c>
      <c r="J195" s="4" t="s">
        <v>478</v>
      </c>
      <c r="K195" s="15">
        <v>46005</v>
      </c>
      <c r="L195" s="4">
        <v>2025404532</v>
      </c>
      <c r="M195" s="83" t="s">
        <v>222</v>
      </c>
      <c r="N195" s="4">
        <v>2025</v>
      </c>
    </row>
    <row r="196" spans="1:14">
      <c r="A196" s="4">
        <v>195</v>
      </c>
      <c r="B196" s="4" t="s">
        <v>54</v>
      </c>
      <c r="C196" s="4" t="s">
        <v>55</v>
      </c>
      <c r="D196" s="4" t="s">
        <v>60</v>
      </c>
      <c r="E196" s="4" t="s">
        <v>71</v>
      </c>
      <c r="G196" s="4" t="s">
        <v>124</v>
      </c>
      <c r="H196" s="4" t="s">
        <v>118</v>
      </c>
      <c r="I196" s="41">
        <v>640</v>
      </c>
      <c r="J196" s="4" t="s">
        <v>483</v>
      </c>
      <c r="K196" s="15">
        <v>46004</v>
      </c>
      <c r="L196" s="4">
        <v>2025404498</v>
      </c>
      <c r="M196" s="83" t="s">
        <v>222</v>
      </c>
      <c r="N196" s="4">
        <v>2025</v>
      </c>
    </row>
    <row r="197" spans="1:14">
      <c r="A197" s="4">
        <v>196</v>
      </c>
      <c r="B197" s="4" t="s">
        <v>17</v>
      </c>
      <c r="C197" s="4" t="s">
        <v>92</v>
      </c>
      <c r="D197" s="4" t="s">
        <v>60</v>
      </c>
      <c r="E197" s="29" t="s">
        <v>71</v>
      </c>
      <c r="G197" s="4" t="s">
        <v>124</v>
      </c>
      <c r="H197" s="4" t="s">
        <v>118</v>
      </c>
      <c r="I197" s="41">
        <v>75</v>
      </c>
      <c r="J197" s="4" t="s">
        <v>484</v>
      </c>
      <c r="K197" s="15">
        <v>46004</v>
      </c>
      <c r="L197" s="4">
        <v>2025404526</v>
      </c>
      <c r="M197" s="83" t="s">
        <v>222</v>
      </c>
      <c r="N197" s="4">
        <v>2025</v>
      </c>
    </row>
    <row r="198" spans="1:14">
      <c r="A198" s="4">
        <v>197</v>
      </c>
      <c r="B198" s="4" t="s">
        <v>35</v>
      </c>
      <c r="C198" s="4" t="s">
        <v>36</v>
      </c>
      <c r="D198" s="4" t="s">
        <v>60</v>
      </c>
      <c r="E198" s="29" t="s">
        <v>71</v>
      </c>
      <c r="G198" s="4" t="s">
        <v>124</v>
      </c>
      <c r="H198" s="4" t="s">
        <v>118</v>
      </c>
      <c r="I198" s="41">
        <v>545.79999999999995</v>
      </c>
      <c r="J198" s="4" t="s">
        <v>485</v>
      </c>
      <c r="K198" s="15">
        <v>46009</v>
      </c>
      <c r="L198" s="4">
        <v>2025404591</v>
      </c>
      <c r="M198" s="83" t="s">
        <v>222</v>
      </c>
      <c r="N198" s="4">
        <v>2025</v>
      </c>
    </row>
    <row r="199" spans="1:14">
      <c r="A199" s="4">
        <v>198</v>
      </c>
      <c r="B199" s="4" t="s">
        <v>17</v>
      </c>
      <c r="C199" s="4" t="s">
        <v>25</v>
      </c>
      <c r="D199" s="4" t="s">
        <v>60</v>
      </c>
      <c r="E199" s="4" t="s">
        <v>71</v>
      </c>
      <c r="G199" s="4" t="s">
        <v>124</v>
      </c>
      <c r="H199" s="4" t="s">
        <v>118</v>
      </c>
      <c r="I199" s="41">
        <v>1420</v>
      </c>
      <c r="J199" s="4" t="s">
        <v>486</v>
      </c>
      <c r="K199" s="15">
        <v>46009</v>
      </c>
      <c r="L199" s="4">
        <v>2025404589</v>
      </c>
      <c r="M199" s="83" t="s">
        <v>222</v>
      </c>
      <c r="N199" s="4">
        <v>2025</v>
      </c>
    </row>
    <row r="200" spans="1:14">
      <c r="A200" s="4">
        <v>199</v>
      </c>
      <c r="B200" s="4" t="s">
        <v>35</v>
      </c>
      <c r="C200" s="4" t="s">
        <v>36</v>
      </c>
      <c r="D200" s="4" t="s">
        <v>60</v>
      </c>
      <c r="E200" s="29" t="s">
        <v>71</v>
      </c>
      <c r="G200" s="4" t="s">
        <v>124</v>
      </c>
      <c r="H200" s="4" t="s">
        <v>118</v>
      </c>
      <c r="I200" s="41">
        <v>331</v>
      </c>
      <c r="J200" s="4" t="s">
        <v>487</v>
      </c>
      <c r="K200" s="15">
        <v>46009</v>
      </c>
      <c r="L200" s="4">
        <v>2025404583</v>
      </c>
      <c r="M200" s="83" t="s">
        <v>222</v>
      </c>
      <c r="N200" s="4">
        <v>2025</v>
      </c>
    </row>
    <row r="201" spans="1:14">
      <c r="A201" s="4">
        <v>200</v>
      </c>
      <c r="B201" s="4" t="s">
        <v>35</v>
      </c>
      <c r="C201" s="4" t="s">
        <v>36</v>
      </c>
      <c r="D201" s="4" t="s">
        <v>60</v>
      </c>
      <c r="E201" s="29" t="s">
        <v>71</v>
      </c>
      <c r="G201" s="4" t="s">
        <v>124</v>
      </c>
      <c r="H201" s="4" t="s">
        <v>118</v>
      </c>
      <c r="I201" s="41">
        <v>202</v>
      </c>
      <c r="J201" s="4" t="s">
        <v>488</v>
      </c>
      <c r="K201" s="15">
        <v>46009</v>
      </c>
      <c r="L201" s="4">
        <v>2025404592</v>
      </c>
      <c r="M201" s="83" t="s">
        <v>222</v>
      </c>
      <c r="N201" s="4">
        <v>2025</v>
      </c>
    </row>
    <row r="202" spans="1:14">
      <c r="A202" s="4">
        <v>201</v>
      </c>
      <c r="B202" s="4" t="s">
        <v>42</v>
      </c>
      <c r="C202" s="4" t="s">
        <v>50</v>
      </c>
      <c r="D202" s="4" t="s">
        <v>60</v>
      </c>
      <c r="E202" s="29" t="s">
        <v>71</v>
      </c>
      <c r="G202" s="4" t="s">
        <v>124</v>
      </c>
      <c r="H202" s="4" t="s">
        <v>118</v>
      </c>
      <c r="I202" s="41">
        <v>580</v>
      </c>
      <c r="J202" s="4" t="s">
        <v>489</v>
      </c>
      <c r="K202" s="15">
        <v>46009</v>
      </c>
      <c r="L202" s="4">
        <v>2025404593</v>
      </c>
      <c r="M202" s="83" t="s">
        <v>222</v>
      </c>
      <c r="N202" s="4">
        <v>2025</v>
      </c>
    </row>
    <row r="203" spans="1:14">
      <c r="A203" s="4">
        <v>202</v>
      </c>
      <c r="B203" s="4" t="s">
        <v>42</v>
      </c>
      <c r="C203" s="4" t="s">
        <v>50</v>
      </c>
      <c r="D203" s="4" t="s">
        <v>60</v>
      </c>
      <c r="E203" s="29" t="s">
        <v>71</v>
      </c>
      <c r="G203" s="4" t="s">
        <v>124</v>
      </c>
      <c r="H203" s="4" t="s">
        <v>118</v>
      </c>
      <c r="I203" s="41">
        <v>560</v>
      </c>
      <c r="J203" s="4" t="s">
        <v>490</v>
      </c>
      <c r="K203" s="15">
        <v>46009</v>
      </c>
      <c r="L203" s="4">
        <v>2025404590</v>
      </c>
      <c r="M203" s="83" t="s">
        <v>222</v>
      </c>
      <c r="N203" s="4">
        <v>2025</v>
      </c>
    </row>
    <row r="204" spans="1:14">
      <c r="A204" s="4">
        <v>203</v>
      </c>
      <c r="B204" s="29" t="s">
        <v>42</v>
      </c>
      <c r="C204" s="29" t="s">
        <v>607</v>
      </c>
      <c r="D204" s="4" t="s">
        <v>60</v>
      </c>
      <c r="E204" s="29" t="s">
        <v>71</v>
      </c>
      <c r="G204" s="29" t="s">
        <v>124</v>
      </c>
      <c r="H204" s="4" t="s">
        <v>118</v>
      </c>
      <c r="I204" s="41">
        <v>661.2</v>
      </c>
      <c r="J204" s="4" t="s">
        <v>491</v>
      </c>
      <c r="K204" s="15">
        <v>46009</v>
      </c>
      <c r="L204" s="4">
        <v>2025404584</v>
      </c>
      <c r="M204" s="83" t="s">
        <v>222</v>
      </c>
      <c r="N204" s="4">
        <v>2025</v>
      </c>
    </row>
    <row r="205" spans="1:14">
      <c r="A205" s="4">
        <v>204</v>
      </c>
      <c r="B205" s="4" t="s">
        <v>54</v>
      </c>
      <c r="C205" s="4" t="s">
        <v>95</v>
      </c>
      <c r="D205" s="4" t="s">
        <v>60</v>
      </c>
      <c r="E205" s="4" t="s">
        <v>71</v>
      </c>
      <c r="G205" s="4" t="s">
        <v>124</v>
      </c>
      <c r="H205" s="4" t="s">
        <v>118</v>
      </c>
      <c r="I205" s="41">
        <v>210</v>
      </c>
      <c r="J205" s="4" t="s">
        <v>492</v>
      </c>
      <c r="K205" s="15">
        <v>46009</v>
      </c>
      <c r="L205" s="4">
        <v>2025404597</v>
      </c>
      <c r="M205" s="83" t="s">
        <v>222</v>
      </c>
      <c r="N205" s="4">
        <v>2025</v>
      </c>
    </row>
    <row r="206" spans="1:14">
      <c r="A206" s="4">
        <v>205</v>
      </c>
      <c r="B206" s="4" t="s">
        <v>54</v>
      </c>
      <c r="C206" s="4" t="s">
        <v>95</v>
      </c>
      <c r="D206" s="4" t="s">
        <v>60</v>
      </c>
      <c r="E206" s="29" t="s">
        <v>71</v>
      </c>
      <c r="G206" s="4" t="s">
        <v>124</v>
      </c>
      <c r="H206" s="4" t="s">
        <v>118</v>
      </c>
      <c r="I206" s="41">
        <v>2281</v>
      </c>
      <c r="J206" s="4" t="s">
        <v>493</v>
      </c>
      <c r="K206" s="15">
        <v>46009</v>
      </c>
      <c r="L206" s="4">
        <v>2025404582</v>
      </c>
      <c r="M206" s="83" t="s">
        <v>222</v>
      </c>
      <c r="N206" s="4">
        <v>2025</v>
      </c>
    </row>
    <row r="207" spans="1:14">
      <c r="A207" s="4">
        <v>206</v>
      </c>
      <c r="B207" s="4" t="s">
        <v>35</v>
      </c>
      <c r="C207" s="4" t="s">
        <v>37</v>
      </c>
      <c r="D207" s="4" t="s">
        <v>60</v>
      </c>
      <c r="E207" s="4" t="s">
        <v>71</v>
      </c>
      <c r="G207" s="4" t="s">
        <v>124</v>
      </c>
      <c r="H207" s="4" t="s">
        <v>118</v>
      </c>
      <c r="I207" s="41">
        <v>693.2</v>
      </c>
      <c r="J207" s="4" t="s">
        <v>494</v>
      </c>
      <c r="K207" s="15">
        <v>46009</v>
      </c>
      <c r="L207" s="4">
        <v>2025404601</v>
      </c>
      <c r="M207" s="83" t="s">
        <v>222</v>
      </c>
      <c r="N207" s="4">
        <v>2025</v>
      </c>
    </row>
    <row r="208" spans="1:14">
      <c r="A208" s="4">
        <v>207</v>
      </c>
      <c r="B208" s="4" t="s">
        <v>42</v>
      </c>
      <c r="C208" s="4" t="s">
        <v>43</v>
      </c>
      <c r="D208" s="4" t="s">
        <v>60</v>
      </c>
      <c r="E208" s="29" t="s">
        <v>71</v>
      </c>
      <c r="G208" s="4" t="s">
        <v>124</v>
      </c>
      <c r="H208" s="4" t="s">
        <v>118</v>
      </c>
      <c r="I208" s="41">
        <v>2074</v>
      </c>
      <c r="J208" s="4" t="s">
        <v>495</v>
      </c>
      <c r="K208" s="15">
        <v>46009</v>
      </c>
      <c r="L208" s="4">
        <v>2025404602</v>
      </c>
      <c r="M208" s="83" t="s">
        <v>222</v>
      </c>
      <c r="N208" s="4">
        <v>2025</v>
      </c>
    </row>
    <row r="209" spans="1:14">
      <c r="A209" s="4">
        <v>208</v>
      </c>
      <c r="B209" s="4" t="s">
        <v>54</v>
      </c>
      <c r="C209" s="4" t="s">
        <v>95</v>
      </c>
      <c r="D209" s="4" t="s">
        <v>60</v>
      </c>
      <c r="E209" s="29" t="s">
        <v>71</v>
      </c>
      <c r="G209" s="4" t="s">
        <v>124</v>
      </c>
      <c r="H209" s="4" t="s">
        <v>118</v>
      </c>
      <c r="I209" s="41">
        <v>230</v>
      </c>
      <c r="J209" s="4" t="s">
        <v>496</v>
      </c>
      <c r="K209" s="15">
        <v>46009</v>
      </c>
      <c r="L209" s="4">
        <v>2025404611</v>
      </c>
      <c r="M209" s="83" t="s">
        <v>222</v>
      </c>
      <c r="N209" s="4">
        <v>2025</v>
      </c>
    </row>
    <row r="210" spans="1:14">
      <c r="A210" s="4">
        <v>209</v>
      </c>
      <c r="B210" s="4" t="s">
        <v>42</v>
      </c>
      <c r="C210" s="4" t="s">
        <v>47</v>
      </c>
      <c r="D210" s="4" t="s">
        <v>60</v>
      </c>
      <c r="E210" s="29" t="s">
        <v>71</v>
      </c>
      <c r="G210" s="4" t="s">
        <v>124</v>
      </c>
      <c r="H210" s="4" t="s">
        <v>118</v>
      </c>
      <c r="I210" s="41">
        <v>96</v>
      </c>
      <c r="J210" s="4" t="s">
        <v>497</v>
      </c>
      <c r="K210" s="15">
        <v>46009</v>
      </c>
      <c r="L210" s="4">
        <v>2025404569</v>
      </c>
      <c r="M210" s="83" t="s">
        <v>222</v>
      </c>
      <c r="N210" s="4">
        <v>2025</v>
      </c>
    </row>
    <row r="211" spans="1:14">
      <c r="A211" s="4">
        <v>210</v>
      </c>
      <c r="B211" s="29" t="s">
        <v>42</v>
      </c>
      <c r="C211" s="29" t="s">
        <v>48</v>
      </c>
      <c r="D211" s="4" t="s">
        <v>60</v>
      </c>
      <c r="E211" s="29" t="s">
        <v>71</v>
      </c>
      <c r="G211" s="29" t="s">
        <v>124</v>
      </c>
      <c r="H211" s="4" t="s">
        <v>118</v>
      </c>
      <c r="I211" s="41">
        <v>50</v>
      </c>
      <c r="J211" s="4" t="s">
        <v>498</v>
      </c>
      <c r="K211" s="15">
        <v>46009</v>
      </c>
      <c r="L211" s="4">
        <v>2025404608</v>
      </c>
      <c r="M211" s="83" t="s">
        <v>222</v>
      </c>
      <c r="N211" s="4">
        <v>2025</v>
      </c>
    </row>
    <row r="212" spans="1:14">
      <c r="A212" s="4">
        <v>211</v>
      </c>
      <c r="B212" s="4" t="s">
        <v>42</v>
      </c>
      <c r="C212" s="4" t="s">
        <v>48</v>
      </c>
      <c r="D212" s="4" t="s">
        <v>60</v>
      </c>
      <c r="E212" s="29" t="s">
        <v>71</v>
      </c>
      <c r="G212" s="4" t="s">
        <v>124</v>
      </c>
      <c r="H212" s="4" t="s">
        <v>118</v>
      </c>
      <c r="I212" s="41">
        <v>395.2</v>
      </c>
      <c r="J212" s="4" t="s">
        <v>499</v>
      </c>
      <c r="K212" s="15">
        <v>46009</v>
      </c>
      <c r="L212" s="4">
        <v>2025404567</v>
      </c>
      <c r="M212" s="83" t="s">
        <v>222</v>
      </c>
      <c r="N212" s="4">
        <v>2025</v>
      </c>
    </row>
    <row r="213" spans="1:14">
      <c r="A213" s="4">
        <v>212</v>
      </c>
      <c r="B213" s="4" t="s">
        <v>17</v>
      </c>
      <c r="C213" s="4" t="s">
        <v>25</v>
      </c>
      <c r="D213" s="4" t="s">
        <v>60</v>
      </c>
      <c r="E213" s="4" t="s">
        <v>71</v>
      </c>
      <c r="G213" s="4" t="s">
        <v>124</v>
      </c>
      <c r="H213" s="4" t="s">
        <v>118</v>
      </c>
      <c r="I213" s="36">
        <v>1110</v>
      </c>
      <c r="J213" s="4" t="s">
        <v>500</v>
      </c>
      <c r="K213" s="15">
        <v>46009</v>
      </c>
      <c r="L213" s="4">
        <v>2025404595</v>
      </c>
      <c r="M213" s="83" t="s">
        <v>222</v>
      </c>
      <c r="N213" s="4">
        <v>2025</v>
      </c>
    </row>
    <row r="214" spans="1:14">
      <c r="A214" s="4">
        <v>213</v>
      </c>
      <c r="B214" s="4" t="s">
        <v>54</v>
      </c>
      <c r="C214" s="4" t="s">
        <v>95</v>
      </c>
      <c r="D214" s="4" t="s">
        <v>60</v>
      </c>
      <c r="E214" s="29" t="s">
        <v>71</v>
      </c>
      <c r="G214" s="4" t="s">
        <v>124</v>
      </c>
      <c r="H214" s="4" t="s">
        <v>118</v>
      </c>
      <c r="I214" s="41">
        <v>1600</v>
      </c>
      <c r="J214" s="4" t="s">
        <v>501</v>
      </c>
      <c r="K214" s="15">
        <v>46009</v>
      </c>
      <c r="L214" s="4">
        <v>2025404628</v>
      </c>
      <c r="M214" s="83" t="s">
        <v>222</v>
      </c>
      <c r="N214" s="4">
        <v>2025</v>
      </c>
    </row>
    <row r="215" spans="1:14">
      <c r="A215" s="4">
        <v>214</v>
      </c>
      <c r="B215" s="4" t="s">
        <v>42</v>
      </c>
      <c r="C215" s="4" t="s">
        <v>50</v>
      </c>
      <c r="D215" s="4" t="s">
        <v>60</v>
      </c>
      <c r="E215" s="4" t="s">
        <v>71</v>
      </c>
      <c r="G215" s="4" t="s">
        <v>124</v>
      </c>
      <c r="H215" s="4" t="s">
        <v>118</v>
      </c>
      <c r="I215" s="41">
        <v>175</v>
      </c>
      <c r="J215" s="4" t="s">
        <v>502</v>
      </c>
      <c r="K215" s="15">
        <v>46012</v>
      </c>
      <c r="L215" s="4">
        <v>2025404609</v>
      </c>
      <c r="M215" s="83" t="s">
        <v>222</v>
      </c>
      <c r="N215" s="4">
        <v>2025</v>
      </c>
    </row>
    <row r="216" spans="1:14">
      <c r="A216" s="4">
        <v>215</v>
      </c>
      <c r="B216" s="4" t="s">
        <v>52</v>
      </c>
      <c r="C216" s="4" t="s">
        <v>62</v>
      </c>
      <c r="D216" s="4" t="s">
        <v>60</v>
      </c>
      <c r="E216" s="29" t="s">
        <v>71</v>
      </c>
      <c r="G216" s="4" t="s">
        <v>124</v>
      </c>
      <c r="H216" s="4" t="s">
        <v>118</v>
      </c>
      <c r="I216" s="41">
        <v>701.8</v>
      </c>
      <c r="J216" s="4" t="s">
        <v>503</v>
      </c>
      <c r="K216" s="15">
        <v>46012</v>
      </c>
      <c r="L216" s="4">
        <v>2025404575</v>
      </c>
      <c r="M216" s="83" t="s">
        <v>222</v>
      </c>
      <c r="N216" s="4">
        <v>2025</v>
      </c>
    </row>
    <row r="217" spans="1:14">
      <c r="A217" s="4">
        <v>216</v>
      </c>
      <c r="B217" s="4" t="s">
        <v>54</v>
      </c>
      <c r="C217" s="4" t="s">
        <v>95</v>
      </c>
      <c r="D217" s="4" t="s">
        <v>60</v>
      </c>
      <c r="E217" s="29" t="s">
        <v>71</v>
      </c>
      <c r="G217" s="4" t="s">
        <v>124</v>
      </c>
      <c r="H217" s="4" t="s">
        <v>118</v>
      </c>
      <c r="I217" s="41">
        <v>2250.6</v>
      </c>
      <c r="J217" s="4" t="s">
        <v>504</v>
      </c>
      <c r="K217" s="15">
        <v>46004</v>
      </c>
      <c r="L217" s="4">
        <v>2025404438</v>
      </c>
      <c r="M217" s="83" t="s">
        <v>222</v>
      </c>
      <c r="N217" s="4">
        <v>2025</v>
      </c>
    </row>
    <row r="218" spans="1:14">
      <c r="A218" s="4">
        <v>217</v>
      </c>
      <c r="B218" s="29" t="s">
        <v>42</v>
      </c>
      <c r="C218" s="29" t="s">
        <v>48</v>
      </c>
      <c r="D218" s="4" t="s">
        <v>60</v>
      </c>
      <c r="E218" s="29" t="s">
        <v>71</v>
      </c>
      <c r="G218" s="29" t="s">
        <v>124</v>
      </c>
      <c r="H218" s="4" t="s">
        <v>118</v>
      </c>
      <c r="I218" s="41">
        <v>716.4</v>
      </c>
      <c r="J218" s="4" t="s">
        <v>511</v>
      </c>
      <c r="K218" s="15">
        <v>46018</v>
      </c>
      <c r="L218" s="4">
        <v>2025404680</v>
      </c>
      <c r="M218" s="83" t="s">
        <v>222</v>
      </c>
      <c r="N218" s="4">
        <v>2025</v>
      </c>
    </row>
    <row r="219" spans="1:14">
      <c r="A219" s="4">
        <v>218</v>
      </c>
      <c r="B219" s="4" t="s">
        <v>54</v>
      </c>
      <c r="C219" s="4" t="s">
        <v>55</v>
      </c>
      <c r="D219" s="4" t="s">
        <v>60</v>
      </c>
      <c r="E219" s="29" t="s">
        <v>71</v>
      </c>
      <c r="G219" s="4" t="s">
        <v>124</v>
      </c>
      <c r="H219" s="4" t="s">
        <v>118</v>
      </c>
      <c r="I219" s="41">
        <v>860</v>
      </c>
      <c r="J219" s="4" t="s">
        <v>512</v>
      </c>
      <c r="K219" s="15">
        <v>46018</v>
      </c>
      <c r="L219" s="4">
        <v>2025404665</v>
      </c>
      <c r="M219" s="83" t="s">
        <v>222</v>
      </c>
      <c r="N219" s="4">
        <v>2025</v>
      </c>
    </row>
    <row r="220" spans="1:14">
      <c r="A220" s="4">
        <v>219</v>
      </c>
      <c r="B220" s="4" t="s">
        <v>54</v>
      </c>
      <c r="C220" s="4" t="s">
        <v>55</v>
      </c>
      <c r="D220" s="4" t="s">
        <v>60</v>
      </c>
      <c r="E220" s="29" t="s">
        <v>71</v>
      </c>
      <c r="G220" s="4" t="s">
        <v>124</v>
      </c>
      <c r="H220" s="4" t="s">
        <v>118</v>
      </c>
      <c r="I220" s="41">
        <v>2600</v>
      </c>
      <c r="J220" s="4" t="s">
        <v>513</v>
      </c>
      <c r="K220" s="15">
        <v>46018</v>
      </c>
      <c r="L220" s="4">
        <v>2025404658</v>
      </c>
      <c r="M220" s="83" t="s">
        <v>222</v>
      </c>
      <c r="N220" s="4">
        <v>2025</v>
      </c>
    </row>
    <row r="221" spans="1:14">
      <c r="A221" s="4">
        <v>220</v>
      </c>
      <c r="B221" s="4" t="s">
        <v>52</v>
      </c>
      <c r="C221" s="4" t="s">
        <v>62</v>
      </c>
      <c r="D221" s="4" t="s">
        <v>60</v>
      </c>
      <c r="E221" s="4" t="s">
        <v>71</v>
      </c>
      <c r="G221" s="4" t="s">
        <v>124</v>
      </c>
      <c r="H221" s="4" t="s">
        <v>118</v>
      </c>
      <c r="I221" s="41">
        <v>223</v>
      </c>
      <c r="J221" s="4" t="s">
        <v>514</v>
      </c>
      <c r="K221" s="15">
        <v>46018</v>
      </c>
      <c r="L221" s="4">
        <v>2025404661</v>
      </c>
      <c r="M221" s="83" t="s">
        <v>222</v>
      </c>
      <c r="N221" s="4">
        <v>2025</v>
      </c>
    </row>
    <row r="222" spans="1:14">
      <c r="A222" s="4">
        <v>221</v>
      </c>
      <c r="B222" s="4" t="s">
        <v>42</v>
      </c>
      <c r="C222" s="4" t="s">
        <v>48</v>
      </c>
      <c r="D222" s="4" t="s">
        <v>60</v>
      </c>
      <c r="E222" s="29" t="s">
        <v>71</v>
      </c>
      <c r="G222" s="4" t="s">
        <v>124</v>
      </c>
      <c r="H222" s="4" t="s">
        <v>118</v>
      </c>
      <c r="I222" s="41">
        <v>560</v>
      </c>
      <c r="J222" s="4" t="s">
        <v>515</v>
      </c>
      <c r="K222" s="15">
        <v>46018</v>
      </c>
      <c r="L222" s="4">
        <v>2025404660</v>
      </c>
      <c r="M222" s="83" t="s">
        <v>222</v>
      </c>
      <c r="N222" s="4">
        <v>2025</v>
      </c>
    </row>
    <row r="223" spans="1:14">
      <c r="A223" s="4">
        <v>222</v>
      </c>
      <c r="B223" s="4" t="s">
        <v>17</v>
      </c>
      <c r="C223" s="4" t="s">
        <v>18</v>
      </c>
      <c r="D223" s="4" t="s">
        <v>60</v>
      </c>
      <c r="E223" s="4" t="s">
        <v>71</v>
      </c>
      <c r="G223" s="4" t="s">
        <v>124</v>
      </c>
      <c r="H223" s="4" t="s">
        <v>118</v>
      </c>
      <c r="I223" s="41">
        <v>941.8</v>
      </c>
      <c r="J223" s="4" t="s">
        <v>516</v>
      </c>
      <c r="K223" s="15">
        <v>46018</v>
      </c>
      <c r="L223" s="4">
        <v>2025404564</v>
      </c>
      <c r="M223" s="83" t="s">
        <v>222</v>
      </c>
      <c r="N223" s="4">
        <v>2025</v>
      </c>
    </row>
    <row r="224" spans="1:14">
      <c r="A224" s="4">
        <v>223</v>
      </c>
      <c r="B224" s="4" t="s">
        <v>17</v>
      </c>
      <c r="C224" s="4" t="s">
        <v>22</v>
      </c>
      <c r="D224" s="4" t="s">
        <v>60</v>
      </c>
      <c r="E224" s="29" t="s">
        <v>71</v>
      </c>
      <c r="G224" s="4" t="s">
        <v>124</v>
      </c>
      <c r="H224" s="4" t="s">
        <v>118</v>
      </c>
      <c r="I224" s="41">
        <v>240</v>
      </c>
      <c r="J224" s="4" t="s">
        <v>517</v>
      </c>
      <c r="K224" s="15">
        <v>46018</v>
      </c>
      <c r="L224" s="4">
        <v>2025404657</v>
      </c>
      <c r="M224" s="83" t="s">
        <v>222</v>
      </c>
      <c r="N224" s="4">
        <v>2025</v>
      </c>
    </row>
    <row r="225" spans="1:14">
      <c r="A225" s="4">
        <v>224</v>
      </c>
      <c r="B225" s="4" t="s">
        <v>54</v>
      </c>
      <c r="C225" s="4" t="s">
        <v>95</v>
      </c>
      <c r="D225" s="4" t="s">
        <v>60</v>
      </c>
      <c r="E225" s="29" t="s">
        <v>71</v>
      </c>
      <c r="G225" s="4" t="s">
        <v>124</v>
      </c>
      <c r="H225" s="4" t="s">
        <v>118</v>
      </c>
      <c r="I225" s="41">
        <v>69</v>
      </c>
      <c r="J225" s="4" t="s">
        <v>520</v>
      </c>
      <c r="K225" s="15">
        <v>46018</v>
      </c>
      <c r="L225" s="4">
        <v>2025404687</v>
      </c>
      <c r="M225" s="83" t="s">
        <v>222</v>
      </c>
      <c r="N225" s="4">
        <v>2025</v>
      </c>
    </row>
    <row r="226" spans="1:14">
      <c r="A226" s="4">
        <v>225</v>
      </c>
      <c r="B226" s="4" t="s">
        <v>42</v>
      </c>
      <c r="C226" s="4" t="s">
        <v>48</v>
      </c>
      <c r="D226" s="4" t="s">
        <v>60</v>
      </c>
      <c r="E226" s="29" t="s">
        <v>71</v>
      </c>
      <c r="G226" s="4" t="s">
        <v>124</v>
      </c>
      <c r="H226" s="4" t="s">
        <v>118</v>
      </c>
      <c r="I226" s="41">
        <v>125</v>
      </c>
      <c r="J226" s="4" t="s">
        <v>535</v>
      </c>
      <c r="K226" s="15">
        <v>46018</v>
      </c>
      <c r="L226" s="4">
        <v>2025404679</v>
      </c>
      <c r="M226" s="83" t="s">
        <v>222</v>
      </c>
      <c r="N226" s="4">
        <v>2025</v>
      </c>
    </row>
    <row r="227" spans="1:14">
      <c r="A227" s="4">
        <v>226</v>
      </c>
      <c r="B227" s="4" t="s">
        <v>54</v>
      </c>
      <c r="C227" s="4" t="s">
        <v>95</v>
      </c>
      <c r="D227" s="4" t="s">
        <v>60</v>
      </c>
      <c r="E227" s="29" t="s">
        <v>71</v>
      </c>
      <c r="G227" s="4" t="s">
        <v>124</v>
      </c>
      <c r="H227" s="4" t="s">
        <v>118</v>
      </c>
      <c r="I227" s="41">
        <v>380</v>
      </c>
      <c r="J227" s="4" t="s">
        <v>538</v>
      </c>
      <c r="K227" s="15">
        <v>46018</v>
      </c>
      <c r="L227" s="4">
        <v>2025404720</v>
      </c>
      <c r="M227" s="83" t="s">
        <v>222</v>
      </c>
      <c r="N227" s="4">
        <v>2025</v>
      </c>
    </row>
    <row r="228" spans="1:14">
      <c r="A228" s="4">
        <v>227</v>
      </c>
      <c r="B228" s="4" t="s">
        <v>52</v>
      </c>
      <c r="C228" s="4" t="s">
        <v>62</v>
      </c>
      <c r="D228" s="4" t="s">
        <v>60</v>
      </c>
      <c r="E228" s="29" t="s">
        <v>71</v>
      </c>
      <c r="G228" s="4" t="s">
        <v>124</v>
      </c>
      <c r="H228" s="4" t="s">
        <v>118</v>
      </c>
      <c r="I228" s="41">
        <v>180</v>
      </c>
      <c r="J228" s="4" t="s">
        <v>539</v>
      </c>
      <c r="K228" s="15">
        <v>46018</v>
      </c>
      <c r="L228" s="4">
        <v>2025404688</v>
      </c>
      <c r="M228" s="83" t="s">
        <v>222</v>
      </c>
      <c r="N228" s="4">
        <v>2025</v>
      </c>
    </row>
    <row r="229" spans="1:14">
      <c r="A229" s="4">
        <v>228</v>
      </c>
      <c r="B229" s="4" t="s">
        <v>42</v>
      </c>
      <c r="C229" s="4" t="s">
        <v>48</v>
      </c>
      <c r="D229" s="4" t="s">
        <v>60</v>
      </c>
      <c r="E229" s="29" t="s">
        <v>71</v>
      </c>
      <c r="G229" s="4" t="s">
        <v>124</v>
      </c>
      <c r="H229" s="4" t="s">
        <v>118</v>
      </c>
      <c r="I229" s="41">
        <v>50</v>
      </c>
      <c r="J229" s="4" t="s">
        <v>540</v>
      </c>
      <c r="K229" s="15">
        <v>46009</v>
      </c>
      <c r="L229" s="4">
        <v>2025404610</v>
      </c>
      <c r="M229" s="83" t="s">
        <v>222</v>
      </c>
      <c r="N229" s="4">
        <v>2025</v>
      </c>
    </row>
    <row r="230" spans="1:14">
      <c r="A230" s="4">
        <v>229</v>
      </c>
      <c r="B230" s="4" t="s">
        <v>17</v>
      </c>
      <c r="C230" s="4" t="s">
        <v>22</v>
      </c>
      <c r="D230" s="4" t="s">
        <v>60</v>
      </c>
      <c r="E230" s="29" t="s">
        <v>71</v>
      </c>
      <c r="G230" s="4" t="s">
        <v>124</v>
      </c>
      <c r="H230" s="4" t="s">
        <v>118</v>
      </c>
      <c r="I230" s="41">
        <v>4390</v>
      </c>
      <c r="J230" s="4" t="s">
        <v>541</v>
      </c>
      <c r="K230" s="15">
        <v>46021</v>
      </c>
      <c r="L230" s="4">
        <v>2025402898</v>
      </c>
      <c r="M230" s="83" t="s">
        <v>222</v>
      </c>
      <c r="N230" s="4">
        <v>2025</v>
      </c>
    </row>
    <row r="231" spans="1:14">
      <c r="A231" s="4">
        <v>230</v>
      </c>
      <c r="B231" s="4" t="s">
        <v>52</v>
      </c>
      <c r="C231" s="4" t="s">
        <v>62</v>
      </c>
      <c r="D231" s="4" t="s">
        <v>60</v>
      </c>
      <c r="E231" s="29" t="s">
        <v>71</v>
      </c>
      <c r="G231" s="4" t="s">
        <v>124</v>
      </c>
      <c r="H231" s="4" t="s">
        <v>118</v>
      </c>
      <c r="I231" s="41">
        <v>1430</v>
      </c>
      <c r="J231" s="4" t="s">
        <v>542</v>
      </c>
      <c r="K231" s="15">
        <v>46021</v>
      </c>
      <c r="L231" s="4">
        <v>2025404158</v>
      </c>
      <c r="M231" s="83" t="s">
        <v>222</v>
      </c>
      <c r="N231" s="4">
        <v>2025</v>
      </c>
    </row>
    <row r="232" spans="1:14">
      <c r="A232" s="4">
        <v>231</v>
      </c>
      <c r="B232" s="4" t="s">
        <v>42</v>
      </c>
      <c r="C232" s="4" t="s">
        <v>48</v>
      </c>
      <c r="D232" s="4" t="s">
        <v>60</v>
      </c>
      <c r="E232" s="29" t="s">
        <v>71</v>
      </c>
      <c r="G232" s="4" t="s">
        <v>124</v>
      </c>
      <c r="H232" s="4" t="s">
        <v>118</v>
      </c>
      <c r="I232" s="41">
        <v>170</v>
      </c>
      <c r="J232" s="4" t="s">
        <v>548</v>
      </c>
      <c r="K232" s="15">
        <v>46022</v>
      </c>
      <c r="L232" s="4">
        <v>2025404778</v>
      </c>
      <c r="M232" s="83" t="s">
        <v>222</v>
      </c>
      <c r="N232" s="4">
        <v>2025</v>
      </c>
    </row>
    <row r="233" spans="1:14">
      <c r="A233" s="4">
        <v>232</v>
      </c>
      <c r="B233" s="4" t="s">
        <v>52</v>
      </c>
      <c r="C233" s="4" t="s">
        <v>62</v>
      </c>
      <c r="D233" s="4" t="s">
        <v>60</v>
      </c>
      <c r="E233" s="29" t="s">
        <v>71</v>
      </c>
      <c r="G233" s="4" t="s">
        <v>124</v>
      </c>
      <c r="H233" s="4" t="s">
        <v>118</v>
      </c>
      <c r="I233" s="41">
        <v>229</v>
      </c>
      <c r="J233" s="4" t="s">
        <v>549</v>
      </c>
      <c r="K233" s="15">
        <v>46022</v>
      </c>
      <c r="L233" s="4">
        <v>2025404739</v>
      </c>
      <c r="M233" s="83" t="s">
        <v>222</v>
      </c>
      <c r="N233" s="4">
        <v>2025</v>
      </c>
    </row>
    <row r="234" spans="1:14">
      <c r="A234" s="4">
        <v>233</v>
      </c>
      <c r="B234" s="4" t="s">
        <v>54</v>
      </c>
      <c r="C234" s="4" t="s">
        <v>95</v>
      </c>
      <c r="D234" s="4" t="s">
        <v>60</v>
      </c>
      <c r="E234" s="29" t="s">
        <v>71</v>
      </c>
      <c r="G234" s="4" t="s">
        <v>124</v>
      </c>
      <c r="H234" s="4" t="s">
        <v>118</v>
      </c>
      <c r="I234" s="41">
        <v>1864</v>
      </c>
      <c r="J234" s="4" t="s">
        <v>550</v>
      </c>
      <c r="K234" s="15">
        <v>46022</v>
      </c>
      <c r="L234" s="4">
        <v>2025404728</v>
      </c>
      <c r="M234" s="83" t="s">
        <v>222</v>
      </c>
      <c r="N234" s="4">
        <v>2025</v>
      </c>
    </row>
    <row r="235" spans="1:14">
      <c r="A235" s="4">
        <v>234</v>
      </c>
      <c r="B235" s="4" t="s">
        <v>52</v>
      </c>
      <c r="C235" s="4" t="s">
        <v>62</v>
      </c>
      <c r="D235" s="4" t="s">
        <v>60</v>
      </c>
      <c r="E235" s="29" t="s">
        <v>71</v>
      </c>
      <c r="G235" s="4" t="s">
        <v>124</v>
      </c>
      <c r="H235" s="4" t="s">
        <v>118</v>
      </c>
      <c r="I235" s="41">
        <v>4625</v>
      </c>
      <c r="J235" s="4" t="s">
        <v>552</v>
      </c>
      <c r="K235" s="15">
        <v>46022</v>
      </c>
      <c r="L235" s="4">
        <v>2025404689</v>
      </c>
      <c r="M235" s="83" t="s">
        <v>222</v>
      </c>
      <c r="N235" s="4">
        <v>2025</v>
      </c>
    </row>
    <row r="236" spans="1:14">
      <c r="A236" s="4">
        <v>235</v>
      </c>
      <c r="B236" s="4" t="s">
        <v>42</v>
      </c>
      <c r="C236" s="4" t="s">
        <v>48</v>
      </c>
      <c r="D236" s="4" t="s">
        <v>60</v>
      </c>
      <c r="E236" s="29" t="s">
        <v>71</v>
      </c>
      <c r="G236" s="4" t="s">
        <v>124</v>
      </c>
      <c r="H236" s="4" t="s">
        <v>118</v>
      </c>
      <c r="I236" s="41">
        <v>60</v>
      </c>
      <c r="J236" s="4" t="s">
        <v>555</v>
      </c>
      <c r="K236" s="15">
        <v>46022</v>
      </c>
      <c r="L236" s="4">
        <v>2025404703</v>
      </c>
      <c r="M236" s="83" t="s">
        <v>222</v>
      </c>
      <c r="N236" s="4">
        <v>2025</v>
      </c>
    </row>
    <row r="237" spans="1:14">
      <c r="A237" s="4">
        <v>236</v>
      </c>
      <c r="B237" s="4" t="s">
        <v>42</v>
      </c>
      <c r="C237" s="4" t="s">
        <v>48</v>
      </c>
      <c r="D237" s="4" t="s">
        <v>60</v>
      </c>
      <c r="E237" s="29" t="s">
        <v>71</v>
      </c>
      <c r="G237" s="4" t="s">
        <v>124</v>
      </c>
      <c r="H237" s="4" t="s">
        <v>118</v>
      </c>
      <c r="I237" s="41">
        <v>1960</v>
      </c>
      <c r="J237" s="4" t="s">
        <v>556</v>
      </c>
      <c r="K237" s="15">
        <v>46022</v>
      </c>
      <c r="L237" s="4">
        <v>2025404705</v>
      </c>
      <c r="M237" s="83" t="s">
        <v>222</v>
      </c>
      <c r="N237" s="4">
        <v>2025</v>
      </c>
    </row>
    <row r="238" spans="1:14">
      <c r="A238" s="4">
        <v>237</v>
      </c>
      <c r="B238" s="4" t="s">
        <v>42</v>
      </c>
      <c r="C238" s="4" t="s">
        <v>50</v>
      </c>
      <c r="D238" s="4" t="s">
        <v>60</v>
      </c>
      <c r="E238" s="29" t="s">
        <v>71</v>
      </c>
      <c r="G238" s="4" t="s">
        <v>124</v>
      </c>
      <c r="H238" s="4" t="s">
        <v>118</v>
      </c>
      <c r="I238" s="41">
        <v>1502.9</v>
      </c>
      <c r="J238" s="4" t="s">
        <v>557</v>
      </c>
      <c r="K238" s="15">
        <v>46022</v>
      </c>
      <c r="L238" s="4">
        <v>2025404706</v>
      </c>
      <c r="M238" s="83" t="s">
        <v>222</v>
      </c>
      <c r="N238" s="4">
        <v>2025</v>
      </c>
    </row>
    <row r="239" spans="1:14">
      <c r="A239" s="4">
        <v>238</v>
      </c>
      <c r="B239" s="4" t="s">
        <v>42</v>
      </c>
      <c r="C239" s="4" t="s">
        <v>44</v>
      </c>
      <c r="D239" s="4" t="s">
        <v>60</v>
      </c>
      <c r="E239" s="29" t="s">
        <v>71</v>
      </c>
      <c r="G239" s="4" t="s">
        <v>124</v>
      </c>
      <c r="H239" s="4" t="s">
        <v>118</v>
      </c>
      <c r="I239" s="41">
        <v>270</v>
      </c>
      <c r="J239" s="4" t="s">
        <v>558</v>
      </c>
      <c r="K239" s="15">
        <v>46022</v>
      </c>
      <c r="L239" s="4">
        <v>2025404733</v>
      </c>
      <c r="M239" s="83" t="s">
        <v>222</v>
      </c>
      <c r="N239" s="4">
        <v>2025</v>
      </c>
    </row>
    <row r="240" spans="1:14">
      <c r="A240" s="4">
        <v>239</v>
      </c>
      <c r="B240" s="4" t="s">
        <v>17</v>
      </c>
      <c r="C240" s="4" t="s">
        <v>24</v>
      </c>
      <c r="D240" s="4" t="s">
        <v>60</v>
      </c>
      <c r="E240" s="29" t="s">
        <v>71</v>
      </c>
      <c r="G240" s="4" t="s">
        <v>124</v>
      </c>
      <c r="H240" s="4" t="s">
        <v>118</v>
      </c>
      <c r="I240" s="41">
        <v>2212.9</v>
      </c>
      <c r="J240" s="4" t="s">
        <v>559</v>
      </c>
      <c r="K240" s="15">
        <v>46022</v>
      </c>
      <c r="L240" s="4">
        <v>2025404771</v>
      </c>
      <c r="M240" s="83" t="s">
        <v>222</v>
      </c>
      <c r="N240" s="4">
        <v>2025</v>
      </c>
    </row>
    <row r="241" spans="1:14">
      <c r="A241" s="4">
        <v>240</v>
      </c>
      <c r="B241" s="4" t="s">
        <v>42</v>
      </c>
      <c r="C241" s="4" t="s">
        <v>48</v>
      </c>
      <c r="D241" s="4" t="s">
        <v>60</v>
      </c>
      <c r="E241" s="29" t="s">
        <v>71</v>
      </c>
      <c r="G241" s="4" t="s">
        <v>124</v>
      </c>
      <c r="H241" s="4" t="s">
        <v>118</v>
      </c>
      <c r="I241" s="41">
        <v>620</v>
      </c>
      <c r="J241" s="4" t="s">
        <v>560</v>
      </c>
      <c r="K241" s="15">
        <v>46022</v>
      </c>
      <c r="L241" s="4">
        <v>2025404734</v>
      </c>
      <c r="M241" s="83" t="s">
        <v>222</v>
      </c>
      <c r="N241" s="4">
        <v>2025</v>
      </c>
    </row>
    <row r="242" spans="1:14">
      <c r="A242" s="4">
        <v>241</v>
      </c>
      <c r="B242" s="4" t="s">
        <v>52</v>
      </c>
      <c r="C242" s="4" t="s">
        <v>62</v>
      </c>
      <c r="D242" s="4" t="s">
        <v>60</v>
      </c>
      <c r="E242" s="29" t="s">
        <v>71</v>
      </c>
      <c r="G242" s="4" t="s">
        <v>124</v>
      </c>
      <c r="H242" s="4" t="s">
        <v>118</v>
      </c>
      <c r="I242" s="41">
        <v>1467.8</v>
      </c>
      <c r="J242" s="4" t="s">
        <v>561</v>
      </c>
      <c r="K242" s="15">
        <v>46022</v>
      </c>
      <c r="L242" s="4">
        <v>2025404757</v>
      </c>
      <c r="M242" s="83" t="s">
        <v>222</v>
      </c>
      <c r="N242" s="4">
        <v>2025</v>
      </c>
    </row>
    <row r="243" spans="1:14">
      <c r="A243" s="4">
        <v>242</v>
      </c>
      <c r="B243" s="4" t="s">
        <v>54</v>
      </c>
      <c r="C243" s="4" t="s">
        <v>95</v>
      </c>
      <c r="D243" s="4" t="s">
        <v>60</v>
      </c>
      <c r="E243" s="29" t="s">
        <v>71</v>
      </c>
      <c r="G243" s="4" t="s">
        <v>124</v>
      </c>
      <c r="H243" s="4" t="s">
        <v>118</v>
      </c>
      <c r="I243" s="41">
        <v>1010.8</v>
      </c>
      <c r="J243" s="4" t="s">
        <v>562</v>
      </c>
      <c r="K243" s="15">
        <v>46022</v>
      </c>
      <c r="L243" s="4">
        <v>2025404702</v>
      </c>
      <c r="M243" s="83" t="s">
        <v>222</v>
      </c>
      <c r="N243" s="4">
        <v>2025</v>
      </c>
    </row>
    <row r="244" spans="1:14">
      <c r="A244" s="4">
        <v>243</v>
      </c>
      <c r="B244" s="4" t="s">
        <v>54</v>
      </c>
      <c r="C244" s="4" t="s">
        <v>95</v>
      </c>
      <c r="D244" s="4" t="s">
        <v>60</v>
      </c>
      <c r="E244" s="29" t="s">
        <v>71</v>
      </c>
      <c r="G244" s="4" t="s">
        <v>124</v>
      </c>
      <c r="H244" s="4" t="s">
        <v>118</v>
      </c>
      <c r="I244" s="41">
        <v>400</v>
      </c>
      <c r="J244" s="4" t="s">
        <v>563</v>
      </c>
      <c r="K244" s="15">
        <v>46022</v>
      </c>
      <c r="L244" s="4">
        <v>2025404754</v>
      </c>
      <c r="M244" s="83" t="s">
        <v>222</v>
      </c>
      <c r="N244" s="4">
        <v>2025</v>
      </c>
    </row>
    <row r="245" spans="1:14">
      <c r="A245" s="4">
        <v>244</v>
      </c>
      <c r="B245" s="4" t="s">
        <v>17</v>
      </c>
      <c r="C245" s="4" t="s">
        <v>22</v>
      </c>
      <c r="D245" s="4" t="s">
        <v>60</v>
      </c>
      <c r="E245" s="29" t="s">
        <v>71</v>
      </c>
      <c r="G245" s="4" t="s">
        <v>124</v>
      </c>
      <c r="H245" s="4" t="s">
        <v>118</v>
      </c>
      <c r="I245" s="41">
        <v>170</v>
      </c>
      <c r="J245" s="4" t="s">
        <v>564</v>
      </c>
      <c r="K245" s="15">
        <v>46022</v>
      </c>
      <c r="L245" s="4">
        <v>2025404744</v>
      </c>
      <c r="M245" s="83" t="s">
        <v>222</v>
      </c>
      <c r="N245" s="4">
        <v>2025</v>
      </c>
    </row>
    <row r="246" spans="1:14">
      <c r="A246" s="4">
        <v>245</v>
      </c>
      <c r="B246" s="4" t="s">
        <v>42</v>
      </c>
      <c r="C246" s="4" t="s">
        <v>45</v>
      </c>
      <c r="D246" s="4" t="s">
        <v>60</v>
      </c>
      <c r="E246" s="29" t="s">
        <v>71</v>
      </c>
      <c r="G246" s="4" t="s">
        <v>124</v>
      </c>
      <c r="H246" s="4" t="s">
        <v>118</v>
      </c>
      <c r="I246" s="41">
        <v>1600</v>
      </c>
      <c r="J246" s="4" t="s">
        <v>565</v>
      </c>
      <c r="K246" s="15">
        <v>46022</v>
      </c>
      <c r="L246" s="4">
        <v>2025404735</v>
      </c>
      <c r="M246" s="83" t="s">
        <v>222</v>
      </c>
      <c r="N246" s="4">
        <v>2025</v>
      </c>
    </row>
    <row r="247" spans="1:14">
      <c r="A247" s="4">
        <v>246</v>
      </c>
      <c r="B247" s="4" t="s">
        <v>35</v>
      </c>
      <c r="C247" s="4" t="s">
        <v>36</v>
      </c>
      <c r="D247" s="4" t="s">
        <v>60</v>
      </c>
      <c r="E247" s="29" t="s">
        <v>71</v>
      </c>
      <c r="G247" s="4" t="s">
        <v>124</v>
      </c>
      <c r="H247" s="4" t="s">
        <v>118</v>
      </c>
      <c r="I247" s="41">
        <v>290</v>
      </c>
      <c r="J247" s="4" t="s">
        <v>566</v>
      </c>
      <c r="K247" s="15">
        <v>46022</v>
      </c>
      <c r="L247" s="4">
        <v>2025404772</v>
      </c>
      <c r="M247" s="83" t="s">
        <v>222</v>
      </c>
      <c r="N247" s="4">
        <v>2025</v>
      </c>
    </row>
    <row r="248" spans="1:14">
      <c r="A248" s="4">
        <v>247</v>
      </c>
      <c r="B248" s="4" t="s">
        <v>17</v>
      </c>
      <c r="C248" s="4" t="s">
        <v>23</v>
      </c>
      <c r="D248" s="4" t="s">
        <v>60</v>
      </c>
      <c r="E248" s="29" t="s">
        <v>71</v>
      </c>
      <c r="G248" s="4" t="s">
        <v>124</v>
      </c>
      <c r="H248" s="4" t="s">
        <v>118</v>
      </c>
      <c r="I248" s="41">
        <v>101</v>
      </c>
      <c r="J248" s="4" t="s">
        <v>567</v>
      </c>
      <c r="K248" s="15">
        <v>46022</v>
      </c>
      <c r="L248" s="4">
        <v>2025404741</v>
      </c>
      <c r="M248" s="83" t="s">
        <v>222</v>
      </c>
      <c r="N248" s="4">
        <v>2025</v>
      </c>
    </row>
    <row r="249" spans="1:14">
      <c r="A249" s="4">
        <v>248</v>
      </c>
      <c r="B249" s="4" t="s">
        <v>17</v>
      </c>
      <c r="C249" s="4" t="s">
        <v>25</v>
      </c>
      <c r="D249" s="4" t="s">
        <v>60</v>
      </c>
      <c r="E249" s="29" t="s">
        <v>71</v>
      </c>
      <c r="G249" s="4" t="s">
        <v>124</v>
      </c>
      <c r="H249" s="4" t="s">
        <v>118</v>
      </c>
      <c r="I249" s="41">
        <v>2197.1999999999998</v>
      </c>
      <c r="J249" s="4" t="s">
        <v>568</v>
      </c>
      <c r="K249" s="15">
        <v>46022</v>
      </c>
      <c r="L249" s="4">
        <v>2025404736</v>
      </c>
      <c r="M249" s="83" t="s">
        <v>222</v>
      </c>
      <c r="N249" s="4">
        <v>2025</v>
      </c>
    </row>
    <row r="250" spans="1:14">
      <c r="A250" s="4">
        <v>249</v>
      </c>
      <c r="B250" s="4" t="s">
        <v>54</v>
      </c>
      <c r="C250" s="4" t="s">
        <v>55</v>
      </c>
      <c r="D250" s="4" t="s">
        <v>60</v>
      </c>
      <c r="E250" s="29" t="s">
        <v>71</v>
      </c>
      <c r="G250" s="4" t="s">
        <v>124</v>
      </c>
      <c r="H250" s="4" t="s">
        <v>118</v>
      </c>
      <c r="I250" s="41">
        <v>1998.5</v>
      </c>
      <c r="J250" s="4" t="s">
        <v>569</v>
      </c>
      <c r="K250" s="15">
        <v>46022</v>
      </c>
      <c r="L250" s="4">
        <v>2025403491</v>
      </c>
      <c r="M250" s="83" t="s">
        <v>222</v>
      </c>
      <c r="N250" s="4">
        <v>2025</v>
      </c>
    </row>
    <row r="251" spans="1:14">
      <c r="A251" s="4">
        <v>250</v>
      </c>
      <c r="B251" s="4" t="s">
        <v>42</v>
      </c>
      <c r="C251" s="4" t="s">
        <v>50</v>
      </c>
      <c r="D251" s="4" t="s">
        <v>60</v>
      </c>
      <c r="E251" s="29" t="s">
        <v>71</v>
      </c>
      <c r="G251" s="4" t="s">
        <v>124</v>
      </c>
      <c r="H251" s="4" t="s">
        <v>118</v>
      </c>
      <c r="I251" s="41">
        <v>680.9</v>
      </c>
      <c r="J251" s="4" t="s">
        <v>570</v>
      </c>
      <c r="K251" s="15">
        <v>46022</v>
      </c>
      <c r="L251" s="4">
        <v>2025404722</v>
      </c>
      <c r="M251" s="83" t="s">
        <v>222</v>
      </c>
      <c r="N251" s="4">
        <v>2025</v>
      </c>
    </row>
    <row r="252" spans="1:14">
      <c r="A252" s="4">
        <v>251</v>
      </c>
      <c r="B252" s="4" t="s">
        <v>42</v>
      </c>
      <c r="C252" s="4" t="s">
        <v>50</v>
      </c>
      <c r="D252" s="4" t="s">
        <v>60</v>
      </c>
      <c r="E252" s="29" t="s">
        <v>71</v>
      </c>
      <c r="G252" s="4" t="s">
        <v>124</v>
      </c>
      <c r="H252" s="4" t="s">
        <v>118</v>
      </c>
      <c r="I252" s="41">
        <v>970</v>
      </c>
      <c r="J252" s="4" t="s">
        <v>571</v>
      </c>
      <c r="K252" s="15">
        <v>46022</v>
      </c>
      <c r="L252" s="4">
        <v>2025404721</v>
      </c>
      <c r="M252" s="83" t="s">
        <v>222</v>
      </c>
      <c r="N252" s="4">
        <v>2025</v>
      </c>
    </row>
    <row r="253" spans="1:14">
      <c r="A253" s="4">
        <v>252</v>
      </c>
      <c r="B253" s="4" t="s">
        <v>17</v>
      </c>
      <c r="C253" s="4" t="s">
        <v>24</v>
      </c>
      <c r="D253" s="4" t="s">
        <v>60</v>
      </c>
      <c r="E253" s="29" t="s">
        <v>71</v>
      </c>
      <c r="G253" s="4" t="s">
        <v>124</v>
      </c>
      <c r="H253" s="4" t="s">
        <v>118</v>
      </c>
      <c r="I253" s="41">
        <v>726</v>
      </c>
      <c r="J253" s="4" t="s">
        <v>572</v>
      </c>
      <c r="K253" s="15">
        <v>46022</v>
      </c>
      <c r="L253" s="4">
        <v>2025404773</v>
      </c>
      <c r="M253" s="83" t="s">
        <v>222</v>
      </c>
      <c r="N253" s="4">
        <v>2025</v>
      </c>
    </row>
    <row r="254" spans="1:14">
      <c r="A254" s="4">
        <v>253</v>
      </c>
      <c r="B254" s="4" t="s">
        <v>54</v>
      </c>
      <c r="C254" s="4" t="s">
        <v>95</v>
      </c>
      <c r="D254" s="4" t="s">
        <v>60</v>
      </c>
      <c r="E254" s="29" t="s">
        <v>71</v>
      </c>
      <c r="G254" s="4" t="s">
        <v>124</v>
      </c>
      <c r="H254" s="4" t="s">
        <v>118</v>
      </c>
      <c r="I254" s="41">
        <v>1784.4</v>
      </c>
      <c r="J254" s="4" t="s">
        <v>575</v>
      </c>
      <c r="K254" s="15">
        <v>46022</v>
      </c>
      <c r="L254" s="4">
        <v>2025404737</v>
      </c>
      <c r="M254" s="83" t="s">
        <v>222</v>
      </c>
      <c r="N254" s="4">
        <v>2025</v>
      </c>
    </row>
    <row r="255" spans="1:14">
      <c r="A255" s="4">
        <v>254</v>
      </c>
      <c r="B255" s="4" t="s">
        <v>42</v>
      </c>
      <c r="C255" s="4" t="s">
        <v>50</v>
      </c>
      <c r="D255" s="4" t="s">
        <v>60</v>
      </c>
      <c r="E255" s="29" t="s">
        <v>71</v>
      </c>
      <c r="G255" s="4" t="s">
        <v>124</v>
      </c>
      <c r="H255" s="4" t="s">
        <v>118</v>
      </c>
      <c r="I255" s="41">
        <v>150</v>
      </c>
      <c r="J255" s="4" t="s">
        <v>583</v>
      </c>
      <c r="K255" s="15">
        <v>46032</v>
      </c>
      <c r="L255" s="4">
        <v>2025404866</v>
      </c>
      <c r="M255" s="83" t="s">
        <v>222</v>
      </c>
      <c r="N255" s="4">
        <v>2025</v>
      </c>
    </row>
    <row r="256" spans="1:14">
      <c r="A256" s="4">
        <v>255</v>
      </c>
      <c r="B256" s="4" t="s">
        <v>42</v>
      </c>
      <c r="C256" s="4" t="s">
        <v>48</v>
      </c>
      <c r="D256" s="4" t="s">
        <v>60</v>
      </c>
      <c r="E256" s="29" t="s">
        <v>71</v>
      </c>
      <c r="G256" s="4" t="s">
        <v>124</v>
      </c>
      <c r="H256" s="4" t="s">
        <v>118</v>
      </c>
      <c r="I256" s="41">
        <v>326</v>
      </c>
      <c r="J256" s="4" t="s">
        <v>584</v>
      </c>
      <c r="K256" s="15">
        <v>46032</v>
      </c>
      <c r="L256" s="4">
        <v>2025404855</v>
      </c>
      <c r="M256" s="83" t="s">
        <v>222</v>
      </c>
      <c r="N256" s="4">
        <v>2025</v>
      </c>
    </row>
    <row r="257" spans="1:14">
      <c r="A257" s="4">
        <v>256</v>
      </c>
      <c r="B257" s="4" t="s">
        <v>54</v>
      </c>
      <c r="C257" s="4" t="s">
        <v>55</v>
      </c>
      <c r="D257" s="4" t="s">
        <v>60</v>
      </c>
      <c r="E257" s="29" t="s">
        <v>71</v>
      </c>
      <c r="G257" s="4" t="s">
        <v>124</v>
      </c>
      <c r="H257" s="4" t="s">
        <v>118</v>
      </c>
      <c r="I257" s="41">
        <v>450</v>
      </c>
      <c r="J257" s="4" t="s">
        <v>585</v>
      </c>
      <c r="K257" s="15">
        <v>46032</v>
      </c>
      <c r="L257" s="4">
        <v>2025404857</v>
      </c>
      <c r="M257" s="83" t="s">
        <v>222</v>
      </c>
      <c r="N257" s="4">
        <v>2025</v>
      </c>
    </row>
    <row r="258" spans="1:14">
      <c r="A258" s="4">
        <v>257</v>
      </c>
      <c r="B258" s="4" t="s">
        <v>54</v>
      </c>
      <c r="C258" s="4" t="s">
        <v>55</v>
      </c>
      <c r="D258" s="4" t="s">
        <v>60</v>
      </c>
      <c r="E258" s="29" t="s">
        <v>71</v>
      </c>
      <c r="G258" s="4" t="s">
        <v>124</v>
      </c>
      <c r="H258" s="4" t="s">
        <v>118</v>
      </c>
      <c r="I258" s="41">
        <v>2830</v>
      </c>
      <c r="J258" s="4" t="s">
        <v>586</v>
      </c>
      <c r="K258" s="15">
        <v>46032</v>
      </c>
      <c r="L258" s="4">
        <v>2025404655</v>
      </c>
      <c r="M258" s="83" t="s">
        <v>222</v>
      </c>
      <c r="N258" s="4">
        <v>2025</v>
      </c>
    </row>
    <row r="259" spans="1:14">
      <c r="A259" s="4">
        <v>258</v>
      </c>
      <c r="B259" s="4" t="s">
        <v>17</v>
      </c>
      <c r="C259" s="4" t="s">
        <v>22</v>
      </c>
      <c r="D259" s="4" t="s">
        <v>60</v>
      </c>
      <c r="E259" s="29" t="s">
        <v>71</v>
      </c>
      <c r="G259" s="4" t="s">
        <v>124</v>
      </c>
      <c r="H259" s="4" t="s">
        <v>118</v>
      </c>
      <c r="I259" s="41">
        <v>430</v>
      </c>
      <c r="J259" s="4" t="s">
        <v>588</v>
      </c>
      <c r="K259" s="15">
        <v>46032</v>
      </c>
      <c r="L259" s="4">
        <v>2026400012</v>
      </c>
      <c r="M259" s="83" t="s">
        <v>222</v>
      </c>
      <c r="N259" s="4">
        <v>2025</v>
      </c>
    </row>
    <row r="260" spans="1:14">
      <c r="A260" s="4">
        <v>259</v>
      </c>
      <c r="B260" s="4" t="s">
        <v>52</v>
      </c>
      <c r="C260" s="4" t="s">
        <v>62</v>
      </c>
      <c r="D260" s="4" t="s">
        <v>60</v>
      </c>
      <c r="E260" s="29" t="s">
        <v>71</v>
      </c>
      <c r="G260" s="4" t="s">
        <v>124</v>
      </c>
      <c r="H260" s="4" t="s">
        <v>118</v>
      </c>
      <c r="I260" s="41">
        <v>1679.8</v>
      </c>
      <c r="J260" s="4" t="s">
        <v>594</v>
      </c>
      <c r="K260" s="15">
        <v>46032</v>
      </c>
      <c r="L260" s="4">
        <v>2025404813</v>
      </c>
      <c r="M260" s="83" t="s">
        <v>222</v>
      </c>
      <c r="N260" s="4">
        <v>2025</v>
      </c>
    </row>
    <row r="261" spans="1:14">
      <c r="A261" s="4">
        <v>260</v>
      </c>
      <c r="B261" s="4" t="s">
        <v>54</v>
      </c>
      <c r="C261" s="4" t="s">
        <v>55</v>
      </c>
      <c r="D261" s="4" t="s">
        <v>60</v>
      </c>
      <c r="E261" s="29" t="s">
        <v>71</v>
      </c>
      <c r="G261" s="4" t="s">
        <v>124</v>
      </c>
      <c r="H261" s="4" t="s">
        <v>118</v>
      </c>
      <c r="I261" s="41">
        <v>800</v>
      </c>
      <c r="J261" s="4" t="s">
        <v>595</v>
      </c>
      <c r="K261" s="15">
        <v>46030</v>
      </c>
      <c r="L261" s="4">
        <v>2025404853</v>
      </c>
      <c r="M261" s="83" t="s">
        <v>222</v>
      </c>
      <c r="N261" s="4">
        <v>2025</v>
      </c>
    </row>
    <row r="262" spans="1:14">
      <c r="A262" s="4">
        <v>261</v>
      </c>
      <c r="B262" s="4" t="s">
        <v>52</v>
      </c>
      <c r="C262" s="4" t="s">
        <v>62</v>
      </c>
      <c r="D262" s="4" t="s">
        <v>60</v>
      </c>
      <c r="E262" s="83" t="s">
        <v>71</v>
      </c>
      <c r="G262" s="4" t="s">
        <v>124</v>
      </c>
      <c r="H262" s="4" t="s">
        <v>118</v>
      </c>
      <c r="I262" s="41">
        <v>555</v>
      </c>
      <c r="J262" s="4" t="s">
        <v>596</v>
      </c>
      <c r="K262" s="15">
        <v>46032</v>
      </c>
      <c r="L262" s="4">
        <v>2025404829</v>
      </c>
      <c r="M262" s="83" t="s">
        <v>222</v>
      </c>
      <c r="N262" s="4">
        <v>2025</v>
      </c>
    </row>
    <row r="263" spans="1:14">
      <c r="A263" s="4">
        <v>262</v>
      </c>
      <c r="B263" s="4" t="s">
        <v>17</v>
      </c>
      <c r="C263" s="4" t="s">
        <v>22</v>
      </c>
      <c r="D263" s="4" t="s">
        <v>60</v>
      </c>
      <c r="E263" s="29" t="s">
        <v>71</v>
      </c>
      <c r="G263" s="4" t="s">
        <v>124</v>
      </c>
      <c r="H263" s="4" t="s">
        <v>118</v>
      </c>
      <c r="I263" s="41">
        <v>94</v>
      </c>
      <c r="J263" s="4" t="s">
        <v>597</v>
      </c>
      <c r="K263" s="15">
        <v>46033</v>
      </c>
      <c r="L263" s="4">
        <v>2026400010</v>
      </c>
      <c r="M263" s="83" t="s">
        <v>222</v>
      </c>
      <c r="N263" s="4">
        <v>2025</v>
      </c>
    </row>
    <row r="264" spans="1:14">
      <c r="A264" s="4">
        <v>263</v>
      </c>
      <c r="B264" s="4" t="s">
        <v>17</v>
      </c>
      <c r="C264" s="4" t="s">
        <v>25</v>
      </c>
      <c r="D264" s="4" t="s">
        <v>60</v>
      </c>
      <c r="E264" s="29" t="s">
        <v>71</v>
      </c>
      <c r="G264" s="4" t="s">
        <v>124</v>
      </c>
      <c r="H264" s="4" t="s">
        <v>118</v>
      </c>
      <c r="I264" s="41">
        <v>2620</v>
      </c>
      <c r="J264" s="4" t="s">
        <v>598</v>
      </c>
      <c r="K264" s="15">
        <v>46032</v>
      </c>
      <c r="L264" s="4">
        <v>2025404871</v>
      </c>
      <c r="M264" s="83" t="s">
        <v>222</v>
      </c>
      <c r="N264" s="4">
        <v>2025</v>
      </c>
    </row>
    <row r="265" spans="1:14">
      <c r="A265" s="4">
        <v>264</v>
      </c>
      <c r="B265" s="4" t="s">
        <v>42</v>
      </c>
      <c r="C265" s="4" t="s">
        <v>50</v>
      </c>
      <c r="D265" s="4" t="s">
        <v>60</v>
      </c>
      <c r="E265" s="29" t="s">
        <v>71</v>
      </c>
      <c r="G265" s="4" t="s">
        <v>124</v>
      </c>
      <c r="H265" s="4" t="s">
        <v>118</v>
      </c>
      <c r="I265" s="41">
        <v>1600</v>
      </c>
      <c r="J265" s="4" t="s">
        <v>599</v>
      </c>
      <c r="K265" s="15">
        <v>46032</v>
      </c>
      <c r="L265" s="4">
        <v>2025404768</v>
      </c>
      <c r="M265" s="83" t="s">
        <v>222</v>
      </c>
      <c r="N265" s="4">
        <v>2025</v>
      </c>
    </row>
    <row r="266" spans="1:14">
      <c r="A266" s="4">
        <v>265</v>
      </c>
      <c r="B266" s="4" t="s">
        <v>52</v>
      </c>
      <c r="C266" s="4" t="s">
        <v>62</v>
      </c>
      <c r="D266" s="4" t="s">
        <v>60</v>
      </c>
      <c r="E266" s="29" t="s">
        <v>71</v>
      </c>
      <c r="G266" s="4" t="s">
        <v>124</v>
      </c>
      <c r="H266" s="4" t="s">
        <v>118</v>
      </c>
      <c r="I266" s="41">
        <v>370</v>
      </c>
      <c r="J266" s="4" t="s">
        <v>600</v>
      </c>
      <c r="K266" s="15">
        <v>46032</v>
      </c>
      <c r="L266" s="4">
        <v>2025404876</v>
      </c>
      <c r="M266" s="83" t="s">
        <v>222</v>
      </c>
      <c r="N266" s="4">
        <v>2025</v>
      </c>
    </row>
    <row r="267" spans="1:14">
      <c r="A267" s="4">
        <v>266</v>
      </c>
      <c r="B267" s="4" t="s">
        <v>52</v>
      </c>
      <c r="C267" s="4" t="s">
        <v>62</v>
      </c>
      <c r="D267" s="4" t="s">
        <v>60</v>
      </c>
      <c r="E267" s="29" t="s">
        <v>71</v>
      </c>
      <c r="G267" s="4" t="s">
        <v>124</v>
      </c>
      <c r="H267" s="4" t="s">
        <v>118</v>
      </c>
      <c r="I267" s="41">
        <v>330</v>
      </c>
      <c r="J267" s="4" t="s">
        <v>601</v>
      </c>
      <c r="K267" s="15">
        <v>46033</v>
      </c>
      <c r="L267" s="4">
        <v>2025404875</v>
      </c>
      <c r="M267" s="83" t="s">
        <v>222</v>
      </c>
      <c r="N267" s="4">
        <v>2025</v>
      </c>
    </row>
    <row r="268" spans="1:14">
      <c r="A268" s="4">
        <v>267</v>
      </c>
      <c r="B268" s="4" t="s">
        <v>35</v>
      </c>
      <c r="C268" s="4" t="s">
        <v>41</v>
      </c>
      <c r="D268" s="4" t="s">
        <v>60</v>
      </c>
      <c r="E268" s="29" t="s">
        <v>71</v>
      </c>
      <c r="G268" s="4" t="s">
        <v>124</v>
      </c>
      <c r="H268" s="4" t="s">
        <v>118</v>
      </c>
      <c r="I268" s="41">
        <v>45.5</v>
      </c>
      <c r="J268" s="4" t="s">
        <v>602</v>
      </c>
      <c r="K268" s="15">
        <v>46032</v>
      </c>
      <c r="L268" s="4">
        <v>2025404864</v>
      </c>
      <c r="M268" s="83" t="s">
        <v>222</v>
      </c>
      <c r="N268" s="4">
        <v>2025</v>
      </c>
    </row>
    <row r="269" spans="1:14">
      <c r="A269" s="4">
        <v>268</v>
      </c>
      <c r="B269" s="4" t="s">
        <v>42</v>
      </c>
      <c r="C269" s="4" t="s">
        <v>48</v>
      </c>
      <c r="D269" s="4" t="s">
        <v>60</v>
      </c>
      <c r="E269" s="29" t="s">
        <v>71</v>
      </c>
      <c r="G269" s="4" t="s">
        <v>124</v>
      </c>
      <c r="H269" s="4" t="s">
        <v>118</v>
      </c>
      <c r="I269" s="41">
        <v>2650</v>
      </c>
      <c r="J269" s="4" t="s">
        <v>603</v>
      </c>
      <c r="K269" s="15">
        <v>46032</v>
      </c>
      <c r="L269" s="4">
        <v>2025404867</v>
      </c>
      <c r="M269" s="83" t="s">
        <v>222</v>
      </c>
      <c r="N269" s="4">
        <v>2025</v>
      </c>
    </row>
    <row r="270" spans="1:14">
      <c r="A270" s="4">
        <v>269</v>
      </c>
      <c r="B270" s="4" t="s">
        <v>54</v>
      </c>
      <c r="C270" s="4" t="s">
        <v>95</v>
      </c>
      <c r="D270" s="4" t="s">
        <v>60</v>
      </c>
      <c r="E270" s="29" t="s">
        <v>71</v>
      </c>
      <c r="G270" s="4" t="s">
        <v>124</v>
      </c>
      <c r="H270" s="4" t="s">
        <v>118</v>
      </c>
      <c r="I270" s="41">
        <v>1300</v>
      </c>
      <c r="J270" s="4" t="s">
        <v>604</v>
      </c>
      <c r="K270" s="15">
        <v>46030</v>
      </c>
      <c r="L270" s="4">
        <v>2025404840</v>
      </c>
      <c r="M270" s="83" t="s">
        <v>222</v>
      </c>
      <c r="N270" s="4">
        <v>2025</v>
      </c>
    </row>
    <row r="271" spans="1:14">
      <c r="A271" s="4">
        <v>270</v>
      </c>
      <c r="B271" s="4" t="s">
        <v>42</v>
      </c>
      <c r="C271" s="4" t="s">
        <v>50</v>
      </c>
      <c r="D271" s="4" t="s">
        <v>60</v>
      </c>
      <c r="E271" s="29" t="s">
        <v>71</v>
      </c>
      <c r="G271" s="4" t="s">
        <v>124</v>
      </c>
      <c r="H271" s="4" t="s">
        <v>118</v>
      </c>
      <c r="I271" s="41">
        <v>1034.7</v>
      </c>
      <c r="J271" s="4" t="s">
        <v>606</v>
      </c>
      <c r="K271" s="15">
        <v>46030</v>
      </c>
      <c r="L271" s="4">
        <v>2025404786</v>
      </c>
      <c r="M271" s="83" t="s">
        <v>222</v>
      </c>
      <c r="N271" s="4">
        <v>2025</v>
      </c>
    </row>
    <row r="272" spans="1:14">
      <c r="B272" s="4" t="s">
        <v>17</v>
      </c>
      <c r="C272" s="4" t="s">
        <v>25</v>
      </c>
      <c r="D272" s="4" t="s">
        <v>60</v>
      </c>
      <c r="E272" s="4" t="s">
        <v>71</v>
      </c>
      <c r="G272" s="4" t="s">
        <v>337</v>
      </c>
      <c r="H272" s="4" t="s">
        <v>118</v>
      </c>
      <c r="I272" s="41">
        <v>1196.5517241379309</v>
      </c>
      <c r="J272" s="4" t="s">
        <v>764</v>
      </c>
      <c r="K272" s="15">
        <v>46014</v>
      </c>
      <c r="L272" s="4">
        <v>2026400078</v>
      </c>
      <c r="M272" s="83" t="s">
        <v>222</v>
      </c>
      <c r="N272" s="4">
        <v>2025</v>
      </c>
    </row>
    <row r="273" spans="2:14">
      <c r="B273" s="4" t="s">
        <v>35</v>
      </c>
      <c r="C273" s="4" t="s">
        <v>36</v>
      </c>
      <c r="D273" s="4" t="s">
        <v>60</v>
      </c>
      <c r="E273" s="4" t="s">
        <v>71</v>
      </c>
      <c r="G273" s="4" t="s">
        <v>120</v>
      </c>
      <c r="H273" s="4" t="s">
        <v>118</v>
      </c>
      <c r="I273" s="41">
        <v>58.620689655172413</v>
      </c>
      <c r="J273" s="4" t="s">
        <v>765</v>
      </c>
      <c r="K273" s="15">
        <v>46002</v>
      </c>
      <c r="L273" s="4">
        <v>2026400133</v>
      </c>
      <c r="M273" s="83" t="s">
        <v>222</v>
      </c>
      <c r="N273" s="4">
        <v>2025</v>
      </c>
    </row>
    <row r="274" spans="2:14">
      <c r="B274" s="4" t="s">
        <v>17</v>
      </c>
      <c r="C274" s="4" t="s">
        <v>25</v>
      </c>
      <c r="D274" s="4" t="s">
        <v>60</v>
      </c>
      <c r="E274" s="4" t="s">
        <v>71</v>
      </c>
      <c r="G274" s="4" t="s">
        <v>119</v>
      </c>
      <c r="H274" s="4" t="s">
        <v>608</v>
      </c>
      <c r="I274" s="41">
        <v>10524.2</v>
      </c>
      <c r="J274" s="4" t="s">
        <v>766</v>
      </c>
      <c r="K274" s="15">
        <v>45988</v>
      </c>
      <c r="L274" s="4">
        <v>2025404308</v>
      </c>
      <c r="M274" s="83" t="s">
        <v>222</v>
      </c>
      <c r="N274" s="4">
        <v>2025</v>
      </c>
    </row>
    <row r="275" spans="2:14">
      <c r="B275" s="4" t="s">
        <v>42</v>
      </c>
      <c r="C275" s="4" t="s">
        <v>48</v>
      </c>
      <c r="D275" s="4" t="s">
        <v>60</v>
      </c>
      <c r="E275" s="4" t="s">
        <v>71</v>
      </c>
      <c r="G275" s="4" t="s">
        <v>122</v>
      </c>
      <c r="H275" s="4" t="s">
        <v>118</v>
      </c>
      <c r="I275" s="41">
        <v>444.65</v>
      </c>
      <c r="J275" s="4" t="s">
        <v>767</v>
      </c>
      <c r="K275" s="15">
        <v>46001</v>
      </c>
      <c r="L275" s="4">
        <v>2026400022</v>
      </c>
      <c r="M275" s="83" t="s">
        <v>222</v>
      </c>
      <c r="N275" s="4">
        <v>2025</v>
      </c>
    </row>
    <row r="276" spans="2:14">
      <c r="B276" s="4" t="s">
        <v>42</v>
      </c>
      <c r="C276" s="4" t="s">
        <v>50</v>
      </c>
      <c r="D276" s="4" t="s">
        <v>60</v>
      </c>
      <c r="E276" s="4" t="s">
        <v>71</v>
      </c>
      <c r="G276" s="4" t="s">
        <v>122</v>
      </c>
      <c r="H276" s="4" t="s">
        <v>118</v>
      </c>
      <c r="I276" s="41">
        <v>507.69</v>
      </c>
      <c r="J276" s="4" t="s">
        <v>768</v>
      </c>
      <c r="K276" s="15">
        <v>46011</v>
      </c>
      <c r="L276" s="4">
        <v>2026400033</v>
      </c>
      <c r="M276" s="83" t="s">
        <v>222</v>
      </c>
      <c r="N276" s="4">
        <v>2025</v>
      </c>
    </row>
    <row r="277" spans="2:14">
      <c r="B277" s="4" t="s">
        <v>42</v>
      </c>
      <c r="C277" s="4" t="s">
        <v>50</v>
      </c>
      <c r="D277" s="4" t="s">
        <v>60</v>
      </c>
      <c r="E277" s="4" t="s">
        <v>71</v>
      </c>
      <c r="G277" s="4" t="s">
        <v>122</v>
      </c>
      <c r="H277" s="4" t="s">
        <v>118</v>
      </c>
      <c r="I277" s="41">
        <v>831</v>
      </c>
      <c r="J277" s="4" t="s">
        <v>769</v>
      </c>
      <c r="K277" s="15">
        <v>46011</v>
      </c>
      <c r="L277" s="4">
        <v>2026400038</v>
      </c>
      <c r="M277" s="83" t="s">
        <v>222</v>
      </c>
      <c r="N277" s="4">
        <v>2025</v>
      </c>
    </row>
    <row r="278" spans="2:14">
      <c r="B278" s="4" t="s">
        <v>35</v>
      </c>
      <c r="C278" s="4" t="s">
        <v>36</v>
      </c>
      <c r="D278" s="4" t="s">
        <v>60</v>
      </c>
      <c r="E278" s="4" t="s">
        <v>71</v>
      </c>
      <c r="G278" s="4" t="s">
        <v>122</v>
      </c>
      <c r="H278" s="4" t="s">
        <v>118</v>
      </c>
      <c r="I278" s="41">
        <v>793.33</v>
      </c>
      <c r="J278" s="4" t="s">
        <v>770</v>
      </c>
      <c r="K278" s="15">
        <v>46011</v>
      </c>
      <c r="L278" s="4">
        <v>2026400039</v>
      </c>
      <c r="M278" s="83" t="s">
        <v>222</v>
      </c>
      <c r="N278" s="4">
        <v>2025</v>
      </c>
    </row>
    <row r="279" spans="2:14">
      <c r="B279" s="4" t="s">
        <v>52</v>
      </c>
      <c r="C279" s="4" t="s">
        <v>62</v>
      </c>
      <c r="D279" s="4" t="s">
        <v>60</v>
      </c>
      <c r="E279" s="4" t="s">
        <v>71</v>
      </c>
      <c r="G279" s="4" t="s">
        <v>119</v>
      </c>
      <c r="H279" s="4" t="s">
        <v>608</v>
      </c>
      <c r="I279" s="41">
        <v>2003.6</v>
      </c>
      <c r="J279" s="4" t="s">
        <v>771</v>
      </c>
      <c r="K279" s="15">
        <v>46036</v>
      </c>
      <c r="L279" s="4">
        <v>2026400127</v>
      </c>
      <c r="M279" s="83" t="s">
        <v>222</v>
      </c>
      <c r="N279" s="4">
        <v>2025</v>
      </c>
    </row>
  </sheetData>
  <autoFilter ref="A1:N187" xr:uid="{00000000-0009-0000-0000-000011000000}">
    <sortState xmlns:xlrd2="http://schemas.microsoft.com/office/spreadsheetml/2017/richdata2" ref="A2:N271">
      <sortCondition ref="G1:G187"/>
    </sortState>
  </autoFilter>
  <conditionalFormatting sqref="L1:L1048576">
    <cfRule type="duplicateValues" dxfId="0" priority="1"/>
  </conditionalFormatting>
  <dataValidations count="1">
    <dataValidation type="list" allowBlank="1" showInputMessage="1" showErrorMessage="1" sqref="C2:C67 I2:I187" xr:uid="{00000000-0002-0000-1100-000001000000}">
      <formula1>INDIRECT(B2)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100-000000000000}">
          <x14:formula1>
            <xm:f>List!$P$2:$P$11</xm:f>
          </x14:formula1>
          <xm:sqref>B2:B67</xm:sqref>
        </x14:dataValidation>
        <x14:dataValidation type="list" allowBlank="1" showInputMessage="1" showErrorMessage="1" xr:uid="{00000000-0002-0000-1100-000002000000}">
          <x14:formula1>
            <xm:f>List!$C$2:$C$3</xm:f>
          </x14:formula1>
          <xm:sqref>D2:D271</xm:sqref>
        </x14:dataValidation>
        <x14:dataValidation type="list" allowBlank="1" showInputMessage="1" showErrorMessage="1" xr:uid="{00000000-0002-0000-1100-000003000000}">
          <x14:formula1>
            <xm:f>List!$E$2:$E$32</xm:f>
          </x14:formula1>
          <xm:sqref>E2:E271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4" tint="0.39997558519241921"/>
  </sheetPr>
  <dimension ref="A1:N522"/>
  <sheetViews>
    <sheetView topLeftCell="F44" workbookViewId="0">
      <selection activeCell="B2" sqref="B2:N63"/>
    </sheetView>
  </sheetViews>
  <sheetFormatPr defaultColWidth="9" defaultRowHeight="14.5"/>
  <cols>
    <col min="1" max="1" width="5.36328125" customWidth="1"/>
    <col min="2" max="2" width="9.36328125" customWidth="1"/>
    <col min="3" max="3" width="15.08984375" customWidth="1"/>
    <col min="4" max="4" width="9" customWidth="1"/>
    <col min="5" max="5" width="25.453125" customWidth="1"/>
    <col min="6" max="6" width="10.1796875" customWidth="1"/>
    <col min="7" max="7" width="51.81640625" customWidth="1"/>
    <col min="8" max="8" width="26.81640625" customWidth="1"/>
    <col min="9" max="9" width="18.08984375" style="8" customWidth="1"/>
    <col min="10" max="10" width="10.08984375" customWidth="1"/>
    <col min="11" max="11" width="11.1796875" customWidth="1"/>
    <col min="12" max="12" width="10.81640625" customWidth="1"/>
    <col min="13" max="13" width="6.54296875" customWidth="1"/>
    <col min="14" max="14" width="4.81640625" customWidth="1"/>
  </cols>
  <sheetData>
    <row r="1" spans="1:14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</row>
    <row r="2" spans="1:14">
      <c r="A2" s="4"/>
      <c r="B2" s="4" t="s">
        <v>52</v>
      </c>
      <c r="C2" s="4" t="s">
        <v>62</v>
      </c>
      <c r="D2" s="4" t="s">
        <v>19</v>
      </c>
      <c r="E2" s="4" t="s">
        <v>111</v>
      </c>
      <c r="F2" s="4"/>
      <c r="G2" s="4" t="s">
        <v>90</v>
      </c>
      <c r="H2" s="4"/>
      <c r="I2" s="8">
        <f>114499900/1450</f>
        <v>78965.448275862072</v>
      </c>
      <c r="J2" s="4" t="s">
        <v>14</v>
      </c>
      <c r="K2" s="15" t="s">
        <v>14</v>
      </c>
      <c r="L2" s="4" t="s">
        <v>14</v>
      </c>
      <c r="M2" s="83" t="s">
        <v>222</v>
      </c>
      <c r="N2" s="4">
        <v>2025</v>
      </c>
    </row>
    <row r="3" spans="1:14">
      <c r="A3" s="4"/>
      <c r="B3" s="4" t="s">
        <v>35</v>
      </c>
      <c r="C3" s="4" t="s">
        <v>37</v>
      </c>
      <c r="D3" s="4" t="s">
        <v>19</v>
      </c>
      <c r="E3" s="4" t="s">
        <v>111</v>
      </c>
      <c r="F3" s="4"/>
      <c r="G3" s="4" t="s">
        <v>90</v>
      </c>
      <c r="H3" s="4"/>
      <c r="I3" s="8">
        <f>1755000/1450</f>
        <v>1210.344827586207</v>
      </c>
      <c r="J3" s="4" t="s">
        <v>14</v>
      </c>
      <c r="K3" s="15" t="s">
        <v>14</v>
      </c>
      <c r="L3" s="4" t="s">
        <v>14</v>
      </c>
      <c r="M3" s="83" t="s">
        <v>222</v>
      </c>
      <c r="N3" s="4">
        <v>2025</v>
      </c>
    </row>
    <row r="4" spans="1:14">
      <c r="A4" s="4"/>
      <c r="B4" s="4" t="s">
        <v>35</v>
      </c>
      <c r="C4" s="4" t="s">
        <v>36</v>
      </c>
      <c r="D4" s="4" t="s">
        <v>19</v>
      </c>
      <c r="E4" s="4" t="s">
        <v>111</v>
      </c>
      <c r="F4" s="4"/>
      <c r="G4" s="4" t="s">
        <v>90</v>
      </c>
      <c r="H4" s="4"/>
      <c r="I4" s="8">
        <f>30532950/1450</f>
        <v>21057.206896551725</v>
      </c>
      <c r="J4" s="4" t="s">
        <v>14</v>
      </c>
      <c r="K4" s="15" t="s">
        <v>14</v>
      </c>
      <c r="L4" s="4" t="s">
        <v>14</v>
      </c>
      <c r="M4" s="83" t="s">
        <v>222</v>
      </c>
      <c r="N4" s="4">
        <v>2025</v>
      </c>
    </row>
    <row r="5" spans="1:14">
      <c r="A5" s="4"/>
      <c r="B5" s="4" t="s">
        <v>42</v>
      </c>
      <c r="C5" s="4" t="s">
        <v>45</v>
      </c>
      <c r="D5" s="4" t="s">
        <v>19</v>
      </c>
      <c r="E5" s="4" t="s">
        <v>111</v>
      </c>
      <c r="F5" s="4"/>
      <c r="G5" s="4" t="s">
        <v>90</v>
      </c>
      <c r="H5" s="4"/>
      <c r="I5" s="8">
        <f>117660600/1450</f>
        <v>81145.241379310348</v>
      </c>
      <c r="J5" s="4" t="s">
        <v>14</v>
      </c>
      <c r="K5" s="15" t="s">
        <v>14</v>
      </c>
      <c r="L5" s="4" t="s">
        <v>14</v>
      </c>
      <c r="M5" s="83" t="s">
        <v>222</v>
      </c>
      <c r="N5" s="4">
        <v>2025</v>
      </c>
    </row>
    <row r="6" spans="1:14">
      <c r="A6" s="4"/>
      <c r="B6" s="83" t="s">
        <v>17</v>
      </c>
      <c r="C6" s="4" t="s">
        <v>22</v>
      </c>
      <c r="D6" s="4" t="s">
        <v>19</v>
      </c>
      <c r="E6" s="4" t="s">
        <v>111</v>
      </c>
      <c r="F6" s="4"/>
      <c r="G6" s="4" t="s">
        <v>90</v>
      </c>
      <c r="H6" s="4"/>
      <c r="I6" s="8">
        <f>20742750/1450</f>
        <v>14305.344827586207</v>
      </c>
      <c r="J6" s="4" t="s">
        <v>14</v>
      </c>
      <c r="K6" s="15" t="s">
        <v>14</v>
      </c>
      <c r="L6" s="4" t="s">
        <v>14</v>
      </c>
      <c r="M6" s="83" t="s">
        <v>222</v>
      </c>
      <c r="N6" s="4">
        <v>2025</v>
      </c>
    </row>
    <row r="7" spans="1:14">
      <c r="A7" s="4"/>
      <c r="B7" s="4" t="s">
        <v>42</v>
      </c>
      <c r="C7" s="4" t="s">
        <v>47</v>
      </c>
      <c r="D7" s="4" t="s">
        <v>19</v>
      </c>
      <c r="E7" s="4" t="s">
        <v>111</v>
      </c>
      <c r="F7" s="4"/>
      <c r="G7" s="4" t="s">
        <v>90</v>
      </c>
      <c r="H7" s="4"/>
      <c r="I7" s="8">
        <f>55469700/1450</f>
        <v>38254.965517241377</v>
      </c>
      <c r="J7" s="4" t="s">
        <v>14</v>
      </c>
      <c r="K7" s="15" t="s">
        <v>14</v>
      </c>
      <c r="L7" s="4" t="s">
        <v>14</v>
      </c>
      <c r="M7" s="83" t="s">
        <v>222</v>
      </c>
      <c r="N7" s="4">
        <v>2025</v>
      </c>
    </row>
    <row r="8" spans="1:14">
      <c r="A8" s="4"/>
      <c r="B8" s="4" t="s">
        <v>42</v>
      </c>
      <c r="C8" s="4" t="s">
        <v>286</v>
      </c>
      <c r="D8" s="4" t="s">
        <v>19</v>
      </c>
      <c r="E8" s="4" t="s">
        <v>111</v>
      </c>
      <c r="F8" s="4"/>
      <c r="G8" s="4" t="s">
        <v>90</v>
      </c>
      <c r="H8" s="4"/>
      <c r="I8" s="8">
        <f>1458000/1450</f>
        <v>1005.5172413793103</v>
      </c>
      <c r="J8" s="4" t="s">
        <v>14</v>
      </c>
      <c r="K8" s="15" t="s">
        <v>14</v>
      </c>
      <c r="L8" s="4" t="s">
        <v>14</v>
      </c>
      <c r="M8" s="83" t="s">
        <v>222</v>
      </c>
      <c r="N8" s="4">
        <v>2025</v>
      </c>
    </row>
    <row r="9" spans="1:14">
      <c r="A9" s="4"/>
      <c r="B9" s="4" t="s">
        <v>17</v>
      </c>
      <c r="C9" s="4" t="s">
        <v>25</v>
      </c>
      <c r="D9" s="4" t="s">
        <v>19</v>
      </c>
      <c r="E9" s="4" t="s">
        <v>111</v>
      </c>
      <c r="F9" s="4"/>
      <c r="G9" s="4" t="s">
        <v>90</v>
      </c>
      <c r="H9" s="4"/>
      <c r="I9" s="8">
        <f>44732790/1450</f>
        <v>30850.2</v>
      </c>
      <c r="J9" s="4" t="s">
        <v>14</v>
      </c>
      <c r="K9" s="15" t="s">
        <v>14</v>
      </c>
      <c r="L9" s="4" t="s">
        <v>14</v>
      </c>
      <c r="M9" s="83" t="s">
        <v>222</v>
      </c>
      <c r="N9" s="4">
        <v>2025</v>
      </c>
    </row>
    <row r="10" spans="1:14">
      <c r="A10" s="4"/>
      <c r="B10" s="4" t="s">
        <v>17</v>
      </c>
      <c r="C10" s="4" t="s">
        <v>26</v>
      </c>
      <c r="D10" s="4" t="s">
        <v>19</v>
      </c>
      <c r="E10" s="4" t="s">
        <v>111</v>
      </c>
      <c r="F10" s="4"/>
      <c r="G10" s="4" t="s">
        <v>90</v>
      </c>
      <c r="H10" s="4"/>
      <c r="I10" s="8">
        <f>10130400/1450</f>
        <v>6986.4827586206893</v>
      </c>
      <c r="J10" s="4" t="s">
        <v>14</v>
      </c>
      <c r="K10" s="15" t="s">
        <v>14</v>
      </c>
      <c r="L10" s="4" t="s">
        <v>14</v>
      </c>
      <c r="M10" s="83" t="s">
        <v>222</v>
      </c>
      <c r="N10" s="4">
        <v>2025</v>
      </c>
    </row>
    <row r="11" spans="1:14">
      <c r="A11" s="4"/>
      <c r="B11" s="4" t="s">
        <v>17</v>
      </c>
      <c r="C11" s="4" t="s">
        <v>287</v>
      </c>
      <c r="D11" s="4" t="s">
        <v>19</v>
      </c>
      <c r="E11" s="4" t="s">
        <v>111</v>
      </c>
      <c r="F11" s="4"/>
      <c r="G11" s="4" t="s">
        <v>90</v>
      </c>
      <c r="H11" s="4"/>
      <c r="I11" s="8">
        <f>33947100/1450</f>
        <v>23411.793103448275</v>
      </c>
      <c r="J11" s="4" t="s">
        <v>14</v>
      </c>
      <c r="K11" s="15" t="s">
        <v>14</v>
      </c>
      <c r="L11" s="4" t="s">
        <v>14</v>
      </c>
      <c r="M11" s="83" t="s">
        <v>222</v>
      </c>
      <c r="N11" s="4">
        <v>2025</v>
      </c>
    </row>
    <row r="12" spans="1:14">
      <c r="A12" s="4"/>
      <c r="B12" s="4" t="s">
        <v>42</v>
      </c>
      <c r="C12" s="4" t="s">
        <v>285</v>
      </c>
      <c r="D12" s="4" t="s">
        <v>19</v>
      </c>
      <c r="E12" s="4" t="s">
        <v>111</v>
      </c>
      <c r="F12" s="4"/>
      <c r="G12" s="4" t="s">
        <v>90</v>
      </c>
      <c r="H12" s="4"/>
      <c r="I12" s="8">
        <f>1944000/1450</f>
        <v>1340.6896551724137</v>
      </c>
      <c r="J12" s="4" t="s">
        <v>14</v>
      </c>
      <c r="K12" s="15" t="s">
        <v>14</v>
      </c>
      <c r="L12" s="4" t="s">
        <v>14</v>
      </c>
      <c r="M12" s="83" t="s">
        <v>222</v>
      </c>
      <c r="N12" s="4">
        <v>2025</v>
      </c>
    </row>
    <row r="13" spans="1:14">
      <c r="A13" s="4"/>
      <c r="B13" s="4" t="s">
        <v>42</v>
      </c>
      <c r="C13" s="4" t="s">
        <v>50</v>
      </c>
      <c r="D13" s="4" t="s">
        <v>60</v>
      </c>
      <c r="E13" s="4" t="s">
        <v>111</v>
      </c>
      <c r="F13" s="4"/>
      <c r="G13" s="4" t="s">
        <v>333</v>
      </c>
      <c r="H13" s="4"/>
      <c r="I13" s="8">
        <v>14048.275862068966</v>
      </c>
      <c r="J13" s="4" t="s">
        <v>621</v>
      </c>
      <c r="K13" s="15">
        <v>45992</v>
      </c>
      <c r="L13" s="4">
        <v>2025404174</v>
      </c>
      <c r="M13" s="83" t="s">
        <v>222</v>
      </c>
      <c r="N13" s="4">
        <v>2025</v>
      </c>
    </row>
    <row r="14" spans="1:14">
      <c r="A14" s="4"/>
      <c r="B14" s="4" t="s">
        <v>54</v>
      </c>
      <c r="C14" s="4" t="s">
        <v>55</v>
      </c>
      <c r="D14" s="4" t="s">
        <v>60</v>
      </c>
      <c r="E14" s="4" t="s">
        <v>111</v>
      </c>
      <c r="F14" s="4"/>
      <c r="G14" s="4" t="s">
        <v>288</v>
      </c>
      <c r="H14" s="4"/>
      <c r="I14" s="8">
        <v>4500</v>
      </c>
      <c r="J14" s="4" t="s">
        <v>622</v>
      </c>
      <c r="K14" s="15">
        <v>46012</v>
      </c>
      <c r="L14" s="4">
        <v>2026400026</v>
      </c>
      <c r="M14" s="83" t="s">
        <v>222</v>
      </c>
      <c r="N14" s="4">
        <v>2025</v>
      </c>
    </row>
    <row r="15" spans="1:14">
      <c r="A15" s="4"/>
      <c r="B15" s="4" t="s">
        <v>58</v>
      </c>
      <c r="C15" s="4" t="s">
        <v>59</v>
      </c>
      <c r="D15" s="4" t="s">
        <v>60</v>
      </c>
      <c r="E15" s="4" t="s">
        <v>111</v>
      </c>
      <c r="F15" s="4"/>
      <c r="G15" s="4" t="s">
        <v>116</v>
      </c>
      <c r="H15" s="4"/>
      <c r="I15" s="8">
        <v>2758.6206896551726</v>
      </c>
      <c r="J15" s="4" t="s">
        <v>623</v>
      </c>
      <c r="K15" s="15">
        <v>45990</v>
      </c>
      <c r="L15" s="4">
        <v>2025404383</v>
      </c>
      <c r="M15" s="83" t="s">
        <v>222</v>
      </c>
      <c r="N15" s="4">
        <v>2025</v>
      </c>
    </row>
    <row r="16" spans="1:14">
      <c r="A16" s="4"/>
      <c r="B16" s="4" t="s">
        <v>54</v>
      </c>
      <c r="C16" s="4" t="s">
        <v>55</v>
      </c>
      <c r="D16" s="4" t="s">
        <v>60</v>
      </c>
      <c r="E16" s="4" t="s">
        <v>111</v>
      </c>
      <c r="F16" s="4"/>
      <c r="G16" s="4" t="s">
        <v>112</v>
      </c>
      <c r="H16" s="4"/>
      <c r="I16" s="8">
        <v>2249.655172413793</v>
      </c>
      <c r="J16" s="4" t="s">
        <v>624</v>
      </c>
      <c r="K16" s="15">
        <v>45993</v>
      </c>
      <c r="L16" s="4">
        <v>2025404670</v>
      </c>
      <c r="M16" s="83" t="s">
        <v>222</v>
      </c>
      <c r="N16" s="4">
        <v>2025</v>
      </c>
    </row>
    <row r="17" spans="1:14">
      <c r="A17" s="4"/>
      <c r="B17" s="4" t="s">
        <v>58</v>
      </c>
      <c r="C17" s="4" t="s">
        <v>59</v>
      </c>
      <c r="D17" s="4" t="s">
        <v>60</v>
      </c>
      <c r="E17" s="4" t="s">
        <v>111</v>
      </c>
      <c r="F17" s="4"/>
      <c r="G17" s="4" t="s">
        <v>611</v>
      </c>
      <c r="H17" s="4"/>
      <c r="I17" s="8">
        <v>2241.3793103448274</v>
      </c>
      <c r="J17" s="4" t="s">
        <v>625</v>
      </c>
      <c r="K17" s="15">
        <v>46001</v>
      </c>
      <c r="L17" s="4">
        <v>2025404684</v>
      </c>
      <c r="M17" s="83" t="s">
        <v>222</v>
      </c>
      <c r="N17" s="4">
        <v>2025</v>
      </c>
    </row>
    <row r="18" spans="1:14">
      <c r="A18" s="4"/>
      <c r="B18" s="4" t="s">
        <v>54</v>
      </c>
      <c r="C18" s="4" t="s">
        <v>55</v>
      </c>
      <c r="D18" s="4" t="s">
        <v>60</v>
      </c>
      <c r="E18" s="4" t="s">
        <v>111</v>
      </c>
      <c r="F18" s="4"/>
      <c r="G18" s="4" t="s">
        <v>112</v>
      </c>
      <c r="H18" s="4"/>
      <c r="I18" s="8">
        <v>1523.7931034482758</v>
      </c>
      <c r="J18" s="4" t="s">
        <v>626</v>
      </c>
      <c r="K18" s="15">
        <v>46016</v>
      </c>
      <c r="L18" s="4">
        <v>2026400053</v>
      </c>
      <c r="M18" s="83" t="s">
        <v>222</v>
      </c>
      <c r="N18" s="4">
        <v>2025</v>
      </c>
    </row>
    <row r="19" spans="1:14">
      <c r="A19" s="4"/>
      <c r="B19" s="4" t="s">
        <v>58</v>
      </c>
      <c r="C19" s="4" t="s">
        <v>59</v>
      </c>
      <c r="D19" s="4" t="s">
        <v>60</v>
      </c>
      <c r="E19" s="4" t="s">
        <v>111</v>
      </c>
      <c r="F19" s="4"/>
      <c r="G19" s="4" t="s">
        <v>112</v>
      </c>
      <c r="H19" s="4"/>
      <c r="I19" s="8">
        <v>1402.7586206896551</v>
      </c>
      <c r="J19" s="4" t="s">
        <v>627</v>
      </c>
      <c r="K19" s="15">
        <v>46005</v>
      </c>
      <c r="L19" s="4">
        <v>2025404674</v>
      </c>
      <c r="M19" s="83" t="s">
        <v>222</v>
      </c>
      <c r="N19" s="4">
        <v>2025</v>
      </c>
    </row>
    <row r="20" spans="1:14">
      <c r="A20" s="4"/>
      <c r="B20" s="4" t="s">
        <v>54</v>
      </c>
      <c r="C20" s="4" t="s">
        <v>55</v>
      </c>
      <c r="D20" s="4" t="s">
        <v>60</v>
      </c>
      <c r="E20" s="4" t="s">
        <v>111</v>
      </c>
      <c r="F20" s="4"/>
      <c r="G20" s="4" t="s">
        <v>112</v>
      </c>
      <c r="H20" s="4"/>
      <c r="I20" s="8">
        <v>1117.5862068965516</v>
      </c>
      <c r="J20" s="4" t="s">
        <v>628</v>
      </c>
      <c r="K20" s="15">
        <v>46004</v>
      </c>
      <c r="L20" s="4">
        <v>2026400053</v>
      </c>
      <c r="M20" s="83" t="s">
        <v>222</v>
      </c>
      <c r="N20" s="4">
        <v>2025</v>
      </c>
    </row>
    <row r="21" spans="1:14">
      <c r="A21" s="4"/>
      <c r="B21" s="4" t="s">
        <v>42</v>
      </c>
      <c r="C21" s="4" t="s">
        <v>48</v>
      </c>
      <c r="D21" s="4" t="s">
        <v>60</v>
      </c>
      <c r="E21" s="4" t="s">
        <v>111</v>
      </c>
      <c r="F21" s="4"/>
      <c r="G21" s="4" t="s">
        <v>269</v>
      </c>
      <c r="H21" s="4"/>
      <c r="I21" s="8">
        <v>986.89655172413791</v>
      </c>
      <c r="J21" s="4" t="s">
        <v>629</v>
      </c>
      <c r="K21" s="15">
        <v>45992</v>
      </c>
      <c r="L21" s="4">
        <v>2025404535</v>
      </c>
      <c r="M21" s="83" t="s">
        <v>222</v>
      </c>
      <c r="N21" s="4">
        <v>2025</v>
      </c>
    </row>
    <row r="22" spans="1:14">
      <c r="A22" s="4"/>
      <c r="B22" s="4" t="s">
        <v>17</v>
      </c>
      <c r="C22" s="4" t="s">
        <v>22</v>
      </c>
      <c r="D22" s="4" t="s">
        <v>60</v>
      </c>
      <c r="E22" s="4" t="s">
        <v>111</v>
      </c>
      <c r="F22" s="4"/>
      <c r="G22" s="4" t="s">
        <v>612</v>
      </c>
      <c r="H22" s="4"/>
      <c r="I22" s="8">
        <v>877.3393103448276</v>
      </c>
      <c r="J22" s="4" t="s">
        <v>630</v>
      </c>
      <c r="K22" s="15">
        <v>45907</v>
      </c>
      <c r="L22" s="4">
        <v>2025404056</v>
      </c>
      <c r="M22" s="83" t="s">
        <v>222</v>
      </c>
      <c r="N22" s="4">
        <v>2025</v>
      </c>
    </row>
    <row r="23" spans="1:14">
      <c r="A23" s="4"/>
      <c r="B23" s="4" t="s">
        <v>54</v>
      </c>
      <c r="C23" s="4" t="s">
        <v>55</v>
      </c>
      <c r="D23" s="4" t="s">
        <v>60</v>
      </c>
      <c r="E23" s="4" t="s">
        <v>111</v>
      </c>
      <c r="F23" s="4"/>
      <c r="G23" s="4" t="s">
        <v>612</v>
      </c>
      <c r="H23" s="4"/>
      <c r="I23" s="8">
        <v>877.3393103448276</v>
      </c>
      <c r="J23" s="4" t="s">
        <v>630</v>
      </c>
      <c r="K23" s="15">
        <v>45907</v>
      </c>
      <c r="L23" s="4">
        <v>2025404056</v>
      </c>
      <c r="M23" s="83" t="s">
        <v>222</v>
      </c>
      <c r="N23" s="4">
        <v>2025</v>
      </c>
    </row>
    <row r="24" spans="1:14">
      <c r="A24" s="4"/>
      <c r="B24" s="4" t="s">
        <v>17</v>
      </c>
      <c r="C24" s="4" t="s">
        <v>18</v>
      </c>
      <c r="D24" s="4" t="s">
        <v>60</v>
      </c>
      <c r="E24" s="4" t="s">
        <v>111</v>
      </c>
      <c r="F24" s="4"/>
      <c r="G24" s="4" t="s">
        <v>193</v>
      </c>
      <c r="H24" s="4"/>
      <c r="I24" s="8">
        <v>875.86206896551721</v>
      </c>
      <c r="J24" s="4" t="s">
        <v>631</v>
      </c>
      <c r="K24" s="15">
        <v>45995</v>
      </c>
      <c r="L24" s="4">
        <v>2025404523</v>
      </c>
      <c r="M24" s="83" t="s">
        <v>222</v>
      </c>
      <c r="N24" s="4">
        <v>2025</v>
      </c>
    </row>
    <row r="25" spans="1:14">
      <c r="A25" s="4"/>
      <c r="B25" s="4" t="s">
        <v>54</v>
      </c>
      <c r="C25" s="4" t="s">
        <v>55</v>
      </c>
      <c r="D25" s="4" t="s">
        <v>60</v>
      </c>
      <c r="E25" s="4" t="s">
        <v>111</v>
      </c>
      <c r="F25" s="4"/>
      <c r="G25" s="4" t="s">
        <v>289</v>
      </c>
      <c r="H25" s="4"/>
      <c r="I25" s="8">
        <v>827.58620689655174</v>
      </c>
      <c r="J25" s="4" t="s">
        <v>632</v>
      </c>
      <c r="K25" s="15">
        <v>46000</v>
      </c>
      <c r="L25" s="4">
        <v>2025404908</v>
      </c>
      <c r="M25" s="83" t="s">
        <v>222</v>
      </c>
      <c r="N25" s="4">
        <v>2025</v>
      </c>
    </row>
    <row r="26" spans="1:14">
      <c r="A26" s="4"/>
      <c r="B26" s="4" t="s">
        <v>42</v>
      </c>
      <c r="C26" s="4" t="s">
        <v>48</v>
      </c>
      <c r="D26" s="4" t="s">
        <v>60</v>
      </c>
      <c r="E26" s="4" t="s">
        <v>111</v>
      </c>
      <c r="F26" s="4"/>
      <c r="G26" s="4" t="s">
        <v>269</v>
      </c>
      <c r="H26" s="4"/>
      <c r="I26" s="8">
        <v>786.20689655172418</v>
      </c>
      <c r="J26" s="4" t="s">
        <v>633</v>
      </c>
      <c r="K26" s="15">
        <v>45992</v>
      </c>
      <c r="L26" s="4">
        <v>2025404534</v>
      </c>
      <c r="M26" s="83" t="s">
        <v>222</v>
      </c>
      <c r="N26" s="4">
        <v>2025</v>
      </c>
    </row>
    <row r="27" spans="1:14">
      <c r="A27" s="4"/>
      <c r="B27" s="4" t="s">
        <v>52</v>
      </c>
      <c r="C27" s="4" t="s">
        <v>62</v>
      </c>
      <c r="D27" s="4" t="s">
        <v>60</v>
      </c>
      <c r="E27" s="4" t="s">
        <v>111</v>
      </c>
      <c r="F27" s="4"/>
      <c r="G27" s="4" t="s">
        <v>288</v>
      </c>
      <c r="H27" s="4"/>
      <c r="I27" s="8">
        <v>551.72413793103453</v>
      </c>
      <c r="J27" s="4" t="s">
        <v>634</v>
      </c>
      <c r="K27" s="15">
        <v>45993</v>
      </c>
      <c r="L27" s="4">
        <v>2025404637</v>
      </c>
      <c r="M27" s="83" t="s">
        <v>222</v>
      </c>
      <c r="N27" s="4">
        <v>2025</v>
      </c>
    </row>
    <row r="28" spans="1:14">
      <c r="A28" s="4"/>
      <c r="B28" s="4" t="s">
        <v>52</v>
      </c>
      <c r="C28" s="4" t="s">
        <v>62</v>
      </c>
      <c r="D28" s="4" t="s">
        <v>60</v>
      </c>
      <c r="E28" s="4" t="s">
        <v>111</v>
      </c>
      <c r="F28" s="4"/>
      <c r="G28" s="4" t="s">
        <v>288</v>
      </c>
      <c r="H28" s="4"/>
      <c r="I28" s="8">
        <v>482.75862068965517</v>
      </c>
      <c r="J28" s="4" t="s">
        <v>635</v>
      </c>
      <c r="K28" s="15">
        <v>45998</v>
      </c>
      <c r="L28" s="4">
        <v>2025404635</v>
      </c>
      <c r="M28" s="83" t="s">
        <v>222</v>
      </c>
      <c r="N28" s="4">
        <v>2025</v>
      </c>
    </row>
    <row r="29" spans="1:14">
      <c r="A29" s="4"/>
      <c r="B29" s="4" t="s">
        <v>54</v>
      </c>
      <c r="C29" s="4" t="s">
        <v>55</v>
      </c>
      <c r="D29" s="4" t="s">
        <v>60</v>
      </c>
      <c r="E29" s="4" t="s">
        <v>111</v>
      </c>
      <c r="F29" s="4"/>
      <c r="G29" s="4" t="s">
        <v>289</v>
      </c>
      <c r="H29" s="4"/>
      <c r="I29" s="8">
        <v>413.79310344827587</v>
      </c>
      <c r="J29" s="4" t="s">
        <v>636</v>
      </c>
      <c r="K29" s="15">
        <v>46008</v>
      </c>
      <c r="L29" s="4">
        <v>2025404621</v>
      </c>
      <c r="M29" s="83" t="s">
        <v>222</v>
      </c>
      <c r="N29" s="4">
        <v>2025</v>
      </c>
    </row>
    <row r="30" spans="1:14">
      <c r="A30" s="4"/>
      <c r="B30" s="4" t="s">
        <v>42</v>
      </c>
      <c r="C30" s="4" t="s">
        <v>45</v>
      </c>
      <c r="D30" s="4" t="s">
        <v>60</v>
      </c>
      <c r="E30" s="4" t="s">
        <v>111</v>
      </c>
      <c r="F30" s="4"/>
      <c r="G30" s="4" t="s">
        <v>612</v>
      </c>
      <c r="H30" s="4"/>
      <c r="I30" s="8">
        <v>350.93586206896549</v>
      </c>
      <c r="J30" s="4" t="s">
        <v>630</v>
      </c>
      <c r="K30" s="15">
        <v>45907</v>
      </c>
      <c r="L30" s="4">
        <v>2025404056</v>
      </c>
      <c r="M30" s="83" t="s">
        <v>222</v>
      </c>
      <c r="N30" s="4">
        <v>2025</v>
      </c>
    </row>
    <row r="31" spans="1:14">
      <c r="A31" s="4"/>
      <c r="B31" s="4" t="s">
        <v>33</v>
      </c>
      <c r="C31" s="4" t="s">
        <v>34</v>
      </c>
      <c r="D31" s="4" t="s">
        <v>60</v>
      </c>
      <c r="E31" s="4" t="s">
        <v>111</v>
      </c>
      <c r="F31" s="4"/>
      <c r="G31" s="4" t="s">
        <v>612</v>
      </c>
      <c r="H31" s="4"/>
      <c r="I31" s="8">
        <v>350.93586206896549</v>
      </c>
      <c r="J31" s="4" t="s">
        <v>630</v>
      </c>
      <c r="K31" s="15">
        <v>45907</v>
      </c>
      <c r="L31" s="4">
        <v>2025404056</v>
      </c>
      <c r="M31" s="83" t="s">
        <v>222</v>
      </c>
      <c r="N31" s="4">
        <v>2025</v>
      </c>
    </row>
    <row r="32" spans="1:14">
      <c r="A32" s="4"/>
      <c r="B32" s="4" t="s">
        <v>35</v>
      </c>
      <c r="C32" s="4" t="s">
        <v>36</v>
      </c>
      <c r="D32" s="4" t="s">
        <v>60</v>
      </c>
      <c r="E32" s="4" t="s">
        <v>111</v>
      </c>
      <c r="F32" s="4"/>
      <c r="G32" s="4" t="s">
        <v>288</v>
      </c>
      <c r="H32" s="4"/>
      <c r="I32" s="8">
        <v>310.34482758620692</v>
      </c>
      <c r="J32" s="4" t="s">
        <v>637</v>
      </c>
      <c r="K32" s="15">
        <v>45995</v>
      </c>
      <c r="L32" s="4">
        <v>2025404636</v>
      </c>
      <c r="M32" s="83" t="s">
        <v>222</v>
      </c>
      <c r="N32" s="4">
        <v>2025</v>
      </c>
    </row>
    <row r="33" spans="1:14">
      <c r="A33" s="4"/>
      <c r="B33" s="4" t="s">
        <v>17</v>
      </c>
      <c r="C33" s="4" t="s">
        <v>18</v>
      </c>
      <c r="D33" s="4" t="s">
        <v>60</v>
      </c>
      <c r="E33" s="4" t="s">
        <v>111</v>
      </c>
      <c r="F33" s="4"/>
      <c r="G33" s="4" t="s">
        <v>613</v>
      </c>
      <c r="H33" s="4"/>
      <c r="I33" s="8">
        <v>310.34482758620692</v>
      </c>
      <c r="J33" s="4" t="s">
        <v>638</v>
      </c>
      <c r="K33" s="15">
        <v>46004</v>
      </c>
      <c r="L33" s="4">
        <v>2025404900</v>
      </c>
      <c r="M33" s="83" t="s">
        <v>222</v>
      </c>
      <c r="N33" s="4">
        <v>2025</v>
      </c>
    </row>
    <row r="34" spans="1:14">
      <c r="A34" s="4"/>
      <c r="B34" s="4" t="s">
        <v>17</v>
      </c>
      <c r="C34" s="4" t="s">
        <v>18</v>
      </c>
      <c r="D34" s="4" t="s">
        <v>60</v>
      </c>
      <c r="E34" s="4" t="s">
        <v>111</v>
      </c>
      <c r="F34" s="4"/>
      <c r="G34" s="4" t="s">
        <v>193</v>
      </c>
      <c r="H34" s="4"/>
      <c r="I34" s="8">
        <v>206.89655172413794</v>
      </c>
      <c r="J34" s="4" t="s">
        <v>639</v>
      </c>
      <c r="K34" s="15">
        <v>45992</v>
      </c>
      <c r="L34" s="4">
        <v>2025404523</v>
      </c>
      <c r="M34" s="83" t="s">
        <v>222</v>
      </c>
      <c r="N34" s="4">
        <v>2025</v>
      </c>
    </row>
    <row r="35" spans="1:14">
      <c r="A35" s="4">
        <v>4</v>
      </c>
      <c r="B35" s="55" t="s">
        <v>52</v>
      </c>
      <c r="C35" s="55" t="s">
        <v>62</v>
      </c>
      <c r="D35" s="4" t="s">
        <v>60</v>
      </c>
      <c r="E35" s="4" t="s">
        <v>111</v>
      </c>
      <c r="F35" s="4"/>
      <c r="G35" s="4" t="s">
        <v>288</v>
      </c>
      <c r="H35" s="4" t="s">
        <v>297</v>
      </c>
      <c r="I35" s="8">
        <v>165.51724137931035</v>
      </c>
      <c r="J35" s="4" t="s">
        <v>640</v>
      </c>
      <c r="K35" s="15">
        <v>45993</v>
      </c>
      <c r="L35" s="4">
        <v>2025404638</v>
      </c>
      <c r="M35" s="83" t="s">
        <v>222</v>
      </c>
      <c r="N35" s="4">
        <v>2025</v>
      </c>
    </row>
    <row r="36" spans="1:14">
      <c r="A36" s="4"/>
      <c r="B36" s="4" t="s">
        <v>35</v>
      </c>
      <c r="C36" s="4" t="s">
        <v>41</v>
      </c>
      <c r="D36" s="4" t="s">
        <v>60</v>
      </c>
      <c r="E36" s="4" t="s">
        <v>111</v>
      </c>
      <c r="F36" s="4"/>
      <c r="G36" s="4" t="s">
        <v>288</v>
      </c>
      <c r="H36" s="4"/>
      <c r="I36" s="8">
        <v>137.93103448275863</v>
      </c>
      <c r="J36" s="4" t="s">
        <v>641</v>
      </c>
      <c r="K36" s="15">
        <v>46016</v>
      </c>
      <c r="L36" s="4">
        <v>2026400050</v>
      </c>
      <c r="M36" s="83" t="s">
        <v>222</v>
      </c>
      <c r="N36" s="4">
        <v>2025</v>
      </c>
    </row>
    <row r="37" spans="1:14">
      <c r="A37" s="4"/>
      <c r="B37" s="4" t="s">
        <v>17</v>
      </c>
      <c r="C37" s="4" t="s">
        <v>18</v>
      </c>
      <c r="D37" s="4" t="s">
        <v>60</v>
      </c>
      <c r="E37" s="4" t="s">
        <v>111</v>
      </c>
      <c r="F37" s="4"/>
      <c r="G37" s="4" t="s">
        <v>193</v>
      </c>
      <c r="H37" s="4"/>
      <c r="I37" s="8">
        <v>103.44827586206897</v>
      </c>
      <c r="J37" s="4" t="s">
        <v>642</v>
      </c>
      <c r="K37" s="15">
        <v>45992</v>
      </c>
      <c r="L37" s="4">
        <v>2025404523</v>
      </c>
      <c r="M37" s="83" t="s">
        <v>222</v>
      </c>
      <c r="N37" s="4">
        <v>2025</v>
      </c>
    </row>
    <row r="38" spans="1:14">
      <c r="A38" s="4"/>
      <c r="B38" s="4" t="s">
        <v>58</v>
      </c>
      <c r="C38" s="4" t="s">
        <v>59</v>
      </c>
      <c r="D38" s="4" t="s">
        <v>60</v>
      </c>
      <c r="E38" s="4" t="s">
        <v>111</v>
      </c>
      <c r="F38" s="4"/>
      <c r="G38" s="4" t="s">
        <v>230</v>
      </c>
      <c r="H38" s="4"/>
      <c r="I38" s="8">
        <v>1266</v>
      </c>
      <c r="J38" s="4" t="s">
        <v>270</v>
      </c>
      <c r="K38" s="15">
        <v>45931</v>
      </c>
      <c r="L38" s="4">
        <v>0</v>
      </c>
      <c r="M38" s="83" t="s">
        <v>222</v>
      </c>
      <c r="N38" s="4">
        <v>2025</v>
      </c>
    </row>
    <row r="39" spans="1:14">
      <c r="A39" s="4"/>
      <c r="B39" s="4" t="s">
        <v>42</v>
      </c>
      <c r="C39" s="4" t="s">
        <v>285</v>
      </c>
      <c r="D39" s="4" t="s">
        <v>60</v>
      </c>
      <c r="E39" s="4" t="s">
        <v>111</v>
      </c>
      <c r="F39" s="4"/>
      <c r="G39" s="4" t="s">
        <v>614</v>
      </c>
      <c r="H39" s="4"/>
      <c r="I39" s="8">
        <v>10000</v>
      </c>
      <c r="J39" s="4" t="s">
        <v>643</v>
      </c>
      <c r="K39" s="15">
        <v>45991</v>
      </c>
      <c r="L39" s="4">
        <v>2025404439</v>
      </c>
      <c r="M39" s="83" t="s">
        <v>222</v>
      </c>
      <c r="N39" s="4">
        <v>2025</v>
      </c>
    </row>
    <row r="40" spans="1:14">
      <c r="A40" s="4"/>
      <c r="B40" s="4" t="s">
        <v>54</v>
      </c>
      <c r="C40" s="4" t="s">
        <v>47</v>
      </c>
      <c r="D40" s="4" t="s">
        <v>60</v>
      </c>
      <c r="E40" s="4" t="s">
        <v>111</v>
      </c>
      <c r="F40" s="4"/>
      <c r="G40" s="4" t="s">
        <v>615</v>
      </c>
      <c r="H40" s="4"/>
      <c r="I40" s="8">
        <v>1300</v>
      </c>
      <c r="J40" s="4" t="s">
        <v>644</v>
      </c>
      <c r="K40" s="15">
        <v>45983</v>
      </c>
      <c r="L40" s="4">
        <v>2025404347</v>
      </c>
      <c r="M40" s="83" t="s">
        <v>222</v>
      </c>
      <c r="N40" s="4">
        <v>2025</v>
      </c>
    </row>
    <row r="41" spans="1:14">
      <c r="A41" s="4"/>
      <c r="B41" s="4" t="s">
        <v>54</v>
      </c>
      <c r="C41" s="4" t="s">
        <v>55</v>
      </c>
      <c r="D41" s="4" t="s">
        <v>60</v>
      </c>
      <c r="E41" s="4" t="s">
        <v>111</v>
      </c>
      <c r="F41" s="4"/>
      <c r="G41" s="4" t="s">
        <v>231</v>
      </c>
      <c r="H41" s="4"/>
      <c r="I41" s="8">
        <v>2350</v>
      </c>
      <c r="J41" s="4" t="s">
        <v>645</v>
      </c>
      <c r="K41" s="15">
        <v>45991</v>
      </c>
      <c r="L41" s="4">
        <v>2025404555</v>
      </c>
      <c r="M41" s="83" t="s">
        <v>222</v>
      </c>
      <c r="N41" s="4">
        <v>2025</v>
      </c>
    </row>
    <row r="42" spans="1:14">
      <c r="A42" s="4"/>
      <c r="B42" s="4" t="s">
        <v>17</v>
      </c>
      <c r="C42" s="4" t="s">
        <v>22</v>
      </c>
      <c r="D42" s="4" t="s">
        <v>60</v>
      </c>
      <c r="E42" s="4" t="s">
        <v>111</v>
      </c>
      <c r="F42" s="4"/>
      <c r="G42" s="4" t="s">
        <v>616</v>
      </c>
      <c r="H42" s="4"/>
      <c r="I42" s="8">
        <v>495</v>
      </c>
      <c r="J42" s="4" t="s">
        <v>646</v>
      </c>
      <c r="K42" s="15">
        <v>45993</v>
      </c>
      <c r="L42" s="4">
        <v>2025404631</v>
      </c>
      <c r="M42" s="83" t="s">
        <v>222</v>
      </c>
      <c r="N42" s="4">
        <v>2025</v>
      </c>
    </row>
    <row r="43" spans="1:14">
      <c r="A43" s="4"/>
      <c r="B43" s="4" t="s">
        <v>17</v>
      </c>
      <c r="C43" s="4" t="s">
        <v>25</v>
      </c>
      <c r="D43" s="4" t="s">
        <v>60</v>
      </c>
      <c r="E43" s="4" t="s">
        <v>111</v>
      </c>
      <c r="F43" s="4"/>
      <c r="G43" s="4" t="s">
        <v>616</v>
      </c>
      <c r="H43" s="4"/>
      <c r="I43" s="8">
        <v>1015</v>
      </c>
      <c r="J43" s="4" t="s">
        <v>647</v>
      </c>
      <c r="K43" s="15">
        <v>45988</v>
      </c>
      <c r="L43" s="4">
        <v>2025404558</v>
      </c>
      <c r="M43" s="83" t="s">
        <v>222</v>
      </c>
      <c r="N43" s="4">
        <v>2025</v>
      </c>
    </row>
    <row r="44" spans="1:14">
      <c r="A44" s="4"/>
      <c r="B44" s="4" t="s">
        <v>52</v>
      </c>
      <c r="C44" s="4" t="s">
        <v>62</v>
      </c>
      <c r="D44" s="4" t="s">
        <v>60</v>
      </c>
      <c r="E44" s="4" t="s">
        <v>111</v>
      </c>
      <c r="F44" s="4"/>
      <c r="G44" s="4" t="s">
        <v>289</v>
      </c>
      <c r="H44" s="4"/>
      <c r="I44" s="8">
        <v>2000</v>
      </c>
      <c r="J44" s="4" t="s">
        <v>648</v>
      </c>
      <c r="K44" s="15">
        <v>45993</v>
      </c>
      <c r="L44" s="4">
        <v>2025404644</v>
      </c>
      <c r="M44" s="83" t="s">
        <v>222</v>
      </c>
      <c r="N44" s="4">
        <v>2025</v>
      </c>
    </row>
    <row r="45" spans="1:14">
      <c r="A45" s="4"/>
      <c r="B45" s="4" t="s">
        <v>52</v>
      </c>
      <c r="C45" s="4" t="s">
        <v>62</v>
      </c>
      <c r="D45" s="4" t="s">
        <v>60</v>
      </c>
      <c r="E45" s="4" t="s">
        <v>111</v>
      </c>
      <c r="F45" s="4"/>
      <c r="G45" s="4" t="s">
        <v>289</v>
      </c>
      <c r="H45" s="4"/>
      <c r="I45" s="8">
        <v>320</v>
      </c>
      <c r="J45" s="4" t="s">
        <v>649</v>
      </c>
      <c r="K45" s="15">
        <v>45992</v>
      </c>
      <c r="L45" s="4">
        <v>2025404644</v>
      </c>
      <c r="M45" s="83" t="s">
        <v>222</v>
      </c>
      <c r="N45" s="4">
        <v>2025</v>
      </c>
    </row>
    <row r="46" spans="1:14">
      <c r="A46" s="4"/>
      <c r="B46" s="4" t="s">
        <v>52</v>
      </c>
      <c r="C46" s="4" t="s">
        <v>62</v>
      </c>
      <c r="D46" s="4" t="s">
        <v>60</v>
      </c>
      <c r="E46" s="4" t="s">
        <v>111</v>
      </c>
      <c r="F46" s="4"/>
      <c r="G46" s="4" t="s">
        <v>289</v>
      </c>
      <c r="H46" s="4"/>
      <c r="I46" s="8">
        <v>1800</v>
      </c>
      <c r="J46" s="4" t="s">
        <v>650</v>
      </c>
      <c r="K46" s="15">
        <v>45992</v>
      </c>
      <c r="L46" s="4">
        <v>2025404644</v>
      </c>
      <c r="M46" s="83" t="s">
        <v>222</v>
      </c>
      <c r="N46" s="4">
        <v>2025</v>
      </c>
    </row>
    <row r="47" spans="1:14">
      <c r="A47" s="4"/>
      <c r="B47" s="4" t="s">
        <v>58</v>
      </c>
      <c r="C47" s="4" t="s">
        <v>59</v>
      </c>
      <c r="D47" s="4" t="s">
        <v>60</v>
      </c>
      <c r="E47" s="4" t="s">
        <v>111</v>
      </c>
      <c r="F47" s="4"/>
      <c r="G47" s="4" t="s">
        <v>617</v>
      </c>
      <c r="H47" s="4"/>
      <c r="I47" s="8">
        <v>418</v>
      </c>
      <c r="J47" s="4" t="s">
        <v>651</v>
      </c>
      <c r="K47" s="15">
        <v>46009</v>
      </c>
      <c r="L47" s="4">
        <v>0</v>
      </c>
      <c r="M47" s="83" t="s">
        <v>222</v>
      </c>
      <c r="N47" s="4">
        <v>2025</v>
      </c>
    </row>
    <row r="48" spans="1:14">
      <c r="A48" s="4"/>
      <c r="B48" s="4" t="s">
        <v>52</v>
      </c>
      <c r="C48" s="4" t="s">
        <v>62</v>
      </c>
      <c r="D48" s="4" t="s">
        <v>60</v>
      </c>
      <c r="E48" s="4" t="s">
        <v>111</v>
      </c>
      <c r="F48" s="4"/>
      <c r="G48" s="4" t="s">
        <v>195</v>
      </c>
      <c r="H48" s="4"/>
      <c r="I48" s="8">
        <v>400</v>
      </c>
      <c r="J48" s="4" t="s">
        <v>652</v>
      </c>
      <c r="K48" s="15">
        <v>46011</v>
      </c>
      <c r="L48" s="4">
        <v>2025404652</v>
      </c>
      <c r="M48" s="83" t="s">
        <v>222</v>
      </c>
      <c r="N48" s="4">
        <v>2025</v>
      </c>
    </row>
    <row r="49" spans="1:14">
      <c r="A49" s="4"/>
      <c r="B49" s="4" t="s">
        <v>52</v>
      </c>
      <c r="C49" s="4" t="s">
        <v>62</v>
      </c>
      <c r="D49" s="4" t="s">
        <v>60</v>
      </c>
      <c r="E49" s="4" t="s">
        <v>111</v>
      </c>
      <c r="F49" s="4"/>
      <c r="G49" s="4" t="s">
        <v>616</v>
      </c>
      <c r="H49" s="4"/>
      <c r="I49" s="8">
        <v>680</v>
      </c>
      <c r="J49" s="4" t="s">
        <v>653</v>
      </c>
      <c r="K49" s="15">
        <v>46000</v>
      </c>
      <c r="L49" s="4">
        <v>2025404697</v>
      </c>
      <c r="M49" s="83" t="s">
        <v>222</v>
      </c>
      <c r="N49" s="4">
        <v>2025</v>
      </c>
    </row>
    <row r="50" spans="1:14">
      <c r="A50" s="4"/>
      <c r="B50" s="4" t="s">
        <v>52</v>
      </c>
      <c r="C50" s="4" t="s">
        <v>62</v>
      </c>
      <c r="D50" s="4" t="s">
        <v>60</v>
      </c>
      <c r="E50" s="4" t="s">
        <v>111</v>
      </c>
      <c r="F50" s="4"/>
      <c r="G50" s="4" t="s">
        <v>289</v>
      </c>
      <c r="H50" s="4"/>
      <c r="I50" s="8">
        <v>2700</v>
      </c>
      <c r="J50" s="4" t="s">
        <v>654</v>
      </c>
      <c r="K50" s="15">
        <v>46011</v>
      </c>
      <c r="L50" s="4">
        <v>2025404898</v>
      </c>
      <c r="M50" s="83" t="s">
        <v>222</v>
      </c>
      <c r="N50" s="4">
        <v>2025</v>
      </c>
    </row>
    <row r="51" spans="1:14">
      <c r="A51" s="4"/>
      <c r="B51" s="4" t="s">
        <v>54</v>
      </c>
      <c r="C51" s="4" t="s">
        <v>55</v>
      </c>
      <c r="D51" s="4" t="s">
        <v>60</v>
      </c>
      <c r="E51" s="4" t="s">
        <v>111</v>
      </c>
      <c r="F51" s="4"/>
      <c r="G51" s="4" t="s">
        <v>231</v>
      </c>
      <c r="H51" s="4"/>
      <c r="I51" s="8">
        <v>1950</v>
      </c>
      <c r="J51" s="4" t="s">
        <v>655</v>
      </c>
      <c r="K51" s="15">
        <v>46000</v>
      </c>
      <c r="L51" s="4">
        <v>2025404901</v>
      </c>
      <c r="M51" s="83" t="s">
        <v>222</v>
      </c>
      <c r="N51" s="4">
        <v>2025</v>
      </c>
    </row>
    <row r="52" spans="1:14">
      <c r="A52" s="4"/>
      <c r="B52" s="4" t="s">
        <v>17</v>
      </c>
      <c r="C52" s="4" t="s">
        <v>18</v>
      </c>
      <c r="D52" s="4" t="s">
        <v>60</v>
      </c>
      <c r="E52" s="4" t="s">
        <v>111</v>
      </c>
      <c r="F52" s="4"/>
      <c r="G52" s="4" t="s">
        <v>618</v>
      </c>
      <c r="H52" s="4"/>
      <c r="I52" s="8">
        <v>2175</v>
      </c>
      <c r="J52" s="4" t="s">
        <v>656</v>
      </c>
      <c r="K52" s="15">
        <v>46004</v>
      </c>
      <c r="L52" s="4">
        <v>2025404819</v>
      </c>
      <c r="M52" s="83" t="s">
        <v>222</v>
      </c>
      <c r="N52" s="4">
        <v>2025</v>
      </c>
    </row>
    <row r="53" spans="1:14">
      <c r="A53" s="4"/>
      <c r="B53" s="4" t="s">
        <v>52</v>
      </c>
      <c r="C53" s="4" t="s">
        <v>62</v>
      </c>
      <c r="D53" s="4" t="s">
        <v>60</v>
      </c>
      <c r="E53" s="4" t="s">
        <v>111</v>
      </c>
      <c r="F53" s="4"/>
      <c r="G53" s="4" t="s">
        <v>231</v>
      </c>
      <c r="H53" s="4"/>
      <c r="I53" s="8">
        <v>3600</v>
      </c>
      <c r="J53" s="4" t="s">
        <v>657</v>
      </c>
      <c r="K53" s="15">
        <v>46015</v>
      </c>
      <c r="L53" s="4">
        <v>2025404888</v>
      </c>
      <c r="M53" s="83" t="s">
        <v>222</v>
      </c>
      <c r="N53" s="4">
        <v>2025</v>
      </c>
    </row>
    <row r="54" spans="1:14">
      <c r="A54" s="4"/>
      <c r="B54" s="4" t="s">
        <v>17</v>
      </c>
      <c r="C54" s="4" t="s">
        <v>18</v>
      </c>
      <c r="D54" s="4" t="s">
        <v>60</v>
      </c>
      <c r="E54" s="4" t="s">
        <v>111</v>
      </c>
      <c r="F54" s="4"/>
      <c r="G54" s="4" t="s">
        <v>231</v>
      </c>
      <c r="H54" s="4"/>
      <c r="I54" s="8">
        <v>400</v>
      </c>
      <c r="J54" s="4" t="s">
        <v>658</v>
      </c>
      <c r="K54" s="15">
        <v>46006</v>
      </c>
      <c r="L54" s="4">
        <v>2025404922</v>
      </c>
      <c r="M54" s="83" t="s">
        <v>222</v>
      </c>
      <c r="N54" s="4">
        <v>2025</v>
      </c>
    </row>
    <row r="55" spans="1:14">
      <c r="A55" s="4"/>
      <c r="B55" s="4" t="s">
        <v>52</v>
      </c>
      <c r="C55" s="4" t="s">
        <v>62</v>
      </c>
      <c r="D55" s="4" t="s">
        <v>60</v>
      </c>
      <c r="E55" s="4" t="s">
        <v>111</v>
      </c>
      <c r="F55" s="4"/>
      <c r="G55" s="4" t="s">
        <v>616</v>
      </c>
      <c r="H55" s="4"/>
      <c r="I55" s="8">
        <v>840</v>
      </c>
      <c r="J55" s="4" t="s">
        <v>659</v>
      </c>
      <c r="K55" s="15">
        <v>46028</v>
      </c>
      <c r="L55" s="4">
        <v>2025404886</v>
      </c>
      <c r="M55" s="83" t="s">
        <v>222</v>
      </c>
      <c r="N55" s="4">
        <v>2025</v>
      </c>
    </row>
    <row r="56" spans="1:14">
      <c r="A56" s="4"/>
      <c r="B56" s="4" t="s">
        <v>54</v>
      </c>
      <c r="C56" s="4" t="s">
        <v>55</v>
      </c>
      <c r="D56" s="4" t="s">
        <v>60</v>
      </c>
      <c r="E56" s="4" t="s">
        <v>111</v>
      </c>
      <c r="F56" s="4"/>
      <c r="G56" s="4" t="s">
        <v>619</v>
      </c>
      <c r="H56" s="4"/>
      <c r="I56" s="8">
        <v>3595.2</v>
      </c>
      <c r="J56" s="4" t="s">
        <v>660</v>
      </c>
      <c r="K56" s="15">
        <v>46004</v>
      </c>
      <c r="L56" s="4">
        <v>2026400059</v>
      </c>
      <c r="M56" s="83" t="s">
        <v>222</v>
      </c>
      <c r="N56" s="4">
        <v>2025</v>
      </c>
    </row>
    <row r="57" spans="1:14">
      <c r="A57" s="4"/>
      <c r="B57" s="4" t="s">
        <v>58</v>
      </c>
      <c r="C57" s="4" t="s">
        <v>59</v>
      </c>
      <c r="D57" s="4" t="s">
        <v>60</v>
      </c>
      <c r="E57" s="4" t="s">
        <v>111</v>
      </c>
      <c r="F57" s="4"/>
      <c r="G57" s="4" t="s">
        <v>620</v>
      </c>
      <c r="H57" s="4"/>
      <c r="I57" s="8">
        <v>816.64</v>
      </c>
      <c r="J57" s="4" t="s">
        <v>661</v>
      </c>
      <c r="K57" s="15">
        <v>46005</v>
      </c>
      <c r="L57" s="4">
        <v>2025404260</v>
      </c>
      <c r="M57" s="83" t="s">
        <v>222</v>
      </c>
      <c r="N57" s="4">
        <v>2025</v>
      </c>
    </row>
    <row r="58" spans="1:14">
      <c r="A58" s="4"/>
      <c r="B58" s="4" t="s">
        <v>42</v>
      </c>
      <c r="C58" s="4" t="s">
        <v>50</v>
      </c>
      <c r="D58" s="4" t="s">
        <v>60</v>
      </c>
      <c r="E58" s="4" t="s">
        <v>111</v>
      </c>
      <c r="F58" s="4"/>
      <c r="G58" s="4" t="s">
        <v>193</v>
      </c>
      <c r="H58" s="4"/>
      <c r="I58" s="8">
        <v>1971.0344827586207</v>
      </c>
      <c r="J58" s="4" t="s">
        <v>758</v>
      </c>
      <c r="K58" s="15">
        <v>46022</v>
      </c>
      <c r="L58" s="4">
        <v>2026400120</v>
      </c>
      <c r="M58" s="83" t="s">
        <v>222</v>
      </c>
      <c r="N58" s="4">
        <v>2025</v>
      </c>
    </row>
    <row r="59" spans="1:14">
      <c r="A59" s="4"/>
      <c r="B59" s="4" t="s">
        <v>42</v>
      </c>
      <c r="C59" s="4" t="s">
        <v>50</v>
      </c>
      <c r="D59" s="4" t="s">
        <v>60</v>
      </c>
      <c r="E59" s="4" t="s">
        <v>111</v>
      </c>
      <c r="F59" s="4"/>
      <c r="G59" s="4" t="s">
        <v>193</v>
      </c>
      <c r="H59" s="4"/>
      <c r="I59" s="8">
        <v>964.82758620689651</v>
      </c>
      <c r="J59" s="4" t="s">
        <v>759</v>
      </c>
      <c r="K59" s="15">
        <v>46022</v>
      </c>
      <c r="L59" s="4">
        <v>2026400120</v>
      </c>
      <c r="M59" s="83" t="s">
        <v>222</v>
      </c>
      <c r="N59" s="4">
        <v>2025</v>
      </c>
    </row>
    <row r="60" spans="1:14">
      <c r="A60" s="4"/>
      <c r="B60" s="4" t="s">
        <v>54</v>
      </c>
      <c r="C60" s="4" t="s">
        <v>55</v>
      </c>
      <c r="D60" s="4" t="s">
        <v>60</v>
      </c>
      <c r="E60" s="4" t="s">
        <v>111</v>
      </c>
      <c r="F60" s="4"/>
      <c r="G60" s="4" t="s">
        <v>288</v>
      </c>
      <c r="H60" s="4"/>
      <c r="I60" s="8">
        <v>344.82758620689657</v>
      </c>
      <c r="J60" s="4" t="s">
        <v>760</v>
      </c>
      <c r="K60" s="15">
        <v>46002</v>
      </c>
      <c r="L60" s="4">
        <v>2026400051</v>
      </c>
      <c r="M60" s="83" t="s">
        <v>222</v>
      </c>
      <c r="N60" s="4">
        <v>2025</v>
      </c>
    </row>
    <row r="61" spans="1:14">
      <c r="A61" s="4"/>
      <c r="B61" s="4" t="s">
        <v>52</v>
      </c>
      <c r="C61" s="4" t="s">
        <v>62</v>
      </c>
      <c r="D61" s="4" t="s">
        <v>60</v>
      </c>
      <c r="E61" s="4" t="s">
        <v>111</v>
      </c>
      <c r="F61" s="4"/>
      <c r="G61" s="4" t="s">
        <v>288</v>
      </c>
      <c r="H61" s="4"/>
      <c r="I61" s="8">
        <v>241.37931034482759</v>
      </c>
      <c r="J61" s="4" t="s">
        <v>761</v>
      </c>
      <c r="K61" s="15">
        <v>46012</v>
      </c>
      <c r="L61" s="4">
        <v>2026400046</v>
      </c>
      <c r="M61" s="83" t="s">
        <v>222</v>
      </c>
      <c r="N61" s="4">
        <v>2025</v>
      </c>
    </row>
    <row r="62" spans="1:14">
      <c r="A62" s="4"/>
      <c r="B62" s="4" t="s">
        <v>54</v>
      </c>
      <c r="C62" s="4" t="s">
        <v>55</v>
      </c>
      <c r="D62" s="4" t="s">
        <v>60</v>
      </c>
      <c r="E62" s="4" t="s">
        <v>111</v>
      </c>
      <c r="F62" s="4"/>
      <c r="G62" s="4" t="s">
        <v>288</v>
      </c>
      <c r="H62" s="4"/>
      <c r="I62" s="8">
        <v>241.37931034482759</v>
      </c>
      <c r="J62" s="4" t="s">
        <v>762</v>
      </c>
      <c r="K62" s="15">
        <v>46014</v>
      </c>
      <c r="L62" s="4">
        <v>2026400081</v>
      </c>
      <c r="M62" s="83" t="s">
        <v>222</v>
      </c>
      <c r="N62" s="4">
        <v>2025</v>
      </c>
    </row>
    <row r="63" spans="1:14">
      <c r="A63" s="4"/>
      <c r="B63" s="4" t="s">
        <v>54</v>
      </c>
      <c r="C63" s="4" t="s">
        <v>55</v>
      </c>
      <c r="D63" s="4" t="s">
        <v>60</v>
      </c>
      <c r="E63" s="4" t="s">
        <v>111</v>
      </c>
      <c r="F63" s="4"/>
      <c r="G63" s="4" t="s">
        <v>231</v>
      </c>
      <c r="H63" s="4"/>
      <c r="I63" s="8">
        <v>50</v>
      </c>
      <c r="J63" s="4" t="s">
        <v>763</v>
      </c>
      <c r="K63" s="15">
        <v>46016</v>
      </c>
      <c r="L63" s="4">
        <v>2026400121</v>
      </c>
      <c r="M63" s="83" t="s">
        <v>222</v>
      </c>
      <c r="N63" s="4">
        <v>2025</v>
      </c>
    </row>
    <row r="64" spans="1:14">
      <c r="A64" s="4"/>
      <c r="B64" s="4"/>
      <c r="C64" s="4"/>
      <c r="D64" s="4"/>
      <c r="E64" s="4"/>
      <c r="F64" s="4"/>
      <c r="G64" s="4"/>
      <c r="H64" s="4"/>
      <c r="J64" s="4"/>
      <c r="K64" s="4"/>
      <c r="L64" s="4"/>
      <c r="M64" s="4"/>
      <c r="N64" s="4"/>
    </row>
    <row r="65" spans="1:14">
      <c r="A65" s="4"/>
      <c r="B65" s="4"/>
      <c r="C65" s="4"/>
      <c r="D65" s="4"/>
      <c r="E65" s="4"/>
      <c r="F65" s="4"/>
      <c r="G65" s="4"/>
      <c r="H65" s="4"/>
      <c r="J65" s="4"/>
      <c r="K65" s="4"/>
      <c r="L65" s="4"/>
      <c r="M65" s="4"/>
      <c r="N65" s="4"/>
    </row>
    <row r="66" spans="1:14">
      <c r="A66" s="4"/>
      <c r="B66" s="4"/>
      <c r="C66" s="4"/>
      <c r="D66" s="4"/>
      <c r="E66" s="4"/>
      <c r="F66" s="4"/>
      <c r="G66" s="4"/>
      <c r="H66" s="4"/>
      <c r="J66" s="4"/>
      <c r="K66" s="4"/>
      <c r="L66" s="4"/>
      <c r="M66" s="4"/>
      <c r="N66" s="4"/>
    </row>
    <row r="67" spans="1:14">
      <c r="A67" s="4"/>
      <c r="B67" s="4"/>
      <c r="C67" s="4"/>
      <c r="D67" s="4"/>
      <c r="E67" s="4"/>
      <c r="F67" s="4"/>
      <c r="G67" s="4"/>
      <c r="H67" s="4"/>
      <c r="J67" s="4"/>
      <c r="K67" s="4"/>
      <c r="L67" s="4"/>
      <c r="M67" s="4"/>
      <c r="N67" s="4"/>
    </row>
    <row r="68" spans="1:14">
      <c r="A68" s="4"/>
      <c r="B68" s="4"/>
      <c r="C68" s="4"/>
      <c r="D68" s="4"/>
      <c r="E68" s="4"/>
      <c r="F68" s="4"/>
      <c r="G68" s="4"/>
      <c r="H68" s="4"/>
      <c r="J68" s="4"/>
      <c r="K68" s="4"/>
      <c r="L68" s="4"/>
      <c r="M68" s="4"/>
      <c r="N68" s="4"/>
    </row>
    <row r="69" spans="1:14">
      <c r="A69" s="4"/>
      <c r="B69" s="4"/>
      <c r="C69" s="4"/>
      <c r="D69" s="4"/>
      <c r="E69" s="4"/>
      <c r="F69" s="4"/>
      <c r="G69" s="4"/>
      <c r="H69" s="4"/>
      <c r="J69" s="4"/>
      <c r="K69" s="4"/>
      <c r="L69" s="4"/>
      <c r="M69" s="4"/>
      <c r="N69" s="4"/>
    </row>
    <row r="70" spans="1:14">
      <c r="A70" s="4"/>
      <c r="B70" s="4"/>
      <c r="C70" s="4"/>
      <c r="D70" s="4"/>
      <c r="E70" s="4"/>
      <c r="F70" s="4"/>
      <c r="G70" s="4"/>
      <c r="H70" s="4"/>
      <c r="J70" s="4"/>
      <c r="K70" s="4"/>
      <c r="L70" s="4"/>
      <c r="M70" s="4"/>
      <c r="N70" s="4"/>
    </row>
    <row r="71" spans="1:14">
      <c r="A71" s="4"/>
      <c r="B71" s="4"/>
      <c r="C71" s="4"/>
      <c r="D71" s="4"/>
      <c r="E71" s="4"/>
      <c r="F71" s="4"/>
      <c r="G71" s="4"/>
      <c r="H71" s="4"/>
      <c r="J71" s="4"/>
      <c r="K71" s="4"/>
      <c r="L71" s="4"/>
      <c r="M71" s="4"/>
      <c r="N71" s="4"/>
    </row>
    <row r="72" spans="1:14">
      <c r="A72" s="4"/>
      <c r="B72" s="4"/>
      <c r="C72" s="4"/>
      <c r="D72" s="4"/>
      <c r="E72" s="4"/>
      <c r="F72" s="4"/>
      <c r="G72" s="4"/>
      <c r="H72" s="4"/>
      <c r="J72" s="4"/>
      <c r="K72" s="4"/>
      <c r="L72" s="4"/>
      <c r="M72" s="4"/>
      <c r="N72" s="4"/>
    </row>
    <row r="73" spans="1:14">
      <c r="A73" s="4"/>
      <c r="B73" s="4"/>
      <c r="C73" s="4"/>
      <c r="D73" s="4"/>
      <c r="E73" s="4"/>
      <c r="F73" s="4"/>
      <c r="G73" s="4"/>
      <c r="H73" s="4"/>
      <c r="J73" s="4"/>
      <c r="K73" s="4"/>
      <c r="L73" s="4"/>
      <c r="M73" s="4"/>
      <c r="N73" s="4"/>
    </row>
    <row r="74" spans="1:14">
      <c r="A74" s="4"/>
      <c r="B74" s="4"/>
      <c r="C74" s="4"/>
      <c r="D74" s="4"/>
      <c r="E74" s="4"/>
      <c r="F74" s="4"/>
      <c r="G74" s="4"/>
      <c r="H74" s="4"/>
      <c r="J74" s="4"/>
      <c r="K74" s="4"/>
      <c r="L74" s="4"/>
      <c r="M74" s="4"/>
      <c r="N74" s="4"/>
    </row>
    <row r="75" spans="1:14">
      <c r="A75" s="4"/>
      <c r="B75" s="4"/>
      <c r="C75" s="4"/>
      <c r="D75" s="4"/>
      <c r="E75" s="4"/>
      <c r="F75" s="4"/>
      <c r="G75" s="4"/>
      <c r="H75" s="4"/>
      <c r="J75" s="4"/>
      <c r="K75" s="4"/>
      <c r="L75" s="4"/>
      <c r="M75" s="4"/>
      <c r="N75" s="4"/>
    </row>
    <row r="76" spans="1:14">
      <c r="A76" s="4"/>
      <c r="B76" s="4"/>
      <c r="C76" s="4"/>
      <c r="D76" s="4"/>
      <c r="E76" s="4"/>
      <c r="F76" s="4"/>
      <c r="G76" s="4"/>
      <c r="H76" s="4"/>
      <c r="J76" s="4"/>
      <c r="K76" s="4"/>
      <c r="L76" s="4"/>
      <c r="M76" s="4"/>
      <c r="N76" s="4"/>
    </row>
    <row r="77" spans="1:14">
      <c r="A77" s="4"/>
      <c r="B77" s="4"/>
      <c r="C77" s="4"/>
      <c r="D77" s="4"/>
      <c r="E77" s="4"/>
      <c r="F77" s="4"/>
      <c r="G77" s="4"/>
      <c r="H77" s="4"/>
      <c r="J77" s="4"/>
      <c r="K77" s="4"/>
      <c r="L77" s="4"/>
      <c r="M77" s="4"/>
      <c r="N77" s="4"/>
    </row>
    <row r="78" spans="1:14">
      <c r="A78" s="4"/>
      <c r="B78" s="4"/>
      <c r="C78" s="4"/>
      <c r="D78" s="4"/>
      <c r="E78" s="4"/>
      <c r="F78" s="4"/>
      <c r="G78" s="4"/>
      <c r="H78" s="4"/>
      <c r="J78" s="4"/>
      <c r="K78" s="4"/>
      <c r="L78" s="4"/>
      <c r="M78" s="4"/>
      <c r="N78" s="4"/>
    </row>
    <row r="79" spans="1:14">
      <c r="A79" s="4"/>
      <c r="B79" s="4"/>
      <c r="C79" s="4"/>
      <c r="D79" s="4"/>
      <c r="E79" s="4"/>
      <c r="F79" s="4"/>
      <c r="G79" s="4"/>
      <c r="H79" s="4"/>
      <c r="J79" s="4"/>
      <c r="K79" s="4"/>
      <c r="L79" s="4"/>
      <c r="M79" s="4"/>
      <c r="N79" s="4"/>
    </row>
    <row r="80" spans="1:14">
      <c r="A80" s="4"/>
      <c r="B80" s="4"/>
      <c r="C80" s="4"/>
      <c r="D80" s="4"/>
      <c r="E80" s="4"/>
      <c r="F80" s="4"/>
      <c r="G80" s="4"/>
      <c r="H80" s="4"/>
      <c r="J80" s="4"/>
      <c r="K80" s="4"/>
      <c r="L80" s="4"/>
      <c r="M80" s="4"/>
      <c r="N80" s="4"/>
    </row>
    <row r="81" spans="1:14">
      <c r="A81" s="4"/>
      <c r="B81" s="4"/>
      <c r="C81" s="4"/>
      <c r="D81" s="4"/>
      <c r="E81" s="4"/>
      <c r="F81" s="4"/>
      <c r="G81" s="4"/>
      <c r="H81" s="4"/>
      <c r="J81" s="4"/>
      <c r="K81" s="4"/>
      <c r="L81" s="4"/>
      <c r="M81" s="4"/>
      <c r="N81" s="4"/>
    </row>
    <row r="82" spans="1:14">
      <c r="A82" s="4"/>
      <c r="B82" s="4"/>
      <c r="C82" s="4"/>
      <c r="D82" s="4"/>
      <c r="E82" s="4"/>
      <c r="F82" s="4"/>
      <c r="G82" s="4"/>
      <c r="H82" s="4"/>
      <c r="J82" s="4"/>
      <c r="K82" s="4"/>
      <c r="L82" s="4"/>
      <c r="M82" s="4"/>
      <c r="N82" s="4"/>
    </row>
    <row r="83" spans="1:14">
      <c r="A83" s="4"/>
      <c r="B83" s="4"/>
      <c r="C83" s="4"/>
      <c r="D83" s="4"/>
      <c r="E83" s="4"/>
      <c r="F83" s="4"/>
      <c r="G83" s="4"/>
      <c r="H83" s="4"/>
      <c r="J83" s="4"/>
      <c r="K83" s="4"/>
      <c r="L83" s="4"/>
      <c r="M83" s="4"/>
      <c r="N83" s="4"/>
    </row>
    <row r="84" spans="1:14">
      <c r="A84" s="4"/>
      <c r="B84" s="4"/>
      <c r="C84" s="4"/>
      <c r="D84" s="4"/>
      <c r="E84" s="4"/>
      <c r="F84" s="4"/>
      <c r="G84" s="4"/>
      <c r="H84" s="4"/>
      <c r="J84" s="4"/>
      <c r="K84" s="4"/>
      <c r="L84" s="4"/>
      <c r="M84" s="4"/>
      <c r="N84" s="4"/>
    </row>
    <row r="85" spans="1:14">
      <c r="A85" s="4"/>
      <c r="B85" s="4"/>
      <c r="C85" s="4"/>
      <c r="D85" s="4"/>
      <c r="E85" s="4"/>
      <c r="F85" s="4"/>
      <c r="G85" s="4"/>
      <c r="H85" s="4"/>
      <c r="J85" s="4"/>
      <c r="K85" s="4"/>
      <c r="L85" s="4"/>
      <c r="M85" s="4"/>
      <c r="N85" s="4"/>
    </row>
    <row r="86" spans="1:14">
      <c r="A86" s="4"/>
      <c r="B86" s="4"/>
      <c r="C86" s="4"/>
      <c r="D86" s="4"/>
      <c r="E86" s="4"/>
      <c r="F86" s="4"/>
      <c r="G86" s="4"/>
      <c r="H86" s="4"/>
      <c r="J86" s="4"/>
      <c r="K86" s="4"/>
      <c r="L86" s="4"/>
      <c r="M86" s="4"/>
      <c r="N86" s="4"/>
    </row>
    <row r="87" spans="1:14">
      <c r="A87" s="4"/>
      <c r="B87" s="4"/>
      <c r="C87" s="4"/>
      <c r="D87" s="4"/>
      <c r="E87" s="4"/>
      <c r="F87" s="4"/>
      <c r="G87" s="4"/>
      <c r="H87" s="4"/>
      <c r="J87" s="4"/>
      <c r="K87" s="4"/>
      <c r="L87" s="4"/>
      <c r="M87" s="4"/>
      <c r="N87" s="4"/>
    </row>
    <row r="88" spans="1:14">
      <c r="A88" s="4"/>
      <c r="B88" s="4"/>
      <c r="C88" s="4"/>
      <c r="D88" s="4"/>
      <c r="E88" s="4"/>
      <c r="F88" s="4"/>
      <c r="G88" s="4"/>
      <c r="H88" s="4"/>
      <c r="J88" s="4"/>
      <c r="K88" s="4"/>
      <c r="L88" s="4"/>
      <c r="M88" s="4"/>
      <c r="N88" s="4"/>
    </row>
    <row r="89" spans="1:14">
      <c r="A89" s="4"/>
      <c r="B89" s="4"/>
      <c r="C89" s="4"/>
      <c r="D89" s="4"/>
      <c r="E89" s="4"/>
      <c r="F89" s="4"/>
      <c r="G89" s="4"/>
      <c r="H89" s="4"/>
      <c r="J89" s="4"/>
      <c r="K89" s="4"/>
      <c r="L89" s="4"/>
      <c r="M89" s="4"/>
      <c r="N89" s="4"/>
    </row>
    <row r="90" spans="1:14">
      <c r="A90" s="4"/>
      <c r="B90" s="4"/>
      <c r="C90" s="4"/>
      <c r="D90" s="4"/>
      <c r="E90" s="4"/>
      <c r="F90" s="4"/>
      <c r="G90" s="4"/>
      <c r="H90" s="4"/>
      <c r="J90" s="4"/>
      <c r="K90" s="4"/>
      <c r="L90" s="4"/>
      <c r="M90" s="4"/>
      <c r="N90" s="4"/>
    </row>
    <row r="91" spans="1:14">
      <c r="A91" s="4"/>
      <c r="B91" s="4"/>
      <c r="C91" s="4"/>
      <c r="D91" s="4"/>
      <c r="E91" s="4"/>
      <c r="F91" s="4"/>
      <c r="G91" s="4"/>
      <c r="H91" s="4"/>
      <c r="J91" s="4"/>
      <c r="K91" s="4"/>
      <c r="L91" s="4"/>
      <c r="M91" s="4"/>
      <c r="N91" s="4"/>
    </row>
    <row r="92" spans="1:14">
      <c r="A92" s="4"/>
      <c r="B92" s="4"/>
      <c r="C92" s="4"/>
      <c r="D92" s="4"/>
      <c r="E92" s="4"/>
      <c r="F92" s="4"/>
      <c r="G92" s="4"/>
      <c r="H92" s="4"/>
      <c r="J92" s="4"/>
      <c r="K92" s="4"/>
      <c r="L92" s="4"/>
      <c r="M92" s="4"/>
      <c r="N92" s="4"/>
    </row>
    <row r="93" spans="1:14">
      <c r="A93" s="4"/>
      <c r="B93" s="4"/>
      <c r="C93" s="4"/>
      <c r="D93" s="4"/>
      <c r="E93" s="4"/>
      <c r="F93" s="4"/>
      <c r="G93" s="4"/>
      <c r="H93" s="4"/>
      <c r="J93" s="4"/>
      <c r="K93" s="4"/>
      <c r="L93" s="4"/>
      <c r="M93" s="4"/>
      <c r="N93" s="4"/>
    </row>
    <row r="94" spans="1:14">
      <c r="A94" s="4"/>
      <c r="B94" s="4"/>
      <c r="C94" s="4"/>
      <c r="D94" s="4"/>
      <c r="E94" s="4"/>
      <c r="F94" s="4"/>
      <c r="G94" s="4"/>
      <c r="H94" s="4"/>
      <c r="J94" s="4"/>
      <c r="K94" s="4"/>
      <c r="L94" s="4"/>
      <c r="M94" s="4"/>
      <c r="N94" s="4"/>
    </row>
    <row r="95" spans="1:14">
      <c r="A95" s="4"/>
      <c r="B95" s="4"/>
      <c r="C95" s="4"/>
      <c r="D95" s="4"/>
      <c r="E95" s="4"/>
      <c r="F95" s="4"/>
      <c r="G95" s="4"/>
      <c r="H95" s="4"/>
      <c r="J95" s="4"/>
      <c r="K95" s="4"/>
      <c r="L95" s="4"/>
      <c r="M95" s="4"/>
      <c r="N95" s="4"/>
    </row>
    <row r="96" spans="1:14">
      <c r="A96" s="4"/>
      <c r="B96" s="4"/>
      <c r="C96" s="4"/>
      <c r="D96" s="4"/>
      <c r="E96" s="4"/>
      <c r="F96" s="4"/>
      <c r="G96" s="4"/>
      <c r="H96" s="4"/>
      <c r="J96" s="4"/>
      <c r="K96" s="4"/>
      <c r="L96" s="4"/>
      <c r="M96" s="4"/>
      <c r="N96" s="4"/>
    </row>
    <row r="97" spans="1:14">
      <c r="A97" s="4"/>
      <c r="B97" s="4"/>
      <c r="C97" s="4"/>
      <c r="D97" s="4"/>
      <c r="E97" s="4"/>
      <c r="F97" s="4"/>
      <c r="G97" s="4"/>
      <c r="H97" s="4"/>
      <c r="J97" s="4"/>
      <c r="K97" s="4"/>
      <c r="L97" s="4"/>
      <c r="M97" s="4"/>
      <c r="N97" s="4"/>
    </row>
    <row r="98" spans="1:14">
      <c r="A98" s="4"/>
      <c r="B98" s="4"/>
      <c r="C98" s="4"/>
      <c r="D98" s="4"/>
      <c r="E98" s="4"/>
      <c r="F98" s="4"/>
      <c r="G98" s="4"/>
      <c r="H98" s="4"/>
      <c r="J98" s="4"/>
      <c r="K98" s="4"/>
      <c r="L98" s="4"/>
      <c r="M98" s="4"/>
      <c r="N98" s="4"/>
    </row>
    <row r="99" spans="1:14">
      <c r="A99" s="4"/>
      <c r="B99" s="4"/>
      <c r="C99" s="4"/>
      <c r="D99" s="4"/>
      <c r="E99" s="4"/>
      <c r="F99" s="4"/>
      <c r="G99" s="4"/>
      <c r="H99" s="4"/>
      <c r="J99" s="4"/>
      <c r="K99" s="4"/>
      <c r="L99" s="4"/>
      <c r="M99" s="4"/>
      <c r="N99" s="4"/>
    </row>
    <row r="100" spans="1:14">
      <c r="A100" s="4"/>
      <c r="B100" s="4"/>
      <c r="C100" s="4"/>
      <c r="D100" s="4"/>
      <c r="E100" s="4"/>
      <c r="F100" s="4"/>
      <c r="G100" s="4"/>
      <c r="H100" s="4"/>
      <c r="J100" s="4"/>
      <c r="K100" s="4"/>
      <c r="L100" s="4"/>
      <c r="M100" s="4"/>
      <c r="N100" s="4"/>
    </row>
    <row r="101" spans="1:14">
      <c r="A101" s="4"/>
      <c r="B101" s="4"/>
      <c r="C101" s="4"/>
      <c r="D101" s="4"/>
      <c r="E101" s="4"/>
      <c r="F101" s="4"/>
      <c r="G101" s="4"/>
      <c r="H101" s="4"/>
      <c r="J101" s="4"/>
      <c r="K101" s="4"/>
      <c r="L101" s="4"/>
      <c r="M101" s="4"/>
      <c r="N101" s="4"/>
    </row>
    <row r="102" spans="1:14">
      <c r="A102" s="4"/>
      <c r="B102" s="4"/>
      <c r="C102" s="4"/>
      <c r="D102" s="4"/>
      <c r="E102" s="4"/>
      <c r="F102" s="4"/>
      <c r="G102" s="4"/>
      <c r="H102" s="4"/>
      <c r="J102" s="4"/>
      <c r="K102" s="4"/>
      <c r="L102" s="4"/>
      <c r="M102" s="4"/>
      <c r="N102" s="4"/>
    </row>
    <row r="103" spans="1:14">
      <c r="A103" s="4"/>
      <c r="B103" s="4"/>
      <c r="C103" s="4"/>
      <c r="D103" s="4"/>
      <c r="E103" s="4"/>
      <c r="F103" s="4"/>
      <c r="G103" s="4"/>
      <c r="H103" s="4"/>
      <c r="J103" s="4"/>
      <c r="K103" s="4"/>
      <c r="L103" s="4"/>
      <c r="M103" s="4"/>
      <c r="N103" s="4"/>
    </row>
    <row r="104" spans="1:14">
      <c r="A104" s="4"/>
      <c r="B104" s="4"/>
      <c r="C104" s="4"/>
      <c r="D104" s="4"/>
      <c r="E104" s="4"/>
      <c r="F104" s="4"/>
      <c r="G104" s="4"/>
      <c r="H104" s="4"/>
      <c r="J104" s="4"/>
      <c r="K104" s="4"/>
      <c r="L104" s="4"/>
      <c r="M104" s="4"/>
      <c r="N104" s="4"/>
    </row>
    <row r="105" spans="1:14">
      <c r="A105" s="4"/>
      <c r="B105" s="4"/>
      <c r="C105" s="4"/>
      <c r="D105" s="4"/>
      <c r="E105" s="4"/>
      <c r="F105" s="4"/>
      <c r="G105" s="4"/>
      <c r="H105" s="4"/>
      <c r="J105" s="4"/>
      <c r="K105" s="4"/>
      <c r="L105" s="4"/>
      <c r="M105" s="4"/>
      <c r="N105" s="4"/>
    </row>
    <row r="106" spans="1:14">
      <c r="A106" s="4"/>
      <c r="B106" s="4"/>
      <c r="C106" s="4"/>
      <c r="D106" s="4"/>
      <c r="E106" s="4"/>
      <c r="F106" s="4"/>
      <c r="G106" s="4"/>
      <c r="H106" s="4"/>
      <c r="J106" s="4"/>
      <c r="K106" s="4"/>
      <c r="L106" s="4"/>
      <c r="M106" s="4"/>
      <c r="N106" s="4"/>
    </row>
    <row r="107" spans="1:14">
      <c r="A107" s="4"/>
      <c r="B107" s="4"/>
      <c r="C107" s="4"/>
      <c r="D107" s="4"/>
      <c r="E107" s="4"/>
      <c r="F107" s="4"/>
      <c r="G107" s="4"/>
      <c r="H107" s="4"/>
      <c r="J107" s="4"/>
      <c r="K107" s="4"/>
      <c r="L107" s="4"/>
      <c r="M107" s="4"/>
      <c r="N107" s="4"/>
    </row>
    <row r="108" spans="1:14">
      <c r="A108" s="4"/>
      <c r="B108" s="4"/>
      <c r="C108" s="4"/>
      <c r="D108" s="4"/>
      <c r="E108" s="4"/>
      <c r="F108" s="4"/>
      <c r="G108" s="4"/>
      <c r="H108" s="4"/>
      <c r="J108" s="4"/>
      <c r="K108" s="4"/>
      <c r="L108" s="4"/>
      <c r="M108" s="4"/>
      <c r="N108" s="4"/>
    </row>
    <row r="109" spans="1:14">
      <c r="A109" s="4"/>
      <c r="B109" s="4"/>
      <c r="C109" s="4"/>
      <c r="D109" s="4"/>
      <c r="E109" s="4"/>
      <c r="F109" s="4"/>
      <c r="G109" s="4"/>
      <c r="H109" s="4"/>
      <c r="J109" s="4"/>
      <c r="K109" s="4"/>
      <c r="L109" s="4"/>
      <c r="M109" s="4"/>
      <c r="N109" s="4"/>
    </row>
    <row r="110" spans="1:14">
      <c r="A110" s="4"/>
      <c r="B110" s="4"/>
      <c r="C110" s="4"/>
      <c r="D110" s="4"/>
      <c r="E110" s="4"/>
      <c r="F110" s="4"/>
      <c r="G110" s="4"/>
      <c r="H110" s="4"/>
      <c r="J110" s="4"/>
      <c r="K110" s="4"/>
      <c r="L110" s="4"/>
      <c r="M110" s="4"/>
      <c r="N110" s="4"/>
    </row>
    <row r="111" spans="1:14">
      <c r="A111" s="4"/>
      <c r="B111" s="4"/>
      <c r="C111" s="4"/>
      <c r="D111" s="4"/>
      <c r="E111" s="4"/>
      <c r="F111" s="4"/>
      <c r="G111" s="4"/>
      <c r="H111" s="4"/>
      <c r="J111" s="4"/>
      <c r="K111" s="4"/>
      <c r="L111" s="4"/>
      <c r="M111" s="4"/>
      <c r="N111" s="4"/>
    </row>
    <row r="112" spans="1:14">
      <c r="A112" s="4"/>
      <c r="B112" s="4"/>
      <c r="C112" s="4"/>
      <c r="D112" s="4"/>
      <c r="E112" s="4"/>
      <c r="F112" s="4"/>
      <c r="G112" s="4"/>
      <c r="H112" s="4"/>
      <c r="J112" s="4"/>
      <c r="K112" s="4"/>
      <c r="L112" s="4"/>
      <c r="M112" s="4"/>
      <c r="N112" s="4"/>
    </row>
    <row r="113" spans="1:14">
      <c r="A113" s="4"/>
      <c r="B113" s="4"/>
      <c r="C113" s="4"/>
      <c r="D113" s="4"/>
      <c r="E113" s="4"/>
      <c r="F113" s="4"/>
      <c r="G113" s="4"/>
      <c r="H113" s="4"/>
      <c r="J113" s="4"/>
      <c r="K113" s="4"/>
      <c r="L113" s="4"/>
      <c r="M113" s="4"/>
      <c r="N113" s="4"/>
    </row>
    <row r="114" spans="1:14">
      <c r="A114" s="4"/>
      <c r="B114" s="4"/>
      <c r="C114" s="4"/>
      <c r="D114" s="4"/>
      <c r="E114" s="4"/>
      <c r="F114" s="4"/>
      <c r="G114" s="4"/>
      <c r="H114" s="4"/>
      <c r="J114" s="4"/>
      <c r="K114" s="4"/>
      <c r="L114" s="4"/>
      <c r="M114" s="4"/>
      <c r="N114" s="4"/>
    </row>
    <row r="115" spans="1:14">
      <c r="A115" s="4"/>
      <c r="B115" s="4"/>
      <c r="C115" s="4"/>
      <c r="D115" s="4"/>
      <c r="E115" s="4"/>
      <c r="F115" s="4"/>
      <c r="G115" s="4"/>
      <c r="H115" s="4"/>
      <c r="J115" s="4"/>
      <c r="K115" s="4"/>
      <c r="L115" s="4"/>
      <c r="M115" s="4"/>
      <c r="N115" s="4"/>
    </row>
    <row r="116" spans="1:14">
      <c r="A116" s="4"/>
      <c r="B116" s="4"/>
      <c r="C116" s="4"/>
      <c r="D116" s="4"/>
      <c r="E116" s="4"/>
      <c r="F116" s="4"/>
      <c r="G116" s="4"/>
      <c r="H116" s="4"/>
      <c r="J116" s="4"/>
      <c r="K116" s="4"/>
      <c r="L116" s="4"/>
      <c r="M116" s="4"/>
      <c r="N116" s="4"/>
    </row>
    <row r="117" spans="1:14">
      <c r="A117" s="4"/>
      <c r="B117" s="4"/>
      <c r="C117" s="4"/>
      <c r="D117" s="4"/>
      <c r="E117" s="4"/>
      <c r="F117" s="4"/>
      <c r="G117" s="4"/>
      <c r="H117" s="4"/>
      <c r="J117" s="4"/>
      <c r="K117" s="4"/>
      <c r="L117" s="4"/>
      <c r="M117" s="4"/>
      <c r="N117" s="4"/>
    </row>
    <row r="118" spans="1:14">
      <c r="A118" s="4"/>
      <c r="B118" s="4"/>
      <c r="C118" s="4"/>
      <c r="D118" s="4"/>
      <c r="E118" s="4"/>
      <c r="F118" s="4"/>
      <c r="G118" s="4"/>
      <c r="H118" s="4"/>
      <c r="J118" s="4"/>
      <c r="K118" s="4"/>
      <c r="L118" s="4"/>
      <c r="M118" s="4"/>
      <c r="N118" s="4"/>
    </row>
    <row r="119" spans="1:14">
      <c r="A119" s="4"/>
      <c r="B119" s="4"/>
      <c r="C119" s="4"/>
      <c r="D119" s="4"/>
      <c r="E119" s="4"/>
      <c r="F119" s="4"/>
      <c r="G119" s="4"/>
      <c r="H119" s="4"/>
      <c r="J119" s="4"/>
      <c r="K119" s="4"/>
      <c r="L119" s="4"/>
      <c r="M119" s="4"/>
      <c r="N119" s="4"/>
    </row>
    <row r="120" spans="1:14">
      <c r="A120" s="4"/>
      <c r="B120" s="4"/>
      <c r="C120" s="4"/>
      <c r="D120" s="4"/>
      <c r="E120" s="4"/>
      <c r="F120" s="4"/>
      <c r="G120" s="4"/>
      <c r="H120" s="4"/>
      <c r="J120" s="4"/>
      <c r="K120" s="4"/>
      <c r="L120" s="4"/>
      <c r="M120" s="4"/>
      <c r="N120" s="4"/>
    </row>
    <row r="121" spans="1:14">
      <c r="A121" s="4"/>
      <c r="B121" s="4"/>
      <c r="C121" s="4"/>
      <c r="D121" s="4"/>
      <c r="E121" s="4"/>
      <c r="F121" s="4"/>
      <c r="G121" s="4"/>
      <c r="H121" s="4"/>
      <c r="J121" s="4"/>
      <c r="K121" s="4"/>
      <c r="L121" s="4"/>
      <c r="M121" s="4"/>
      <c r="N121" s="4"/>
    </row>
    <row r="122" spans="1:14">
      <c r="A122" s="4"/>
      <c r="B122" s="4"/>
      <c r="C122" s="4"/>
      <c r="D122" s="4"/>
      <c r="E122" s="4"/>
      <c r="F122" s="4"/>
      <c r="G122" s="4"/>
      <c r="H122" s="4"/>
      <c r="J122" s="4"/>
      <c r="K122" s="4"/>
      <c r="L122" s="4"/>
      <c r="M122" s="4"/>
      <c r="N122" s="4"/>
    </row>
    <row r="123" spans="1:14">
      <c r="A123" s="4"/>
      <c r="B123" s="4"/>
      <c r="C123" s="4"/>
      <c r="D123" s="4"/>
      <c r="E123" s="4"/>
      <c r="F123" s="4"/>
      <c r="G123" s="4"/>
      <c r="H123" s="4"/>
      <c r="J123" s="4"/>
      <c r="K123" s="4"/>
      <c r="L123" s="4"/>
      <c r="M123" s="4"/>
      <c r="N123" s="4"/>
    </row>
    <row r="124" spans="1:14">
      <c r="A124" s="4"/>
      <c r="B124" s="4"/>
      <c r="C124" s="4"/>
      <c r="D124" s="4"/>
      <c r="E124" s="4"/>
      <c r="F124" s="4"/>
      <c r="G124" s="4"/>
      <c r="H124" s="4"/>
      <c r="J124" s="4"/>
      <c r="K124" s="4"/>
      <c r="L124" s="4"/>
      <c r="M124" s="4"/>
      <c r="N124" s="4"/>
    </row>
    <row r="125" spans="1:14">
      <c r="A125" s="4"/>
      <c r="B125" s="4"/>
      <c r="C125" s="4"/>
      <c r="D125" s="4"/>
      <c r="E125" s="4"/>
      <c r="F125" s="4"/>
      <c r="G125" s="4"/>
      <c r="H125" s="4"/>
      <c r="J125" s="4"/>
      <c r="K125" s="4"/>
      <c r="L125" s="4"/>
      <c r="M125" s="4"/>
      <c r="N125" s="4"/>
    </row>
    <row r="126" spans="1:14">
      <c r="A126" s="4"/>
      <c r="B126" s="4"/>
      <c r="C126" s="4"/>
      <c r="D126" s="4"/>
      <c r="E126" s="4"/>
      <c r="F126" s="4"/>
      <c r="G126" s="4"/>
      <c r="H126" s="4"/>
      <c r="J126" s="4"/>
      <c r="K126" s="4"/>
      <c r="L126" s="4"/>
      <c r="M126" s="4"/>
      <c r="N126" s="4"/>
    </row>
    <row r="127" spans="1:14">
      <c r="A127" s="4"/>
      <c r="B127" s="4"/>
      <c r="C127" s="4"/>
      <c r="D127" s="4"/>
      <c r="E127" s="4"/>
      <c r="F127" s="4"/>
      <c r="G127" s="4"/>
      <c r="H127" s="4"/>
      <c r="J127" s="4"/>
      <c r="K127" s="4"/>
      <c r="L127" s="4"/>
      <c r="M127" s="4"/>
      <c r="N127" s="4"/>
    </row>
    <row r="128" spans="1:14">
      <c r="A128" s="4"/>
      <c r="B128" s="4"/>
      <c r="C128" s="4"/>
      <c r="D128" s="4"/>
      <c r="E128" s="4"/>
      <c r="F128" s="4"/>
      <c r="G128" s="4"/>
      <c r="H128" s="4"/>
      <c r="J128" s="4"/>
      <c r="K128" s="4"/>
      <c r="L128" s="4"/>
      <c r="M128" s="4"/>
      <c r="N128" s="4"/>
    </row>
    <row r="129" spans="1:14">
      <c r="A129" s="4"/>
      <c r="B129" s="4"/>
      <c r="C129" s="4"/>
      <c r="D129" s="4"/>
      <c r="E129" s="4"/>
      <c r="F129" s="4"/>
      <c r="G129" s="4"/>
      <c r="H129" s="4"/>
      <c r="J129" s="4"/>
      <c r="K129" s="4"/>
      <c r="L129" s="4"/>
      <c r="M129" s="4"/>
      <c r="N129" s="4"/>
    </row>
    <row r="130" spans="1:14">
      <c r="A130" s="4"/>
      <c r="B130" s="4"/>
      <c r="C130" s="4"/>
      <c r="D130" s="4"/>
      <c r="E130" s="4"/>
      <c r="F130" s="4"/>
      <c r="G130" s="4"/>
      <c r="H130" s="4"/>
      <c r="J130" s="4"/>
      <c r="K130" s="4"/>
      <c r="L130" s="4"/>
      <c r="M130" s="4"/>
      <c r="N130" s="4"/>
    </row>
    <row r="131" spans="1:14">
      <c r="A131" s="4"/>
      <c r="B131" s="4"/>
      <c r="C131" s="4"/>
      <c r="D131" s="4"/>
      <c r="E131" s="4"/>
      <c r="F131" s="4"/>
      <c r="G131" s="4"/>
      <c r="H131" s="4"/>
      <c r="J131" s="4"/>
      <c r="K131" s="4"/>
      <c r="L131" s="4"/>
      <c r="M131" s="4"/>
      <c r="N131" s="4"/>
    </row>
    <row r="132" spans="1:14">
      <c r="A132" s="4"/>
      <c r="B132" s="4"/>
      <c r="C132" s="4"/>
      <c r="D132" s="4"/>
      <c r="E132" s="4"/>
      <c r="F132" s="4"/>
      <c r="G132" s="4"/>
      <c r="H132" s="4"/>
      <c r="J132" s="4"/>
      <c r="K132" s="4"/>
      <c r="L132" s="4"/>
      <c r="M132" s="4"/>
      <c r="N132" s="4"/>
    </row>
    <row r="133" spans="1:14">
      <c r="A133" s="4"/>
      <c r="B133" s="4"/>
      <c r="C133" s="4"/>
      <c r="D133" s="4"/>
      <c r="E133" s="4"/>
      <c r="F133" s="4"/>
      <c r="G133" s="4"/>
      <c r="H133" s="4"/>
      <c r="J133" s="4"/>
      <c r="K133" s="4"/>
      <c r="L133" s="4"/>
      <c r="M133" s="4"/>
      <c r="N133" s="4"/>
    </row>
    <row r="134" spans="1:14">
      <c r="A134" s="4"/>
      <c r="B134" s="4"/>
      <c r="C134" s="4"/>
      <c r="D134" s="4"/>
      <c r="E134" s="4"/>
      <c r="F134" s="4"/>
      <c r="G134" s="4"/>
      <c r="H134" s="4"/>
      <c r="J134" s="4"/>
      <c r="K134" s="4"/>
      <c r="L134" s="4"/>
      <c r="M134" s="4"/>
      <c r="N134" s="4"/>
    </row>
    <row r="135" spans="1:14">
      <c r="A135" s="4"/>
      <c r="B135" s="4"/>
      <c r="C135" s="4"/>
      <c r="D135" s="4"/>
      <c r="E135" s="4"/>
      <c r="F135" s="4"/>
      <c r="G135" s="4"/>
      <c r="H135" s="4"/>
      <c r="J135" s="4"/>
      <c r="K135" s="4"/>
      <c r="L135" s="4"/>
      <c r="M135" s="4"/>
      <c r="N135" s="4"/>
    </row>
    <row r="136" spans="1:14">
      <c r="A136" s="4"/>
      <c r="B136" s="4"/>
      <c r="C136" s="4"/>
      <c r="D136" s="4"/>
      <c r="E136" s="4"/>
      <c r="F136" s="4"/>
      <c r="G136" s="4"/>
      <c r="H136" s="4"/>
      <c r="J136" s="4"/>
      <c r="K136" s="4"/>
      <c r="L136" s="4"/>
      <c r="M136" s="4"/>
      <c r="N136" s="4"/>
    </row>
    <row r="137" spans="1:14">
      <c r="A137" s="4"/>
      <c r="B137" s="4"/>
      <c r="C137" s="4"/>
      <c r="D137" s="4"/>
      <c r="E137" s="4"/>
      <c r="F137" s="4"/>
      <c r="G137" s="4"/>
      <c r="H137" s="4"/>
      <c r="J137" s="4"/>
      <c r="K137" s="4"/>
      <c r="L137" s="4"/>
      <c r="M137" s="4"/>
      <c r="N137" s="4"/>
    </row>
    <row r="138" spans="1:14">
      <c r="A138" s="4"/>
      <c r="B138" s="4"/>
      <c r="C138" s="4"/>
      <c r="D138" s="4"/>
      <c r="E138" s="4"/>
      <c r="F138" s="4"/>
      <c r="G138" s="4"/>
      <c r="H138" s="4"/>
      <c r="J138" s="4"/>
      <c r="K138" s="4"/>
      <c r="L138" s="4"/>
      <c r="M138" s="4"/>
      <c r="N138" s="4"/>
    </row>
    <row r="139" spans="1:14">
      <c r="A139" s="4"/>
      <c r="B139" s="4"/>
      <c r="C139" s="4"/>
      <c r="D139" s="4"/>
      <c r="E139" s="4"/>
      <c r="F139" s="4"/>
      <c r="G139" s="4"/>
      <c r="H139" s="4"/>
      <c r="J139" s="4"/>
      <c r="K139" s="4"/>
      <c r="L139" s="4"/>
      <c r="M139" s="4"/>
      <c r="N139" s="4"/>
    </row>
    <row r="140" spans="1:14">
      <c r="A140" s="4"/>
      <c r="B140" s="4"/>
      <c r="C140" s="4"/>
      <c r="D140" s="4"/>
      <c r="E140" s="4"/>
      <c r="F140" s="4"/>
      <c r="G140" s="4"/>
      <c r="H140" s="4"/>
      <c r="J140" s="4"/>
      <c r="K140" s="4"/>
      <c r="L140" s="4"/>
      <c r="M140" s="4"/>
      <c r="N140" s="4"/>
    </row>
    <row r="141" spans="1:14">
      <c r="A141" s="4"/>
      <c r="B141" s="4"/>
      <c r="C141" s="4"/>
      <c r="D141" s="4"/>
      <c r="E141" s="4"/>
      <c r="F141" s="4"/>
      <c r="G141" s="4"/>
      <c r="H141" s="4"/>
      <c r="J141" s="4"/>
      <c r="K141" s="4"/>
      <c r="L141" s="4"/>
      <c r="M141" s="4"/>
      <c r="N141" s="4"/>
    </row>
    <row r="142" spans="1:14">
      <c r="A142" s="4"/>
      <c r="B142" s="4"/>
      <c r="C142" s="4"/>
      <c r="D142" s="4"/>
      <c r="E142" s="4"/>
      <c r="F142" s="4"/>
      <c r="G142" s="4"/>
      <c r="H142" s="4"/>
      <c r="J142" s="4"/>
      <c r="K142" s="4"/>
      <c r="L142" s="4"/>
      <c r="M142" s="4"/>
      <c r="N142" s="4"/>
    </row>
    <row r="143" spans="1:14">
      <c r="A143" s="4"/>
      <c r="B143" s="4"/>
      <c r="C143" s="4"/>
      <c r="D143" s="4"/>
      <c r="E143" s="4"/>
      <c r="F143" s="4"/>
      <c r="G143" s="4"/>
      <c r="H143" s="4"/>
      <c r="J143" s="4"/>
      <c r="K143" s="4"/>
      <c r="L143" s="4"/>
      <c r="M143" s="4"/>
      <c r="N143" s="4"/>
    </row>
    <row r="144" spans="1:14">
      <c r="A144" s="4"/>
      <c r="B144" s="4"/>
      <c r="C144" s="4"/>
      <c r="D144" s="4"/>
      <c r="E144" s="4"/>
      <c r="F144" s="4"/>
      <c r="G144" s="4"/>
      <c r="H144" s="4"/>
      <c r="J144" s="4"/>
      <c r="K144" s="4"/>
      <c r="L144" s="4"/>
      <c r="M144" s="4"/>
      <c r="N144" s="4"/>
    </row>
    <row r="145" spans="1:14">
      <c r="A145" s="4"/>
      <c r="B145" s="4"/>
      <c r="C145" s="4"/>
      <c r="D145" s="4"/>
      <c r="E145" s="4"/>
      <c r="F145" s="4"/>
      <c r="G145" s="4"/>
      <c r="H145" s="4"/>
      <c r="J145" s="4"/>
      <c r="K145" s="4"/>
      <c r="L145" s="4"/>
      <c r="M145" s="4"/>
      <c r="N145" s="4"/>
    </row>
    <row r="146" spans="1:14">
      <c r="A146" s="4"/>
      <c r="B146" s="4"/>
      <c r="C146" s="4"/>
      <c r="D146" s="4"/>
      <c r="E146" s="4"/>
      <c r="F146" s="4"/>
      <c r="G146" s="4"/>
      <c r="H146" s="4"/>
      <c r="J146" s="4"/>
      <c r="K146" s="4"/>
      <c r="L146" s="4"/>
      <c r="M146" s="4"/>
      <c r="N146" s="4"/>
    </row>
    <row r="147" spans="1:14">
      <c r="A147" s="4"/>
      <c r="B147" s="4"/>
      <c r="C147" s="4"/>
      <c r="D147" s="4"/>
      <c r="E147" s="4"/>
      <c r="F147" s="4"/>
      <c r="G147" s="4"/>
      <c r="H147" s="4"/>
      <c r="J147" s="4"/>
      <c r="K147" s="4"/>
      <c r="L147" s="4"/>
      <c r="M147" s="4"/>
      <c r="N147" s="4"/>
    </row>
    <row r="148" spans="1:14">
      <c r="A148" s="4"/>
      <c r="B148" s="4"/>
      <c r="C148" s="4"/>
      <c r="D148" s="4"/>
      <c r="E148" s="4"/>
      <c r="F148" s="4"/>
      <c r="G148" s="4"/>
      <c r="H148" s="4"/>
      <c r="J148" s="4"/>
      <c r="K148" s="4"/>
      <c r="L148" s="4"/>
      <c r="M148" s="4"/>
      <c r="N148" s="4"/>
    </row>
    <row r="149" spans="1:14">
      <c r="A149" s="4"/>
      <c r="B149" s="4"/>
      <c r="C149" s="4"/>
      <c r="D149" s="4"/>
      <c r="E149" s="4"/>
      <c r="F149" s="4"/>
      <c r="G149" s="4"/>
      <c r="H149" s="4"/>
      <c r="J149" s="4"/>
      <c r="K149" s="4"/>
      <c r="L149" s="4"/>
      <c r="M149" s="4"/>
      <c r="N149" s="4"/>
    </row>
    <row r="150" spans="1:14">
      <c r="A150" s="4"/>
      <c r="B150" s="4"/>
      <c r="C150" s="4"/>
      <c r="D150" s="4"/>
      <c r="E150" s="4"/>
      <c r="F150" s="4"/>
      <c r="G150" s="4"/>
      <c r="H150" s="4"/>
      <c r="J150" s="4"/>
      <c r="K150" s="4"/>
      <c r="L150" s="4"/>
      <c r="M150" s="4"/>
      <c r="N150" s="4"/>
    </row>
    <row r="151" spans="1:14">
      <c r="A151" s="4"/>
      <c r="B151" s="4"/>
      <c r="C151" s="4"/>
      <c r="D151" s="4"/>
      <c r="E151" s="4"/>
      <c r="F151" s="4"/>
      <c r="G151" s="4"/>
      <c r="H151" s="4"/>
      <c r="J151" s="4"/>
      <c r="K151" s="4"/>
      <c r="L151" s="4"/>
      <c r="M151" s="4"/>
      <c r="N151" s="4"/>
    </row>
    <row r="152" spans="1:14">
      <c r="A152" s="4"/>
      <c r="B152" s="4"/>
      <c r="C152" s="4"/>
      <c r="D152" s="4"/>
      <c r="E152" s="4"/>
      <c r="F152" s="4"/>
      <c r="G152" s="4"/>
      <c r="H152" s="4"/>
      <c r="J152" s="4"/>
      <c r="K152" s="4"/>
      <c r="L152" s="4"/>
      <c r="M152" s="4"/>
      <c r="N152" s="4"/>
    </row>
    <row r="153" spans="1:14">
      <c r="A153" s="4"/>
      <c r="B153" s="4"/>
      <c r="C153" s="4"/>
      <c r="D153" s="4"/>
      <c r="E153" s="4"/>
      <c r="F153" s="4"/>
      <c r="G153" s="4"/>
      <c r="H153" s="4"/>
      <c r="J153" s="4"/>
      <c r="K153" s="4"/>
      <c r="L153" s="4"/>
      <c r="M153" s="4"/>
      <c r="N153" s="4"/>
    </row>
    <row r="154" spans="1:14">
      <c r="A154" s="4"/>
      <c r="B154" s="4"/>
      <c r="C154" s="4"/>
      <c r="D154" s="4"/>
      <c r="E154" s="4"/>
      <c r="F154" s="4"/>
      <c r="G154" s="4"/>
      <c r="H154" s="4"/>
      <c r="J154" s="4"/>
      <c r="K154" s="4"/>
      <c r="L154" s="4"/>
      <c r="M154" s="4"/>
      <c r="N154" s="4"/>
    </row>
    <row r="155" spans="1:14">
      <c r="A155" s="4"/>
      <c r="B155" s="4"/>
      <c r="C155" s="4"/>
      <c r="D155" s="4"/>
      <c r="E155" s="4"/>
      <c r="F155" s="4"/>
      <c r="G155" s="4"/>
      <c r="H155" s="4"/>
      <c r="J155" s="4"/>
      <c r="K155" s="4"/>
      <c r="L155" s="4"/>
      <c r="M155" s="4"/>
      <c r="N155" s="4"/>
    </row>
    <row r="156" spans="1:14">
      <c r="A156" s="4"/>
      <c r="B156" s="4"/>
      <c r="C156" s="4"/>
      <c r="D156" s="4"/>
      <c r="E156" s="4"/>
      <c r="F156" s="4"/>
      <c r="G156" s="4"/>
      <c r="H156" s="4"/>
      <c r="J156" s="4"/>
      <c r="K156" s="4"/>
      <c r="L156" s="4"/>
      <c r="M156" s="4"/>
      <c r="N156" s="4"/>
    </row>
    <row r="157" spans="1:14">
      <c r="A157" s="4"/>
      <c r="B157" s="4"/>
      <c r="C157" s="4"/>
      <c r="D157" s="4"/>
      <c r="E157" s="4"/>
      <c r="F157" s="4"/>
      <c r="G157" s="4"/>
      <c r="H157" s="4"/>
      <c r="J157" s="4"/>
      <c r="K157" s="4"/>
      <c r="L157" s="4"/>
      <c r="M157" s="4"/>
      <c r="N157" s="4"/>
    </row>
    <row r="158" spans="1:14">
      <c r="A158" s="4"/>
      <c r="B158" s="4"/>
      <c r="C158" s="4"/>
      <c r="D158" s="4"/>
      <c r="E158" s="4"/>
      <c r="F158" s="4"/>
      <c r="G158" s="4"/>
      <c r="H158" s="4"/>
      <c r="J158" s="4"/>
      <c r="K158" s="4"/>
      <c r="L158" s="4"/>
      <c r="M158" s="4"/>
      <c r="N158" s="4"/>
    </row>
    <row r="159" spans="1:14">
      <c r="A159" s="4"/>
      <c r="B159" s="4"/>
      <c r="C159" s="4"/>
      <c r="D159" s="4"/>
      <c r="E159" s="4"/>
      <c r="F159" s="4"/>
      <c r="G159" s="4"/>
      <c r="H159" s="4"/>
      <c r="J159" s="4"/>
      <c r="K159" s="4"/>
      <c r="L159" s="4"/>
      <c r="M159" s="4"/>
      <c r="N159" s="4"/>
    </row>
    <row r="160" spans="1:14">
      <c r="A160" s="4"/>
      <c r="B160" s="4"/>
      <c r="C160" s="4"/>
      <c r="D160" s="4"/>
      <c r="E160" s="4"/>
      <c r="F160" s="4"/>
      <c r="G160" s="4"/>
      <c r="H160" s="4"/>
      <c r="J160" s="4"/>
      <c r="K160" s="4"/>
      <c r="L160" s="4"/>
      <c r="M160" s="4"/>
      <c r="N160" s="4"/>
    </row>
    <row r="161" spans="1:14">
      <c r="A161" s="4"/>
      <c r="B161" s="4"/>
      <c r="C161" s="4"/>
      <c r="D161" s="4"/>
      <c r="E161" s="4"/>
      <c r="F161" s="4"/>
      <c r="G161" s="4"/>
      <c r="H161" s="4"/>
      <c r="J161" s="4"/>
      <c r="K161" s="4"/>
      <c r="L161" s="4"/>
      <c r="M161" s="4"/>
      <c r="N161" s="4"/>
    </row>
    <row r="162" spans="1:14">
      <c r="A162" s="4"/>
      <c r="B162" s="4"/>
      <c r="C162" s="4"/>
      <c r="D162" s="4"/>
      <c r="E162" s="4"/>
      <c r="F162" s="4"/>
      <c r="G162" s="4"/>
      <c r="H162" s="4"/>
      <c r="J162" s="4"/>
      <c r="K162" s="4"/>
      <c r="L162" s="4"/>
      <c r="M162" s="4"/>
      <c r="N162" s="4"/>
    </row>
    <row r="163" spans="1:14">
      <c r="A163" s="4"/>
      <c r="B163" s="4"/>
      <c r="C163" s="4"/>
      <c r="D163" s="4"/>
      <c r="E163" s="4"/>
      <c r="F163" s="4"/>
      <c r="G163" s="4"/>
      <c r="H163" s="4"/>
      <c r="J163" s="4"/>
      <c r="K163" s="4"/>
      <c r="L163" s="4"/>
      <c r="M163" s="4"/>
      <c r="N163" s="4"/>
    </row>
    <row r="164" spans="1:14">
      <c r="A164" s="4"/>
      <c r="B164" s="4"/>
      <c r="C164" s="4"/>
      <c r="D164" s="4"/>
      <c r="E164" s="4"/>
      <c r="F164" s="4"/>
      <c r="G164" s="4"/>
      <c r="H164" s="4"/>
      <c r="J164" s="4"/>
      <c r="K164" s="4"/>
      <c r="L164" s="4"/>
      <c r="M164" s="4"/>
      <c r="N164" s="4"/>
    </row>
    <row r="165" spans="1:14">
      <c r="A165" s="4"/>
      <c r="B165" s="4"/>
      <c r="C165" s="4"/>
      <c r="D165" s="4"/>
      <c r="E165" s="4"/>
      <c r="F165" s="4"/>
      <c r="G165" s="4"/>
      <c r="H165" s="4"/>
      <c r="J165" s="4"/>
      <c r="K165" s="4"/>
      <c r="L165" s="4"/>
      <c r="M165" s="4"/>
      <c r="N165" s="4"/>
    </row>
    <row r="166" spans="1:14">
      <c r="A166" s="4"/>
      <c r="B166" s="4"/>
      <c r="C166" s="4"/>
      <c r="D166" s="4"/>
      <c r="E166" s="4"/>
      <c r="F166" s="4"/>
      <c r="G166" s="4"/>
      <c r="H166" s="4"/>
      <c r="J166" s="4"/>
      <c r="K166" s="4"/>
      <c r="L166" s="4"/>
      <c r="M166" s="4"/>
      <c r="N166" s="4"/>
    </row>
    <row r="167" spans="1:14">
      <c r="A167" s="4"/>
      <c r="B167" s="4"/>
      <c r="C167" s="4"/>
      <c r="D167" s="4"/>
      <c r="E167" s="4"/>
      <c r="F167" s="4"/>
      <c r="G167" s="4"/>
      <c r="H167" s="4"/>
      <c r="J167" s="4"/>
      <c r="K167" s="4"/>
      <c r="L167" s="4"/>
      <c r="M167" s="4"/>
      <c r="N167" s="4"/>
    </row>
    <row r="168" spans="1:14">
      <c r="A168" s="4"/>
      <c r="B168" s="4"/>
      <c r="C168" s="4"/>
      <c r="D168" s="4"/>
      <c r="E168" s="4"/>
      <c r="F168" s="4"/>
      <c r="G168" s="4"/>
      <c r="H168" s="4"/>
      <c r="J168" s="4"/>
      <c r="K168" s="4"/>
      <c r="L168" s="4"/>
      <c r="M168" s="4"/>
      <c r="N168" s="4"/>
    </row>
    <row r="169" spans="1:14">
      <c r="A169" s="4"/>
      <c r="B169" s="4"/>
      <c r="C169" s="4"/>
      <c r="D169" s="4"/>
      <c r="E169" s="4"/>
      <c r="F169" s="4"/>
      <c r="G169" s="4"/>
      <c r="H169" s="4"/>
      <c r="J169" s="4"/>
      <c r="K169" s="4"/>
      <c r="L169" s="4"/>
      <c r="M169" s="4"/>
      <c r="N169" s="4"/>
    </row>
    <row r="170" spans="1:14">
      <c r="A170" s="4"/>
      <c r="B170" s="4"/>
      <c r="C170" s="4"/>
      <c r="D170" s="4"/>
      <c r="E170" s="4"/>
      <c r="F170" s="4"/>
      <c r="G170" s="4"/>
      <c r="H170" s="4"/>
      <c r="J170" s="4"/>
      <c r="K170" s="4"/>
      <c r="L170" s="4"/>
      <c r="M170" s="4"/>
      <c r="N170" s="4"/>
    </row>
    <row r="171" spans="1:14">
      <c r="A171" s="4"/>
      <c r="B171" s="4"/>
      <c r="C171" s="4"/>
      <c r="D171" s="4"/>
      <c r="E171" s="4"/>
      <c r="F171" s="4"/>
      <c r="G171" s="4"/>
      <c r="H171" s="4"/>
      <c r="J171" s="4"/>
      <c r="K171" s="4"/>
      <c r="L171" s="4"/>
      <c r="M171" s="4"/>
      <c r="N171" s="4"/>
    </row>
    <row r="172" spans="1:14">
      <c r="A172" s="4"/>
      <c r="B172" s="4"/>
      <c r="C172" s="4"/>
      <c r="D172" s="4"/>
      <c r="E172" s="4"/>
      <c r="F172" s="4"/>
      <c r="G172" s="4"/>
      <c r="H172" s="4"/>
      <c r="J172" s="4"/>
      <c r="K172" s="4"/>
      <c r="L172" s="4"/>
      <c r="M172" s="4"/>
      <c r="N172" s="4"/>
    </row>
    <row r="173" spans="1:14">
      <c r="A173" s="4"/>
      <c r="B173" s="4"/>
      <c r="C173" s="4"/>
      <c r="D173" s="4"/>
      <c r="E173" s="4"/>
      <c r="F173" s="4"/>
      <c r="G173" s="4"/>
      <c r="H173" s="4"/>
      <c r="J173" s="4"/>
      <c r="K173" s="4"/>
      <c r="L173" s="4"/>
      <c r="M173" s="4"/>
      <c r="N173" s="4"/>
    </row>
    <row r="174" spans="1:14">
      <c r="A174" s="4"/>
      <c r="B174" s="4"/>
      <c r="C174" s="4"/>
      <c r="D174" s="4"/>
      <c r="E174" s="4"/>
      <c r="F174" s="4"/>
      <c r="G174" s="4"/>
      <c r="H174" s="4"/>
      <c r="J174" s="4"/>
      <c r="K174" s="4"/>
      <c r="L174" s="4"/>
      <c r="M174" s="4"/>
      <c r="N174" s="4"/>
    </row>
    <row r="175" spans="1:14">
      <c r="A175" s="4"/>
      <c r="B175" s="4"/>
      <c r="C175" s="4"/>
      <c r="D175" s="4"/>
      <c r="E175" s="4"/>
      <c r="F175" s="4"/>
      <c r="G175" s="4"/>
      <c r="H175" s="4"/>
      <c r="J175" s="4"/>
      <c r="K175" s="4"/>
      <c r="L175" s="4"/>
      <c r="M175" s="4"/>
      <c r="N175" s="4"/>
    </row>
    <row r="176" spans="1:14">
      <c r="A176" s="4"/>
      <c r="B176" s="4"/>
      <c r="C176" s="4"/>
      <c r="D176" s="4"/>
      <c r="E176" s="4"/>
      <c r="F176" s="4"/>
      <c r="G176" s="4"/>
      <c r="H176" s="4"/>
      <c r="J176" s="4"/>
      <c r="K176" s="4"/>
      <c r="L176" s="4"/>
      <c r="M176" s="4"/>
      <c r="N176" s="4"/>
    </row>
    <row r="177" spans="1:14">
      <c r="A177" s="4"/>
      <c r="B177" s="4"/>
      <c r="C177" s="4"/>
      <c r="D177" s="4"/>
      <c r="E177" s="4"/>
      <c r="F177" s="4"/>
      <c r="G177" s="4"/>
      <c r="H177" s="4"/>
      <c r="J177" s="4"/>
      <c r="K177" s="4"/>
      <c r="L177" s="4"/>
      <c r="M177" s="4"/>
      <c r="N177" s="4"/>
    </row>
    <row r="178" spans="1:14">
      <c r="A178" s="4"/>
      <c r="B178" s="4"/>
      <c r="C178" s="4"/>
      <c r="D178" s="4"/>
      <c r="E178" s="4"/>
      <c r="F178" s="4"/>
      <c r="G178" s="4"/>
      <c r="H178" s="4"/>
      <c r="J178" s="4"/>
      <c r="K178" s="4"/>
      <c r="L178" s="4"/>
      <c r="M178" s="4"/>
      <c r="N178" s="4"/>
    </row>
    <row r="179" spans="1:14">
      <c r="A179" s="4"/>
      <c r="B179" s="4"/>
      <c r="C179" s="4"/>
      <c r="D179" s="4"/>
      <c r="E179" s="4"/>
      <c r="F179" s="4"/>
      <c r="G179" s="4"/>
      <c r="H179" s="4"/>
      <c r="J179" s="4"/>
      <c r="K179" s="4"/>
      <c r="L179" s="4"/>
      <c r="M179" s="4"/>
      <c r="N179" s="4"/>
    </row>
    <row r="180" spans="1:14">
      <c r="A180" s="4"/>
      <c r="B180" s="4"/>
      <c r="C180" s="4"/>
      <c r="D180" s="4"/>
      <c r="E180" s="4"/>
      <c r="F180" s="4"/>
      <c r="G180" s="4"/>
      <c r="H180" s="4"/>
      <c r="J180" s="4"/>
      <c r="K180" s="4"/>
      <c r="L180" s="4"/>
      <c r="M180" s="4"/>
      <c r="N180" s="4"/>
    </row>
    <row r="181" spans="1:14">
      <c r="A181" s="4"/>
      <c r="B181" s="4"/>
      <c r="C181" s="4"/>
      <c r="D181" s="4"/>
      <c r="E181" s="4"/>
      <c r="F181" s="4"/>
      <c r="G181" s="4"/>
      <c r="H181" s="4"/>
      <c r="J181" s="4"/>
      <c r="K181" s="4"/>
      <c r="L181" s="4"/>
      <c r="M181" s="4"/>
      <c r="N181" s="4"/>
    </row>
    <row r="182" spans="1:14">
      <c r="A182" s="4"/>
      <c r="B182" s="4"/>
      <c r="C182" s="4"/>
      <c r="D182" s="4"/>
      <c r="E182" s="4"/>
      <c r="F182" s="4"/>
      <c r="G182" s="4"/>
      <c r="H182" s="4"/>
      <c r="J182" s="4"/>
      <c r="K182" s="4"/>
      <c r="L182" s="4"/>
      <c r="M182" s="4"/>
      <c r="N182" s="4"/>
    </row>
    <row r="183" spans="1:14">
      <c r="A183" s="4"/>
      <c r="B183" s="4"/>
      <c r="C183" s="4"/>
      <c r="D183" s="4"/>
      <c r="E183" s="4"/>
      <c r="F183" s="4"/>
      <c r="G183" s="4"/>
      <c r="H183" s="4"/>
      <c r="J183" s="4"/>
      <c r="K183" s="4"/>
      <c r="L183" s="4"/>
      <c r="M183" s="4"/>
      <c r="N183" s="4"/>
    </row>
    <row r="184" spans="1:14">
      <c r="A184" s="4"/>
      <c r="B184" s="4"/>
      <c r="C184" s="4"/>
      <c r="D184" s="4"/>
      <c r="E184" s="4"/>
      <c r="F184" s="4"/>
      <c r="G184" s="4"/>
      <c r="H184" s="4"/>
      <c r="J184" s="4"/>
      <c r="K184" s="4"/>
      <c r="L184" s="4"/>
      <c r="M184" s="4"/>
      <c r="N184" s="4"/>
    </row>
    <row r="185" spans="1:14">
      <c r="A185" s="4"/>
      <c r="B185" s="4"/>
      <c r="C185" s="4"/>
      <c r="D185" s="4"/>
      <c r="E185" s="4"/>
      <c r="F185" s="4"/>
      <c r="G185" s="4"/>
      <c r="H185" s="4"/>
      <c r="J185" s="4"/>
      <c r="K185" s="4"/>
      <c r="L185" s="4"/>
      <c r="M185" s="4"/>
      <c r="N185" s="4"/>
    </row>
    <row r="186" spans="1:14">
      <c r="A186" s="4"/>
      <c r="B186" s="4"/>
      <c r="C186" s="4"/>
      <c r="D186" s="4"/>
      <c r="E186" s="4"/>
      <c r="F186" s="4"/>
      <c r="G186" s="4"/>
      <c r="H186" s="4"/>
      <c r="J186" s="4"/>
      <c r="K186" s="4"/>
      <c r="L186" s="4"/>
      <c r="M186" s="4"/>
      <c r="N186" s="4"/>
    </row>
    <row r="187" spans="1:14">
      <c r="A187" s="4"/>
      <c r="B187" s="4"/>
      <c r="C187" s="4"/>
      <c r="D187" s="4"/>
      <c r="E187" s="4"/>
      <c r="F187" s="4"/>
      <c r="G187" s="4"/>
      <c r="H187" s="4"/>
      <c r="J187" s="4"/>
      <c r="K187" s="4"/>
      <c r="L187" s="4"/>
      <c r="M187" s="4"/>
      <c r="N187" s="4"/>
    </row>
    <row r="188" spans="1:14">
      <c r="A188" s="4"/>
      <c r="B188" s="4"/>
      <c r="C188" s="4"/>
      <c r="D188" s="4"/>
      <c r="E188" s="4"/>
      <c r="F188" s="4"/>
      <c r="G188" s="4"/>
      <c r="H188" s="4"/>
      <c r="J188" s="4"/>
      <c r="K188" s="4"/>
      <c r="L188" s="4"/>
      <c r="M188" s="4"/>
      <c r="N188" s="4"/>
    </row>
    <row r="189" spans="1:14">
      <c r="A189" s="4"/>
      <c r="B189" s="4"/>
      <c r="C189" s="4"/>
      <c r="D189" s="4"/>
      <c r="E189" s="4"/>
      <c r="F189" s="4"/>
      <c r="G189" s="4"/>
      <c r="H189" s="4"/>
      <c r="J189" s="4"/>
      <c r="K189" s="4"/>
      <c r="L189" s="4"/>
      <c r="M189" s="4"/>
      <c r="N189" s="4"/>
    </row>
    <row r="190" spans="1:14">
      <c r="A190" s="4"/>
      <c r="B190" s="4"/>
      <c r="C190" s="4"/>
      <c r="D190" s="4"/>
      <c r="E190" s="4"/>
      <c r="F190" s="4"/>
      <c r="G190" s="4"/>
      <c r="H190" s="4"/>
      <c r="J190" s="4"/>
      <c r="K190" s="4"/>
      <c r="L190" s="4"/>
      <c r="M190" s="4"/>
      <c r="N190" s="4"/>
    </row>
    <row r="191" spans="1:14">
      <c r="A191" s="4"/>
      <c r="B191" s="4"/>
      <c r="C191" s="4"/>
      <c r="D191" s="4"/>
      <c r="E191" s="4"/>
      <c r="F191" s="4"/>
      <c r="G191" s="4"/>
      <c r="H191" s="4"/>
      <c r="J191" s="4"/>
      <c r="K191" s="4"/>
      <c r="L191" s="4"/>
      <c r="M191" s="4"/>
      <c r="N191" s="4"/>
    </row>
    <row r="192" spans="1:14">
      <c r="A192" s="4"/>
      <c r="B192" s="4"/>
      <c r="C192" s="4"/>
      <c r="D192" s="4"/>
      <c r="E192" s="4"/>
      <c r="F192" s="4"/>
      <c r="G192" s="4"/>
      <c r="H192" s="4"/>
      <c r="J192" s="4"/>
      <c r="K192" s="4"/>
      <c r="L192" s="4"/>
      <c r="M192" s="4"/>
      <c r="N192" s="4"/>
    </row>
    <row r="193" spans="1:14">
      <c r="A193" s="4"/>
      <c r="B193" s="4"/>
      <c r="C193" s="4"/>
      <c r="D193" s="4"/>
      <c r="E193" s="4"/>
      <c r="F193" s="4"/>
      <c r="G193" s="4"/>
      <c r="H193" s="4"/>
      <c r="J193" s="4"/>
      <c r="K193" s="4"/>
      <c r="L193" s="4"/>
      <c r="M193" s="4"/>
      <c r="N193" s="4"/>
    </row>
    <row r="194" spans="1:14">
      <c r="A194" s="4"/>
      <c r="B194" s="4"/>
      <c r="C194" s="4"/>
      <c r="D194" s="4"/>
      <c r="E194" s="4"/>
      <c r="F194" s="4"/>
      <c r="G194" s="4"/>
      <c r="H194" s="4"/>
      <c r="J194" s="4"/>
      <c r="K194" s="4"/>
      <c r="L194" s="4"/>
      <c r="M194" s="4"/>
      <c r="N194" s="4"/>
    </row>
    <row r="195" spans="1:14">
      <c r="A195" s="4"/>
      <c r="B195" s="4"/>
      <c r="C195" s="4"/>
      <c r="D195" s="4"/>
      <c r="E195" s="4"/>
      <c r="F195" s="4"/>
      <c r="G195" s="4"/>
      <c r="H195" s="4"/>
      <c r="J195" s="4"/>
      <c r="K195" s="4"/>
      <c r="L195" s="4"/>
      <c r="M195" s="4"/>
      <c r="N195" s="4"/>
    </row>
    <row r="196" spans="1:14">
      <c r="A196" s="4"/>
      <c r="B196" s="4"/>
      <c r="C196" s="4"/>
      <c r="D196" s="4"/>
      <c r="E196" s="4"/>
      <c r="F196" s="4"/>
      <c r="G196" s="4"/>
      <c r="H196" s="4"/>
      <c r="J196" s="4"/>
      <c r="K196" s="4"/>
      <c r="L196" s="4"/>
      <c r="M196" s="4"/>
      <c r="N196" s="4"/>
    </row>
    <row r="197" spans="1:14">
      <c r="A197" s="4"/>
      <c r="B197" s="4"/>
      <c r="C197" s="4"/>
      <c r="D197" s="4"/>
      <c r="E197" s="4"/>
      <c r="F197" s="4"/>
      <c r="G197" s="4"/>
      <c r="H197" s="4"/>
      <c r="J197" s="4"/>
      <c r="K197" s="4"/>
      <c r="L197" s="4"/>
      <c r="M197" s="4"/>
      <c r="N197" s="4"/>
    </row>
    <row r="198" spans="1:14">
      <c r="A198" s="4"/>
      <c r="B198" s="4"/>
      <c r="C198" s="4"/>
      <c r="D198" s="4"/>
      <c r="E198" s="4"/>
      <c r="F198" s="4"/>
      <c r="G198" s="4"/>
      <c r="H198" s="4"/>
      <c r="J198" s="4"/>
      <c r="K198" s="4"/>
      <c r="L198" s="4"/>
      <c r="M198" s="4"/>
      <c r="N198" s="4"/>
    </row>
    <row r="199" spans="1:14">
      <c r="A199" s="4"/>
      <c r="B199" s="4"/>
      <c r="C199" s="4"/>
      <c r="D199" s="4"/>
      <c r="E199" s="4"/>
      <c r="F199" s="4"/>
      <c r="G199" s="4"/>
      <c r="H199" s="4"/>
      <c r="J199" s="4"/>
      <c r="K199" s="4"/>
      <c r="L199" s="4"/>
      <c r="M199" s="4"/>
      <c r="N199" s="4"/>
    </row>
    <row r="200" spans="1:14">
      <c r="A200" s="4"/>
      <c r="B200" s="4"/>
      <c r="C200" s="4"/>
      <c r="D200" s="4"/>
      <c r="E200" s="4"/>
      <c r="F200" s="4"/>
      <c r="G200" s="4"/>
      <c r="H200" s="4"/>
      <c r="J200" s="4"/>
      <c r="K200" s="4"/>
      <c r="L200" s="4"/>
      <c r="M200" s="4"/>
      <c r="N200" s="4"/>
    </row>
    <row r="201" spans="1:14">
      <c r="A201" s="4"/>
      <c r="B201" s="4"/>
      <c r="C201" s="4"/>
      <c r="D201" s="4"/>
      <c r="E201" s="4"/>
      <c r="F201" s="4"/>
      <c r="G201" s="4"/>
      <c r="H201" s="4"/>
      <c r="J201" s="4"/>
      <c r="K201" s="4"/>
      <c r="L201" s="4"/>
      <c r="M201" s="4"/>
      <c r="N201" s="4"/>
    </row>
    <row r="202" spans="1:14">
      <c r="A202" s="4"/>
      <c r="B202" s="4"/>
      <c r="C202" s="4"/>
      <c r="D202" s="4"/>
      <c r="E202" s="4"/>
      <c r="F202" s="4"/>
      <c r="G202" s="4"/>
      <c r="H202" s="4"/>
      <c r="J202" s="4"/>
      <c r="K202" s="4"/>
      <c r="L202" s="4"/>
      <c r="M202" s="4"/>
      <c r="N202" s="4"/>
    </row>
    <row r="203" spans="1:14">
      <c r="A203" s="4"/>
      <c r="B203" s="4"/>
      <c r="C203" s="4"/>
      <c r="D203" s="4"/>
      <c r="E203" s="4"/>
      <c r="F203" s="4"/>
      <c r="G203" s="4"/>
      <c r="H203" s="4"/>
      <c r="J203" s="4"/>
      <c r="K203" s="4"/>
      <c r="L203" s="4"/>
      <c r="M203" s="4"/>
      <c r="N203" s="4"/>
    </row>
    <row r="204" spans="1:14">
      <c r="A204" s="4"/>
      <c r="B204" s="4"/>
      <c r="C204" s="4"/>
      <c r="D204" s="4"/>
      <c r="E204" s="4"/>
      <c r="F204" s="4"/>
      <c r="G204" s="4"/>
      <c r="H204" s="4"/>
      <c r="J204" s="4"/>
      <c r="K204" s="4"/>
      <c r="L204" s="4"/>
      <c r="M204" s="4"/>
      <c r="N204" s="4"/>
    </row>
    <row r="205" spans="1:14">
      <c r="A205" s="4"/>
      <c r="B205" s="4"/>
      <c r="C205" s="4"/>
      <c r="D205" s="4"/>
      <c r="E205" s="4"/>
      <c r="F205" s="4"/>
      <c r="G205" s="4"/>
      <c r="H205" s="4"/>
      <c r="J205" s="4"/>
      <c r="K205" s="4"/>
      <c r="L205" s="4"/>
      <c r="M205" s="4"/>
      <c r="N205" s="4"/>
    </row>
    <row r="206" spans="1:14">
      <c r="A206" s="4"/>
      <c r="B206" s="4"/>
      <c r="C206" s="4"/>
      <c r="D206" s="4"/>
      <c r="E206" s="4"/>
      <c r="F206" s="4"/>
      <c r="G206" s="4"/>
      <c r="H206" s="4"/>
      <c r="J206" s="4"/>
      <c r="K206" s="4"/>
      <c r="L206" s="4"/>
      <c r="M206" s="4"/>
      <c r="N206" s="4"/>
    </row>
    <row r="207" spans="1:14">
      <c r="A207" s="4"/>
      <c r="B207" s="4"/>
      <c r="C207" s="4"/>
      <c r="D207" s="4"/>
      <c r="E207" s="4"/>
      <c r="F207" s="4"/>
      <c r="G207" s="4"/>
      <c r="H207" s="4"/>
      <c r="J207" s="4"/>
      <c r="K207" s="4"/>
      <c r="L207" s="4"/>
      <c r="M207" s="4"/>
      <c r="N207" s="4"/>
    </row>
    <row r="208" spans="1:14">
      <c r="A208" s="4"/>
      <c r="B208" s="4"/>
      <c r="C208" s="4"/>
      <c r="D208" s="4"/>
      <c r="E208" s="4"/>
      <c r="F208" s="4"/>
      <c r="G208" s="4"/>
      <c r="H208" s="4"/>
      <c r="J208" s="4"/>
      <c r="K208" s="4"/>
      <c r="L208" s="4"/>
      <c r="M208" s="4"/>
      <c r="N208" s="4"/>
    </row>
    <row r="209" spans="1:14">
      <c r="A209" s="4"/>
      <c r="B209" s="4"/>
      <c r="C209" s="4"/>
      <c r="D209" s="4"/>
      <c r="E209" s="4"/>
      <c r="F209" s="4"/>
      <c r="G209" s="4"/>
      <c r="H209" s="4"/>
      <c r="J209" s="4"/>
      <c r="K209" s="4"/>
      <c r="L209" s="4"/>
      <c r="M209" s="4"/>
      <c r="N209" s="4"/>
    </row>
    <row r="210" spans="1:14">
      <c r="A210" s="4"/>
      <c r="B210" s="4"/>
      <c r="C210" s="4"/>
      <c r="D210" s="4"/>
      <c r="E210" s="4"/>
      <c r="F210" s="4"/>
      <c r="G210" s="4"/>
      <c r="H210" s="4"/>
      <c r="J210" s="4"/>
      <c r="K210" s="4"/>
      <c r="L210" s="4"/>
      <c r="M210" s="4"/>
      <c r="N210" s="4"/>
    </row>
    <row r="211" spans="1:14">
      <c r="A211" s="4"/>
      <c r="B211" s="4"/>
      <c r="C211" s="4"/>
      <c r="D211" s="4"/>
      <c r="E211" s="4"/>
      <c r="F211" s="4"/>
      <c r="G211" s="4"/>
      <c r="H211" s="4"/>
      <c r="J211" s="4"/>
      <c r="K211" s="4"/>
      <c r="L211" s="4"/>
      <c r="M211" s="4"/>
      <c r="N211" s="4"/>
    </row>
    <row r="212" spans="1:14">
      <c r="A212" s="4"/>
      <c r="B212" s="4"/>
      <c r="C212" s="4"/>
      <c r="D212" s="4"/>
      <c r="E212" s="4"/>
      <c r="F212" s="4"/>
      <c r="G212" s="4"/>
      <c r="H212" s="4"/>
      <c r="J212" s="4"/>
      <c r="K212" s="4"/>
      <c r="L212" s="4"/>
      <c r="M212" s="4"/>
      <c r="N212" s="4"/>
    </row>
    <row r="213" spans="1:14">
      <c r="A213" s="4"/>
      <c r="B213" s="4"/>
      <c r="C213" s="4"/>
      <c r="D213" s="4"/>
      <c r="E213" s="4"/>
      <c r="F213" s="4"/>
      <c r="G213" s="4"/>
      <c r="H213" s="4"/>
      <c r="J213" s="4"/>
      <c r="K213" s="4"/>
      <c r="L213" s="4"/>
      <c r="M213" s="4"/>
      <c r="N213" s="4"/>
    </row>
    <row r="214" spans="1:14">
      <c r="A214" s="4"/>
      <c r="B214" s="4"/>
      <c r="C214" s="4"/>
      <c r="D214" s="4"/>
      <c r="E214" s="4"/>
      <c r="F214" s="4"/>
      <c r="G214" s="4"/>
      <c r="H214" s="4"/>
      <c r="J214" s="4"/>
      <c r="K214" s="4"/>
      <c r="L214" s="4"/>
      <c r="M214" s="4"/>
      <c r="N214" s="4"/>
    </row>
    <row r="215" spans="1:14">
      <c r="A215" s="4"/>
      <c r="B215" s="4"/>
      <c r="C215" s="4"/>
      <c r="D215" s="4"/>
      <c r="E215" s="4"/>
      <c r="F215" s="4"/>
      <c r="G215" s="4"/>
      <c r="H215" s="4"/>
      <c r="J215" s="4"/>
      <c r="K215" s="4"/>
      <c r="L215" s="4"/>
      <c r="M215" s="4"/>
      <c r="N215" s="4"/>
    </row>
    <row r="216" spans="1:14">
      <c r="A216" s="4"/>
      <c r="B216" s="4"/>
      <c r="C216" s="4"/>
      <c r="D216" s="4"/>
      <c r="E216" s="4"/>
      <c r="F216" s="4"/>
      <c r="G216" s="4"/>
      <c r="H216" s="4"/>
      <c r="J216" s="4"/>
      <c r="K216" s="4"/>
      <c r="L216" s="4"/>
      <c r="M216" s="4"/>
      <c r="N216" s="4"/>
    </row>
    <row r="217" spans="1:14">
      <c r="A217" s="4"/>
      <c r="B217" s="4"/>
      <c r="C217" s="4"/>
      <c r="D217" s="4"/>
      <c r="E217" s="4"/>
      <c r="F217" s="4"/>
      <c r="G217" s="4"/>
      <c r="H217" s="4"/>
      <c r="J217" s="4"/>
      <c r="K217" s="4"/>
      <c r="L217" s="4"/>
      <c r="M217" s="4"/>
      <c r="N217" s="4"/>
    </row>
    <row r="218" spans="1:14">
      <c r="A218" s="4"/>
      <c r="B218" s="4"/>
      <c r="C218" s="4"/>
      <c r="D218" s="4"/>
      <c r="E218" s="4"/>
      <c r="F218" s="4"/>
      <c r="G218" s="4"/>
      <c r="H218" s="4"/>
      <c r="J218" s="4"/>
      <c r="K218" s="4"/>
      <c r="L218" s="4"/>
      <c r="M218" s="4"/>
      <c r="N218" s="4"/>
    </row>
    <row r="219" spans="1:14">
      <c r="A219" s="4"/>
      <c r="B219" s="4"/>
      <c r="C219" s="4"/>
      <c r="D219" s="4"/>
      <c r="E219" s="4"/>
      <c r="F219" s="4"/>
      <c r="G219" s="4"/>
      <c r="H219" s="4"/>
      <c r="J219" s="4"/>
      <c r="K219" s="4"/>
      <c r="L219" s="4"/>
      <c r="M219" s="4"/>
      <c r="N219" s="4"/>
    </row>
    <row r="220" spans="1:14">
      <c r="A220" s="4"/>
      <c r="B220" s="4"/>
      <c r="C220" s="4"/>
      <c r="D220" s="4"/>
      <c r="E220" s="4"/>
      <c r="F220" s="4"/>
      <c r="G220" s="4"/>
      <c r="H220" s="4"/>
      <c r="J220" s="4"/>
      <c r="K220" s="4"/>
      <c r="L220" s="4"/>
      <c r="M220" s="4"/>
      <c r="N220" s="4"/>
    </row>
    <row r="221" spans="1:14">
      <c r="A221" s="4"/>
      <c r="B221" s="4"/>
      <c r="C221" s="4"/>
      <c r="D221" s="4"/>
      <c r="E221" s="4"/>
      <c r="F221" s="4"/>
      <c r="G221" s="4"/>
      <c r="H221" s="4"/>
      <c r="J221" s="4"/>
      <c r="K221" s="4"/>
      <c r="L221" s="4"/>
      <c r="M221" s="4"/>
      <c r="N221" s="4"/>
    </row>
    <row r="222" spans="1:14">
      <c r="A222" s="4"/>
      <c r="B222" s="4"/>
      <c r="C222" s="4"/>
      <c r="D222" s="4"/>
      <c r="E222" s="4"/>
      <c r="F222" s="4"/>
      <c r="G222" s="4"/>
      <c r="H222" s="4"/>
      <c r="J222" s="4"/>
      <c r="K222" s="4"/>
      <c r="L222" s="4"/>
      <c r="M222" s="4"/>
      <c r="N222" s="4"/>
    </row>
    <row r="223" spans="1:14">
      <c r="A223" s="4"/>
      <c r="B223" s="4"/>
      <c r="C223" s="4"/>
      <c r="D223" s="4"/>
      <c r="E223" s="4"/>
      <c r="F223" s="4"/>
      <c r="G223" s="4"/>
      <c r="H223" s="4"/>
      <c r="J223" s="4"/>
      <c r="K223" s="4"/>
      <c r="L223" s="4"/>
      <c r="M223" s="4"/>
      <c r="N223" s="4"/>
    </row>
    <row r="224" spans="1:14">
      <c r="A224" s="4"/>
      <c r="B224" s="4"/>
      <c r="C224" s="4"/>
      <c r="D224" s="4"/>
      <c r="E224" s="4"/>
      <c r="F224" s="4"/>
      <c r="G224" s="4"/>
      <c r="H224" s="4"/>
      <c r="J224" s="4"/>
      <c r="K224" s="4"/>
      <c r="L224" s="4"/>
      <c r="M224" s="4"/>
      <c r="N224" s="4"/>
    </row>
    <row r="225" spans="1:14">
      <c r="A225" s="4"/>
      <c r="B225" s="4"/>
      <c r="C225" s="4"/>
      <c r="D225" s="4"/>
      <c r="E225" s="4"/>
      <c r="F225" s="4"/>
      <c r="G225" s="4"/>
      <c r="H225" s="4"/>
      <c r="J225" s="4"/>
      <c r="K225" s="4"/>
      <c r="L225" s="4"/>
      <c r="M225" s="4"/>
      <c r="N225" s="4"/>
    </row>
    <row r="226" spans="1:14">
      <c r="A226" s="4"/>
      <c r="B226" s="4"/>
      <c r="C226" s="4"/>
      <c r="D226" s="4"/>
      <c r="E226" s="4"/>
      <c r="F226" s="4"/>
      <c r="G226" s="4"/>
      <c r="H226" s="4"/>
      <c r="J226" s="4"/>
      <c r="K226" s="4"/>
      <c r="L226" s="4"/>
      <c r="M226" s="4"/>
      <c r="N226" s="4"/>
    </row>
    <row r="227" spans="1:14">
      <c r="A227" s="4"/>
      <c r="B227" s="4"/>
      <c r="C227" s="4"/>
      <c r="D227" s="4"/>
      <c r="E227" s="4"/>
      <c r="F227" s="4"/>
      <c r="G227" s="4"/>
      <c r="H227" s="4"/>
      <c r="J227" s="4"/>
      <c r="K227" s="4"/>
      <c r="L227" s="4"/>
      <c r="M227" s="4"/>
      <c r="N227" s="4"/>
    </row>
    <row r="228" spans="1:14">
      <c r="A228" s="4"/>
      <c r="B228" s="4"/>
      <c r="C228" s="4"/>
      <c r="D228" s="4"/>
      <c r="E228" s="4"/>
      <c r="F228" s="4"/>
      <c r="G228" s="4"/>
      <c r="H228" s="4"/>
      <c r="J228" s="4"/>
      <c r="K228" s="4"/>
      <c r="L228" s="4"/>
      <c r="M228" s="4"/>
      <c r="N228" s="4"/>
    </row>
    <row r="229" spans="1:14">
      <c r="A229" s="4"/>
      <c r="B229" s="4"/>
      <c r="C229" s="4"/>
      <c r="D229" s="4"/>
      <c r="E229" s="4"/>
      <c r="F229" s="4"/>
      <c r="G229" s="4"/>
      <c r="H229" s="4"/>
      <c r="J229" s="4"/>
      <c r="K229" s="4"/>
      <c r="L229" s="4"/>
      <c r="M229" s="4"/>
      <c r="N229" s="4"/>
    </row>
    <row r="230" spans="1:14">
      <c r="A230" s="4"/>
      <c r="B230" s="4"/>
      <c r="C230" s="4"/>
      <c r="D230" s="4"/>
      <c r="E230" s="4"/>
      <c r="F230" s="4"/>
      <c r="G230" s="4"/>
      <c r="H230" s="4"/>
      <c r="J230" s="4"/>
      <c r="K230" s="4"/>
      <c r="L230" s="4"/>
      <c r="M230" s="4"/>
      <c r="N230" s="4"/>
    </row>
    <row r="231" spans="1:14">
      <c r="A231" s="4"/>
      <c r="B231" s="4"/>
      <c r="C231" s="4"/>
      <c r="D231" s="4"/>
      <c r="E231" s="4"/>
      <c r="F231" s="4"/>
      <c r="G231" s="4"/>
      <c r="H231" s="4"/>
      <c r="J231" s="4"/>
      <c r="K231" s="4"/>
      <c r="L231" s="4"/>
      <c r="M231" s="4"/>
      <c r="N231" s="4"/>
    </row>
    <row r="232" spans="1:14">
      <c r="A232" s="4"/>
      <c r="B232" s="4"/>
      <c r="C232" s="4"/>
      <c r="D232" s="4"/>
      <c r="E232" s="4"/>
      <c r="F232" s="4"/>
      <c r="G232" s="4"/>
      <c r="H232" s="4"/>
      <c r="J232" s="4"/>
      <c r="K232" s="4"/>
      <c r="L232" s="4"/>
      <c r="M232" s="4"/>
      <c r="N232" s="4"/>
    </row>
    <row r="233" spans="1:14">
      <c r="A233" s="4"/>
      <c r="B233" s="4"/>
      <c r="C233" s="4"/>
      <c r="D233" s="4"/>
      <c r="E233" s="4"/>
      <c r="F233" s="4"/>
      <c r="G233" s="4"/>
      <c r="H233" s="4"/>
      <c r="J233" s="4"/>
      <c r="K233" s="4"/>
      <c r="L233" s="4"/>
      <c r="M233" s="4"/>
      <c r="N233" s="4"/>
    </row>
    <row r="234" spans="1:14">
      <c r="A234" s="4"/>
      <c r="B234" s="4"/>
      <c r="C234" s="4"/>
      <c r="D234" s="4"/>
      <c r="E234" s="4"/>
      <c r="F234" s="4"/>
      <c r="G234" s="4"/>
      <c r="H234" s="4"/>
      <c r="J234" s="4"/>
      <c r="K234" s="4"/>
      <c r="L234" s="4"/>
      <c r="M234" s="4"/>
      <c r="N234" s="4"/>
    </row>
    <row r="235" spans="1:14">
      <c r="A235" s="4"/>
      <c r="B235" s="4"/>
      <c r="C235" s="4"/>
      <c r="D235" s="4"/>
      <c r="E235" s="4"/>
      <c r="F235" s="4"/>
      <c r="G235" s="4"/>
      <c r="H235" s="4"/>
      <c r="J235" s="4"/>
      <c r="K235" s="4"/>
      <c r="L235" s="4"/>
      <c r="M235" s="4"/>
      <c r="N235" s="4"/>
    </row>
    <row r="236" spans="1:14">
      <c r="A236" s="4"/>
      <c r="B236" s="4"/>
      <c r="C236" s="4"/>
      <c r="D236" s="4"/>
      <c r="E236" s="4"/>
      <c r="F236" s="4"/>
      <c r="G236" s="4"/>
      <c r="H236" s="4"/>
      <c r="J236" s="4"/>
      <c r="K236" s="4"/>
      <c r="L236" s="4"/>
      <c r="M236" s="4"/>
      <c r="N236" s="4"/>
    </row>
    <row r="237" spans="1:14">
      <c r="A237" s="4"/>
      <c r="B237" s="4"/>
      <c r="C237" s="4"/>
      <c r="D237" s="4"/>
      <c r="E237" s="4"/>
      <c r="F237" s="4"/>
      <c r="G237" s="4"/>
      <c r="H237" s="4"/>
      <c r="J237" s="4"/>
      <c r="K237" s="4"/>
      <c r="L237" s="4"/>
      <c r="M237" s="4"/>
      <c r="N237" s="4"/>
    </row>
    <row r="238" spans="1:14">
      <c r="A238" s="4"/>
      <c r="B238" s="4"/>
      <c r="C238" s="4"/>
      <c r="D238" s="4"/>
      <c r="E238" s="4"/>
      <c r="F238" s="4"/>
      <c r="G238" s="4"/>
      <c r="H238" s="4"/>
      <c r="J238" s="4"/>
      <c r="K238" s="4"/>
      <c r="L238" s="4"/>
      <c r="M238" s="4"/>
      <c r="N238" s="4"/>
    </row>
    <row r="239" spans="1:14">
      <c r="A239" s="4"/>
      <c r="B239" s="4"/>
      <c r="C239" s="4"/>
      <c r="D239" s="4"/>
      <c r="E239" s="4"/>
      <c r="F239" s="4"/>
      <c r="G239" s="4"/>
      <c r="H239" s="4"/>
      <c r="J239" s="4"/>
      <c r="K239" s="4"/>
      <c r="L239" s="4"/>
      <c r="M239" s="4"/>
      <c r="N239" s="4"/>
    </row>
    <row r="240" spans="1:14">
      <c r="A240" s="4"/>
      <c r="B240" s="4"/>
      <c r="C240" s="4"/>
      <c r="D240" s="4"/>
      <c r="E240" s="4"/>
      <c r="F240" s="4"/>
      <c r="G240" s="4"/>
      <c r="H240" s="4"/>
      <c r="J240" s="4"/>
      <c r="K240" s="4"/>
      <c r="L240" s="4"/>
      <c r="M240" s="4"/>
      <c r="N240" s="4"/>
    </row>
    <row r="241" spans="1:14">
      <c r="A241" s="4"/>
      <c r="B241" s="4"/>
      <c r="C241" s="4"/>
      <c r="D241" s="4"/>
      <c r="E241" s="4"/>
      <c r="F241" s="4"/>
      <c r="G241" s="4"/>
      <c r="H241" s="4"/>
      <c r="J241" s="4"/>
      <c r="K241" s="4"/>
      <c r="L241" s="4"/>
      <c r="M241" s="4"/>
      <c r="N241" s="4"/>
    </row>
    <row r="242" spans="1:14">
      <c r="A242" s="4"/>
      <c r="B242" s="4"/>
      <c r="C242" s="4"/>
      <c r="D242" s="4"/>
      <c r="E242" s="4"/>
      <c r="F242" s="4"/>
      <c r="G242" s="4"/>
      <c r="H242" s="4"/>
      <c r="J242" s="4"/>
      <c r="K242" s="4"/>
      <c r="L242" s="4"/>
      <c r="M242" s="4"/>
      <c r="N242" s="4"/>
    </row>
    <row r="243" spans="1:14">
      <c r="A243" s="4"/>
      <c r="B243" s="4"/>
      <c r="C243" s="4"/>
      <c r="D243" s="4"/>
      <c r="E243" s="4"/>
      <c r="F243" s="4"/>
      <c r="G243" s="4"/>
      <c r="H243" s="4"/>
      <c r="J243" s="4"/>
      <c r="K243" s="4"/>
      <c r="L243" s="4"/>
      <c r="M243" s="4"/>
      <c r="N243" s="4"/>
    </row>
    <row r="244" spans="1:14">
      <c r="A244" s="4"/>
      <c r="B244" s="4"/>
      <c r="C244" s="4"/>
      <c r="D244" s="4"/>
      <c r="E244" s="4"/>
      <c r="F244" s="4"/>
      <c r="G244" s="4"/>
      <c r="H244" s="4"/>
      <c r="J244" s="4"/>
      <c r="K244" s="4"/>
      <c r="L244" s="4"/>
      <c r="M244" s="4"/>
      <c r="N244" s="4"/>
    </row>
    <row r="245" spans="1:14">
      <c r="A245" s="4"/>
      <c r="B245" s="4"/>
      <c r="C245" s="4"/>
      <c r="D245" s="4"/>
      <c r="E245" s="4"/>
      <c r="F245" s="4"/>
      <c r="G245" s="4"/>
      <c r="H245" s="4"/>
      <c r="J245" s="4"/>
      <c r="K245" s="4"/>
      <c r="L245" s="4"/>
      <c r="M245" s="4"/>
      <c r="N245" s="4"/>
    </row>
    <row r="246" spans="1:14">
      <c r="A246" s="4"/>
      <c r="B246" s="4"/>
      <c r="C246" s="4"/>
      <c r="D246" s="4"/>
      <c r="E246" s="4"/>
      <c r="F246" s="4"/>
      <c r="G246" s="4"/>
      <c r="H246" s="4"/>
      <c r="J246" s="4"/>
      <c r="K246" s="4"/>
      <c r="L246" s="4"/>
      <c r="M246" s="4"/>
      <c r="N246" s="4"/>
    </row>
    <row r="247" spans="1:14">
      <c r="A247" s="4"/>
      <c r="B247" s="4"/>
      <c r="C247" s="4"/>
      <c r="D247" s="4"/>
      <c r="E247" s="4"/>
      <c r="F247" s="4"/>
      <c r="G247" s="4"/>
      <c r="H247" s="4"/>
      <c r="J247" s="4"/>
      <c r="K247" s="4"/>
      <c r="L247" s="4"/>
      <c r="M247" s="4"/>
      <c r="N247" s="4"/>
    </row>
    <row r="248" spans="1:14">
      <c r="A248" s="4"/>
      <c r="B248" s="4"/>
      <c r="C248" s="4"/>
      <c r="D248" s="4"/>
      <c r="E248" s="4"/>
      <c r="F248" s="4"/>
      <c r="G248" s="4"/>
      <c r="H248" s="4"/>
      <c r="J248" s="4"/>
      <c r="K248" s="4"/>
      <c r="L248" s="4"/>
      <c r="M248" s="4"/>
      <c r="N248" s="4"/>
    </row>
    <row r="249" spans="1:14">
      <c r="A249" s="4"/>
      <c r="B249" s="4"/>
      <c r="C249" s="4"/>
      <c r="D249" s="4"/>
      <c r="E249" s="4"/>
      <c r="F249" s="4"/>
      <c r="G249" s="4"/>
      <c r="H249" s="4"/>
      <c r="J249" s="4"/>
      <c r="K249" s="4"/>
      <c r="L249" s="4"/>
      <c r="M249" s="4"/>
      <c r="N249" s="4"/>
    </row>
    <row r="250" spans="1:14">
      <c r="A250" s="4"/>
      <c r="B250" s="4"/>
      <c r="C250" s="4"/>
      <c r="D250" s="4"/>
      <c r="E250" s="4"/>
      <c r="F250" s="4"/>
      <c r="G250" s="4"/>
      <c r="H250" s="4"/>
      <c r="J250" s="4"/>
      <c r="K250" s="4"/>
      <c r="L250" s="4"/>
      <c r="M250" s="4"/>
      <c r="N250" s="4"/>
    </row>
    <row r="251" spans="1:14">
      <c r="A251" s="4"/>
      <c r="B251" s="4"/>
      <c r="C251" s="4"/>
      <c r="D251" s="4"/>
      <c r="E251" s="4"/>
      <c r="F251" s="4"/>
      <c r="G251" s="4"/>
      <c r="H251" s="4"/>
      <c r="J251" s="4"/>
      <c r="K251" s="4"/>
      <c r="L251" s="4"/>
      <c r="M251" s="4"/>
      <c r="N251" s="4"/>
    </row>
    <row r="252" spans="1:14">
      <c r="A252" s="4"/>
      <c r="B252" s="4"/>
      <c r="C252" s="4"/>
      <c r="D252" s="4"/>
      <c r="E252" s="4"/>
      <c r="F252" s="4"/>
      <c r="G252" s="4"/>
      <c r="H252" s="4"/>
      <c r="J252" s="4"/>
      <c r="K252" s="4"/>
      <c r="L252" s="4"/>
      <c r="M252" s="4"/>
      <c r="N252" s="4"/>
    </row>
    <row r="253" spans="1:14">
      <c r="A253" s="4"/>
      <c r="B253" s="4"/>
      <c r="C253" s="4"/>
      <c r="D253" s="4"/>
      <c r="E253" s="4"/>
      <c r="F253" s="4"/>
      <c r="G253" s="4"/>
      <c r="H253" s="4"/>
      <c r="J253" s="4"/>
      <c r="K253" s="4"/>
      <c r="L253" s="4"/>
      <c r="M253" s="4"/>
      <c r="N253" s="4"/>
    </row>
    <row r="254" spans="1:14">
      <c r="A254" s="4"/>
      <c r="B254" s="4"/>
      <c r="C254" s="4"/>
      <c r="D254" s="4"/>
      <c r="E254" s="4"/>
      <c r="F254" s="4"/>
      <c r="G254" s="4"/>
      <c r="H254" s="4"/>
      <c r="J254" s="4"/>
      <c r="K254" s="4"/>
      <c r="L254" s="4"/>
      <c r="M254" s="4"/>
      <c r="N254" s="4"/>
    </row>
    <row r="255" spans="1:14">
      <c r="A255" s="4"/>
      <c r="B255" s="4"/>
      <c r="C255" s="4"/>
      <c r="D255" s="4"/>
      <c r="E255" s="4"/>
      <c r="F255" s="4"/>
      <c r="G255" s="4"/>
      <c r="H255" s="4"/>
      <c r="J255" s="4"/>
      <c r="K255" s="4"/>
      <c r="L255" s="4"/>
      <c r="M255" s="4"/>
      <c r="N255" s="4"/>
    </row>
    <row r="256" spans="1:14">
      <c r="A256" s="4"/>
      <c r="B256" s="4"/>
      <c r="C256" s="4"/>
      <c r="D256" s="4"/>
      <c r="E256" s="4"/>
      <c r="F256" s="4"/>
      <c r="G256" s="4"/>
      <c r="H256" s="4"/>
      <c r="J256" s="4"/>
      <c r="K256" s="4"/>
      <c r="L256" s="4"/>
      <c r="M256" s="4"/>
      <c r="N256" s="4"/>
    </row>
    <row r="257" spans="1:14">
      <c r="A257" s="4"/>
      <c r="B257" s="4"/>
      <c r="C257" s="4"/>
      <c r="D257" s="4"/>
      <c r="E257" s="4"/>
      <c r="F257" s="4"/>
      <c r="G257" s="4"/>
      <c r="H257" s="4"/>
      <c r="J257" s="4"/>
      <c r="K257" s="4"/>
      <c r="L257" s="4"/>
      <c r="M257" s="4"/>
      <c r="N257" s="4"/>
    </row>
    <row r="258" spans="1:14">
      <c r="A258" s="4"/>
      <c r="B258" s="4"/>
      <c r="C258" s="4"/>
      <c r="D258" s="4"/>
      <c r="E258" s="4"/>
      <c r="F258" s="4"/>
      <c r="G258" s="4"/>
      <c r="H258" s="4"/>
      <c r="J258" s="4"/>
      <c r="K258" s="4"/>
      <c r="L258" s="4"/>
      <c r="M258" s="4"/>
      <c r="N258" s="4"/>
    </row>
    <row r="259" spans="1:14">
      <c r="A259" s="4"/>
      <c r="B259" s="4"/>
      <c r="C259" s="4"/>
      <c r="D259" s="4"/>
      <c r="E259" s="4"/>
      <c r="F259" s="4"/>
      <c r="G259" s="4"/>
      <c r="H259" s="4"/>
      <c r="J259" s="4"/>
      <c r="K259" s="4"/>
      <c r="L259" s="4"/>
      <c r="M259" s="4"/>
      <c r="N259" s="4"/>
    </row>
    <row r="260" spans="1:14">
      <c r="A260" s="4"/>
      <c r="B260" s="4"/>
      <c r="C260" s="4"/>
      <c r="D260" s="4"/>
      <c r="E260" s="4"/>
      <c r="F260" s="4"/>
      <c r="G260" s="4"/>
      <c r="H260" s="4"/>
      <c r="J260" s="4"/>
      <c r="K260" s="4"/>
      <c r="L260" s="4"/>
      <c r="M260" s="4"/>
      <c r="N260" s="4"/>
    </row>
    <row r="261" spans="1:14">
      <c r="A261" s="4"/>
      <c r="B261" s="4"/>
      <c r="C261" s="4"/>
      <c r="D261" s="4"/>
      <c r="E261" s="4"/>
      <c r="F261" s="4"/>
      <c r="G261" s="4"/>
      <c r="H261" s="4"/>
      <c r="J261" s="4"/>
      <c r="K261" s="4"/>
      <c r="L261" s="4"/>
      <c r="M261" s="4"/>
      <c r="N261" s="4"/>
    </row>
    <row r="262" spans="1:14">
      <c r="A262" s="4"/>
      <c r="B262" s="4"/>
      <c r="C262" s="4"/>
      <c r="D262" s="4"/>
      <c r="E262" s="4"/>
      <c r="F262" s="4"/>
      <c r="G262" s="4"/>
      <c r="H262" s="4"/>
      <c r="J262" s="4"/>
      <c r="K262" s="4"/>
      <c r="L262" s="4"/>
      <c r="M262" s="4"/>
      <c r="N262" s="4"/>
    </row>
    <row r="263" spans="1:14">
      <c r="A263" s="4"/>
      <c r="B263" s="4"/>
      <c r="C263" s="4"/>
      <c r="D263" s="4"/>
      <c r="E263" s="4"/>
      <c r="F263" s="4"/>
      <c r="G263" s="4"/>
      <c r="H263" s="4"/>
      <c r="J263" s="4"/>
      <c r="K263" s="4"/>
      <c r="L263" s="4"/>
      <c r="M263" s="4"/>
      <c r="N263" s="4"/>
    </row>
    <row r="264" spans="1:14">
      <c r="A264" s="4"/>
      <c r="B264" s="4"/>
      <c r="C264" s="4"/>
      <c r="D264" s="4"/>
      <c r="E264" s="4"/>
      <c r="F264" s="4"/>
      <c r="G264" s="4"/>
      <c r="H264" s="4"/>
      <c r="J264" s="4"/>
      <c r="K264" s="4"/>
      <c r="L264" s="4"/>
      <c r="M264" s="4"/>
      <c r="N264" s="4"/>
    </row>
    <row r="265" spans="1:14">
      <c r="A265" s="4"/>
      <c r="B265" s="4"/>
      <c r="C265" s="4"/>
      <c r="D265" s="4"/>
      <c r="E265" s="4"/>
      <c r="F265" s="4"/>
      <c r="G265" s="4"/>
      <c r="H265" s="4"/>
      <c r="J265" s="4"/>
      <c r="K265" s="4"/>
      <c r="L265" s="4"/>
      <c r="M265" s="4"/>
      <c r="N265" s="4"/>
    </row>
    <row r="266" spans="1:14">
      <c r="A266" s="4"/>
      <c r="B266" s="4"/>
      <c r="C266" s="4"/>
      <c r="D266" s="4"/>
      <c r="E266" s="4"/>
      <c r="F266" s="4"/>
      <c r="G266" s="4"/>
      <c r="H266" s="4"/>
      <c r="J266" s="4"/>
      <c r="K266" s="4"/>
      <c r="L266" s="4"/>
      <c r="M266" s="4"/>
      <c r="N266" s="4"/>
    </row>
    <row r="267" spans="1:14">
      <c r="A267" s="4"/>
      <c r="B267" s="4"/>
      <c r="C267" s="4"/>
      <c r="D267" s="4"/>
      <c r="E267" s="4"/>
      <c r="F267" s="4"/>
      <c r="G267" s="4"/>
      <c r="H267" s="4"/>
      <c r="J267" s="4"/>
      <c r="K267" s="4"/>
      <c r="L267" s="4"/>
      <c r="M267" s="4"/>
      <c r="N267" s="4"/>
    </row>
    <row r="268" spans="1:14">
      <c r="A268" s="4"/>
      <c r="B268" s="4"/>
      <c r="C268" s="4"/>
      <c r="D268" s="4"/>
      <c r="E268" s="4"/>
      <c r="F268" s="4"/>
      <c r="G268" s="4"/>
      <c r="H268" s="4"/>
      <c r="J268" s="4"/>
      <c r="K268" s="4"/>
      <c r="L268" s="4"/>
      <c r="M268" s="4"/>
      <c r="N268" s="4"/>
    </row>
    <row r="269" spans="1:14">
      <c r="A269" s="4"/>
      <c r="B269" s="4"/>
      <c r="C269" s="4"/>
      <c r="D269" s="4"/>
      <c r="E269" s="4"/>
      <c r="F269" s="4"/>
      <c r="G269" s="4"/>
      <c r="H269" s="4"/>
      <c r="J269" s="4"/>
      <c r="K269" s="4"/>
      <c r="L269" s="4"/>
      <c r="M269" s="4"/>
      <c r="N269" s="4"/>
    </row>
    <row r="270" spans="1:14">
      <c r="A270" s="4"/>
      <c r="B270" s="4"/>
      <c r="C270" s="4"/>
      <c r="D270" s="4"/>
      <c r="E270" s="4"/>
      <c r="F270" s="4"/>
      <c r="G270" s="4"/>
      <c r="H270" s="4"/>
      <c r="J270" s="4"/>
      <c r="K270" s="4"/>
      <c r="L270" s="4"/>
      <c r="M270" s="4"/>
      <c r="N270" s="4"/>
    </row>
    <row r="271" spans="1:14">
      <c r="A271" s="4"/>
      <c r="B271" s="4"/>
      <c r="C271" s="4"/>
      <c r="D271" s="4"/>
      <c r="E271" s="4"/>
      <c r="F271" s="4"/>
      <c r="G271" s="4"/>
      <c r="H271" s="4"/>
      <c r="J271" s="4"/>
      <c r="K271" s="4"/>
      <c r="L271" s="4"/>
      <c r="M271" s="4"/>
      <c r="N271" s="4"/>
    </row>
    <row r="272" spans="1:14">
      <c r="A272" s="4"/>
      <c r="B272" s="4"/>
      <c r="C272" s="4"/>
      <c r="D272" s="4"/>
      <c r="E272" s="4"/>
      <c r="F272" s="4"/>
      <c r="G272" s="4"/>
      <c r="H272" s="4"/>
      <c r="J272" s="4"/>
      <c r="K272" s="4"/>
      <c r="L272" s="4"/>
      <c r="M272" s="4"/>
      <c r="N272" s="4"/>
    </row>
    <row r="273" spans="1:14">
      <c r="A273" s="4"/>
      <c r="B273" s="4"/>
      <c r="C273" s="4"/>
      <c r="D273" s="4"/>
      <c r="E273" s="4"/>
      <c r="F273" s="4"/>
      <c r="G273" s="4"/>
      <c r="H273" s="4"/>
      <c r="J273" s="4"/>
      <c r="K273" s="4"/>
      <c r="L273" s="4"/>
      <c r="M273" s="4"/>
      <c r="N273" s="4"/>
    </row>
    <row r="274" spans="1:14">
      <c r="A274" s="4"/>
      <c r="B274" s="4"/>
      <c r="C274" s="4"/>
      <c r="D274" s="4"/>
      <c r="E274" s="4"/>
      <c r="F274" s="4"/>
      <c r="G274" s="4"/>
      <c r="H274" s="4"/>
      <c r="J274" s="4"/>
      <c r="K274" s="4"/>
      <c r="L274" s="4"/>
      <c r="M274" s="4"/>
      <c r="N274" s="4"/>
    </row>
    <row r="275" spans="1:14">
      <c r="A275" s="4"/>
      <c r="B275" s="4"/>
      <c r="C275" s="4"/>
      <c r="D275" s="4"/>
      <c r="E275" s="4"/>
      <c r="F275" s="4"/>
      <c r="G275" s="4"/>
      <c r="H275" s="4"/>
      <c r="J275" s="4"/>
      <c r="K275" s="4"/>
      <c r="L275" s="4"/>
      <c r="M275" s="4"/>
      <c r="N275" s="4"/>
    </row>
    <row r="276" spans="1:14">
      <c r="A276" s="4"/>
      <c r="B276" s="4"/>
      <c r="C276" s="4"/>
      <c r="D276" s="4"/>
      <c r="E276" s="4"/>
      <c r="F276" s="4"/>
      <c r="G276" s="4"/>
      <c r="H276" s="4"/>
      <c r="J276" s="4"/>
      <c r="K276" s="4"/>
      <c r="L276" s="4"/>
      <c r="M276" s="4"/>
      <c r="N276" s="4"/>
    </row>
    <row r="277" spans="1:14">
      <c r="A277" s="4"/>
      <c r="B277" s="4"/>
      <c r="C277" s="4"/>
      <c r="D277" s="4"/>
      <c r="E277" s="4"/>
      <c r="F277" s="4"/>
      <c r="G277" s="4"/>
      <c r="H277" s="4"/>
      <c r="J277" s="4"/>
      <c r="K277" s="4"/>
      <c r="L277" s="4"/>
      <c r="M277" s="4"/>
      <c r="N277" s="4"/>
    </row>
    <row r="278" spans="1:14">
      <c r="A278" s="4"/>
      <c r="B278" s="4"/>
      <c r="C278" s="4"/>
      <c r="D278" s="4"/>
      <c r="E278" s="4"/>
      <c r="F278" s="4"/>
      <c r="G278" s="4"/>
      <c r="H278" s="4"/>
      <c r="J278" s="4"/>
      <c r="K278" s="4"/>
      <c r="L278" s="4"/>
      <c r="M278" s="4"/>
      <c r="N278" s="4"/>
    </row>
    <row r="279" spans="1:14">
      <c r="A279" s="4"/>
      <c r="B279" s="4"/>
      <c r="C279" s="4"/>
      <c r="D279" s="4"/>
      <c r="E279" s="4"/>
      <c r="F279" s="4"/>
      <c r="G279" s="4"/>
      <c r="H279" s="4"/>
      <c r="J279" s="4"/>
      <c r="K279" s="4"/>
      <c r="L279" s="4"/>
      <c r="M279" s="4"/>
      <c r="N279" s="4"/>
    </row>
    <row r="280" spans="1:14">
      <c r="A280" s="4"/>
      <c r="B280" s="4"/>
      <c r="C280" s="4"/>
      <c r="D280" s="4"/>
      <c r="E280" s="4"/>
      <c r="F280" s="4"/>
      <c r="G280" s="4"/>
      <c r="H280" s="4"/>
      <c r="J280" s="4"/>
      <c r="K280" s="4"/>
      <c r="L280" s="4"/>
      <c r="M280" s="4"/>
      <c r="N280" s="4"/>
    </row>
    <row r="281" spans="1:14">
      <c r="A281" s="4"/>
      <c r="B281" s="4"/>
      <c r="C281" s="4"/>
      <c r="D281" s="4"/>
      <c r="E281" s="4"/>
      <c r="F281" s="4"/>
      <c r="G281" s="4"/>
      <c r="H281" s="4"/>
      <c r="J281" s="4"/>
      <c r="K281" s="4"/>
      <c r="L281" s="4"/>
      <c r="M281" s="4"/>
      <c r="N281" s="4"/>
    </row>
    <row r="282" spans="1:14">
      <c r="A282" s="4"/>
      <c r="B282" s="4"/>
      <c r="C282" s="4"/>
      <c r="D282" s="4"/>
      <c r="E282" s="4"/>
      <c r="F282" s="4"/>
      <c r="G282" s="4"/>
      <c r="H282" s="4"/>
      <c r="J282" s="4"/>
      <c r="K282" s="4"/>
      <c r="L282" s="4"/>
      <c r="M282" s="4"/>
      <c r="N282" s="4"/>
    </row>
    <row r="283" spans="1:14">
      <c r="A283" s="4"/>
      <c r="B283" s="4"/>
      <c r="C283" s="4"/>
      <c r="D283" s="4"/>
      <c r="E283" s="4"/>
      <c r="F283" s="4"/>
      <c r="G283" s="4"/>
      <c r="H283" s="4"/>
      <c r="J283" s="4"/>
      <c r="K283" s="4"/>
      <c r="L283" s="4"/>
      <c r="M283" s="4"/>
      <c r="N283" s="4"/>
    </row>
    <row r="284" spans="1:14">
      <c r="A284" s="4"/>
      <c r="B284" s="4"/>
      <c r="C284" s="4"/>
      <c r="D284" s="4"/>
      <c r="E284" s="4"/>
      <c r="F284" s="4"/>
      <c r="G284" s="4"/>
      <c r="H284" s="4"/>
      <c r="J284" s="4"/>
      <c r="K284" s="4"/>
      <c r="L284" s="4"/>
      <c r="M284" s="4"/>
      <c r="N284" s="4"/>
    </row>
    <row r="285" spans="1:14">
      <c r="A285" s="4"/>
      <c r="B285" s="4"/>
      <c r="C285" s="4"/>
      <c r="D285" s="4"/>
      <c r="E285" s="4"/>
      <c r="F285" s="4"/>
      <c r="G285" s="4"/>
      <c r="H285" s="4"/>
      <c r="J285" s="4"/>
      <c r="K285" s="4"/>
      <c r="L285" s="4"/>
      <c r="M285" s="4"/>
      <c r="N285" s="4"/>
    </row>
    <row r="286" spans="1:14">
      <c r="A286" s="4"/>
      <c r="B286" s="4"/>
      <c r="C286" s="4"/>
      <c r="D286" s="4"/>
      <c r="E286" s="4"/>
      <c r="F286" s="4"/>
      <c r="G286" s="4"/>
      <c r="H286" s="4"/>
      <c r="J286" s="4"/>
      <c r="K286" s="4"/>
      <c r="L286" s="4"/>
      <c r="M286" s="4"/>
      <c r="N286" s="4"/>
    </row>
    <row r="287" spans="1:14">
      <c r="A287" s="4"/>
      <c r="B287" s="4"/>
      <c r="C287" s="4"/>
      <c r="D287" s="4"/>
      <c r="E287" s="4"/>
      <c r="F287" s="4"/>
      <c r="G287" s="4"/>
      <c r="H287" s="4"/>
      <c r="J287" s="4"/>
      <c r="K287" s="4"/>
      <c r="L287" s="4"/>
      <c r="M287" s="4"/>
      <c r="N287" s="4"/>
    </row>
    <row r="288" spans="1:14">
      <c r="A288" s="4"/>
      <c r="B288" s="4"/>
      <c r="C288" s="4"/>
      <c r="D288" s="4"/>
      <c r="E288" s="4"/>
      <c r="F288" s="4"/>
      <c r="G288" s="4"/>
      <c r="H288" s="4"/>
      <c r="J288" s="4"/>
      <c r="K288" s="4"/>
      <c r="L288" s="4"/>
      <c r="M288" s="4"/>
      <c r="N288" s="4"/>
    </row>
    <row r="289" spans="1:14">
      <c r="A289" s="4"/>
      <c r="B289" s="4"/>
      <c r="C289" s="4"/>
      <c r="D289" s="4"/>
      <c r="E289" s="4"/>
      <c r="F289" s="4"/>
      <c r="G289" s="4"/>
      <c r="H289" s="4"/>
      <c r="J289" s="4"/>
      <c r="K289" s="4"/>
      <c r="L289" s="4"/>
      <c r="M289" s="4"/>
      <c r="N289" s="4"/>
    </row>
    <row r="290" spans="1:14">
      <c r="A290" s="4"/>
      <c r="B290" s="4"/>
      <c r="C290" s="4"/>
      <c r="D290" s="4"/>
      <c r="E290" s="4"/>
      <c r="F290" s="4"/>
      <c r="G290" s="4"/>
      <c r="H290" s="4"/>
      <c r="J290" s="4"/>
      <c r="K290" s="4"/>
      <c r="L290" s="4"/>
      <c r="M290" s="4"/>
      <c r="N290" s="4"/>
    </row>
    <row r="291" spans="1:14">
      <c r="A291" s="4"/>
      <c r="B291" s="4"/>
      <c r="C291" s="4"/>
      <c r="D291" s="4"/>
      <c r="E291" s="4"/>
      <c r="F291" s="4"/>
      <c r="G291" s="4"/>
      <c r="H291" s="4"/>
      <c r="J291" s="4"/>
      <c r="K291" s="4"/>
      <c r="L291" s="4"/>
      <c r="M291" s="4"/>
      <c r="N291" s="4"/>
    </row>
    <row r="292" spans="1:14">
      <c r="A292" s="4"/>
      <c r="B292" s="4"/>
      <c r="C292" s="4"/>
      <c r="D292" s="4"/>
      <c r="E292" s="4"/>
      <c r="F292" s="4"/>
      <c r="G292" s="4"/>
      <c r="H292" s="4"/>
      <c r="J292" s="4"/>
      <c r="K292" s="4"/>
      <c r="L292" s="4"/>
      <c r="M292" s="4"/>
      <c r="N292" s="4"/>
    </row>
    <row r="293" spans="1:14">
      <c r="A293" s="4"/>
      <c r="B293" s="4"/>
      <c r="C293" s="4"/>
      <c r="D293" s="4"/>
      <c r="E293" s="4"/>
      <c r="F293" s="4"/>
      <c r="G293" s="4"/>
      <c r="H293" s="4"/>
      <c r="J293" s="4"/>
      <c r="K293" s="4"/>
      <c r="L293" s="4"/>
      <c r="M293" s="4"/>
      <c r="N293" s="4"/>
    </row>
    <row r="294" spans="1:14">
      <c r="A294" s="4"/>
      <c r="B294" s="4"/>
      <c r="C294" s="4"/>
      <c r="D294" s="4"/>
      <c r="E294" s="4"/>
      <c r="F294" s="4"/>
      <c r="G294" s="4"/>
      <c r="H294" s="4"/>
      <c r="J294" s="4"/>
      <c r="K294" s="4"/>
      <c r="L294" s="4"/>
      <c r="M294" s="4"/>
      <c r="N294" s="4"/>
    </row>
    <row r="295" spans="1:14">
      <c r="A295" s="4"/>
      <c r="B295" s="4"/>
      <c r="C295" s="4"/>
      <c r="D295" s="4"/>
      <c r="E295" s="4"/>
      <c r="F295" s="4"/>
      <c r="G295" s="4"/>
      <c r="H295" s="4"/>
      <c r="J295" s="4"/>
      <c r="K295" s="4"/>
      <c r="L295" s="4"/>
      <c r="M295" s="4"/>
      <c r="N295" s="4"/>
    </row>
    <row r="296" spans="1:14">
      <c r="A296" s="4"/>
      <c r="B296" s="4"/>
      <c r="C296" s="4"/>
      <c r="D296" s="4"/>
      <c r="E296" s="4"/>
      <c r="F296" s="4"/>
      <c r="G296" s="4"/>
      <c r="H296" s="4"/>
      <c r="J296" s="4"/>
      <c r="K296" s="4"/>
      <c r="L296" s="4"/>
      <c r="M296" s="4"/>
      <c r="N296" s="4"/>
    </row>
    <row r="297" spans="1:14">
      <c r="A297" s="4"/>
      <c r="B297" s="4"/>
      <c r="C297" s="4"/>
      <c r="D297" s="4"/>
      <c r="E297" s="4"/>
      <c r="F297" s="4"/>
      <c r="G297" s="4"/>
      <c r="H297" s="4"/>
      <c r="J297" s="4"/>
      <c r="K297" s="4"/>
      <c r="L297" s="4"/>
      <c r="M297" s="4"/>
      <c r="N297" s="4"/>
    </row>
    <row r="298" spans="1:14">
      <c r="A298" s="4"/>
      <c r="B298" s="4"/>
      <c r="C298" s="4"/>
      <c r="D298" s="4"/>
      <c r="E298" s="4"/>
      <c r="F298" s="4"/>
      <c r="G298" s="4"/>
      <c r="H298" s="4"/>
      <c r="J298" s="4"/>
      <c r="K298" s="4"/>
      <c r="L298" s="4"/>
      <c r="M298" s="4"/>
      <c r="N298" s="4"/>
    </row>
    <row r="299" spans="1:14">
      <c r="A299" s="4"/>
      <c r="B299" s="4"/>
      <c r="C299" s="4"/>
      <c r="D299" s="4"/>
      <c r="E299" s="4"/>
      <c r="F299" s="4"/>
      <c r="G299" s="4"/>
      <c r="H299" s="4"/>
      <c r="J299" s="4"/>
      <c r="K299" s="4"/>
      <c r="L299" s="4"/>
      <c r="M299" s="4"/>
      <c r="N299" s="4"/>
    </row>
    <row r="300" spans="1:14">
      <c r="A300" s="4"/>
      <c r="B300" s="4"/>
      <c r="C300" s="4"/>
      <c r="D300" s="4"/>
      <c r="E300" s="4"/>
      <c r="F300" s="4"/>
      <c r="G300" s="4"/>
      <c r="H300" s="4"/>
      <c r="J300" s="4"/>
      <c r="K300" s="4"/>
      <c r="L300" s="4"/>
      <c r="M300" s="4"/>
      <c r="N300" s="4"/>
    </row>
    <row r="301" spans="1:14">
      <c r="A301" s="4"/>
      <c r="B301" s="4"/>
      <c r="C301" s="4"/>
      <c r="D301" s="4"/>
      <c r="E301" s="4"/>
      <c r="F301" s="4"/>
      <c r="G301" s="4"/>
      <c r="H301" s="4"/>
      <c r="J301" s="4"/>
      <c r="K301" s="4"/>
      <c r="L301" s="4"/>
      <c r="M301" s="4"/>
      <c r="N301" s="4"/>
    </row>
    <row r="302" spans="1:14">
      <c r="A302" s="4"/>
      <c r="B302" s="4"/>
      <c r="C302" s="4"/>
      <c r="D302" s="4"/>
      <c r="E302" s="4"/>
      <c r="F302" s="4"/>
      <c r="G302" s="4"/>
      <c r="H302" s="4"/>
      <c r="J302" s="4"/>
      <c r="K302" s="4"/>
      <c r="L302" s="4"/>
      <c r="M302" s="4"/>
      <c r="N302" s="4"/>
    </row>
    <row r="303" spans="1:14">
      <c r="A303" s="4"/>
      <c r="B303" s="4"/>
      <c r="C303" s="4"/>
      <c r="D303" s="4"/>
      <c r="E303" s="4"/>
      <c r="F303" s="4"/>
      <c r="G303" s="4"/>
      <c r="H303" s="4"/>
      <c r="J303" s="4"/>
      <c r="K303" s="4"/>
      <c r="L303" s="4"/>
      <c r="M303" s="4"/>
      <c r="N303" s="4"/>
    </row>
    <row r="304" spans="1:14">
      <c r="A304" s="4"/>
      <c r="B304" s="4"/>
      <c r="C304" s="4"/>
      <c r="D304" s="4"/>
      <c r="E304" s="4"/>
      <c r="F304" s="4"/>
      <c r="G304" s="4"/>
      <c r="H304" s="4"/>
      <c r="J304" s="4"/>
      <c r="K304" s="4"/>
      <c r="L304" s="4"/>
      <c r="M304" s="4"/>
      <c r="N304" s="4"/>
    </row>
    <row r="305" spans="1:14">
      <c r="A305" s="4"/>
      <c r="B305" s="4"/>
      <c r="C305" s="4"/>
      <c r="D305" s="4"/>
      <c r="E305" s="4"/>
      <c r="F305" s="4"/>
      <c r="G305" s="4"/>
      <c r="H305" s="4"/>
      <c r="J305" s="4"/>
      <c r="K305" s="4"/>
      <c r="L305" s="4"/>
      <c r="M305" s="4"/>
      <c r="N305" s="4"/>
    </row>
    <row r="306" spans="1:14">
      <c r="A306" s="4"/>
      <c r="B306" s="4"/>
      <c r="C306" s="4"/>
      <c r="D306" s="4"/>
      <c r="E306" s="4"/>
      <c r="F306" s="4"/>
      <c r="G306" s="4"/>
      <c r="H306" s="4"/>
      <c r="J306" s="4"/>
      <c r="K306" s="4"/>
      <c r="L306" s="4"/>
      <c r="M306" s="4"/>
      <c r="N306" s="4"/>
    </row>
    <row r="307" spans="1:14">
      <c r="A307" s="4"/>
      <c r="B307" s="4"/>
      <c r="C307" s="4"/>
      <c r="D307" s="4"/>
      <c r="E307" s="4"/>
      <c r="F307" s="4"/>
      <c r="G307" s="4"/>
      <c r="H307" s="4"/>
      <c r="J307" s="4"/>
      <c r="K307" s="4"/>
      <c r="L307" s="4"/>
      <c r="M307" s="4"/>
      <c r="N307" s="4"/>
    </row>
    <row r="308" spans="1:14">
      <c r="A308" s="4"/>
      <c r="B308" s="4"/>
      <c r="C308" s="4"/>
      <c r="D308" s="4"/>
      <c r="E308" s="4"/>
      <c r="F308" s="4"/>
      <c r="G308" s="4"/>
      <c r="H308" s="4"/>
      <c r="J308" s="4"/>
      <c r="K308" s="4"/>
      <c r="L308" s="4"/>
      <c r="M308" s="4"/>
      <c r="N308" s="4"/>
    </row>
    <row r="309" spans="1:14">
      <c r="A309" s="4"/>
      <c r="B309" s="4"/>
      <c r="C309" s="4"/>
      <c r="D309" s="4"/>
      <c r="E309" s="4"/>
      <c r="F309" s="4"/>
      <c r="G309" s="4"/>
      <c r="H309" s="4"/>
      <c r="J309" s="4"/>
      <c r="K309" s="4"/>
      <c r="L309" s="4"/>
      <c r="M309" s="4"/>
      <c r="N309" s="4"/>
    </row>
    <row r="310" spans="1:14">
      <c r="A310" s="4"/>
      <c r="B310" s="4"/>
      <c r="C310" s="4"/>
      <c r="D310" s="4"/>
      <c r="E310" s="4"/>
      <c r="F310" s="4"/>
      <c r="G310" s="4"/>
      <c r="H310" s="4"/>
      <c r="J310" s="4"/>
      <c r="K310" s="4"/>
      <c r="L310" s="4"/>
      <c r="M310" s="4"/>
      <c r="N310" s="4"/>
    </row>
    <row r="311" spans="1:14">
      <c r="A311" s="4"/>
      <c r="B311" s="4"/>
      <c r="C311" s="4"/>
      <c r="D311" s="4"/>
      <c r="E311" s="4"/>
      <c r="F311" s="4"/>
      <c r="G311" s="4"/>
      <c r="H311" s="4"/>
      <c r="J311" s="4"/>
      <c r="K311" s="4"/>
      <c r="L311" s="4"/>
      <c r="M311" s="4"/>
      <c r="N311" s="4"/>
    </row>
    <row r="312" spans="1:14">
      <c r="A312" s="4"/>
      <c r="B312" s="4"/>
      <c r="C312" s="4"/>
      <c r="D312" s="4"/>
      <c r="E312" s="4"/>
      <c r="F312" s="4"/>
      <c r="G312" s="4"/>
      <c r="H312" s="4"/>
      <c r="J312" s="4"/>
      <c r="K312" s="4"/>
      <c r="L312" s="4"/>
      <c r="M312" s="4"/>
      <c r="N312" s="4"/>
    </row>
    <row r="313" spans="1:14">
      <c r="A313" s="4"/>
      <c r="B313" s="4"/>
      <c r="C313" s="4"/>
      <c r="D313" s="4"/>
      <c r="E313" s="4"/>
      <c r="F313" s="4"/>
      <c r="G313" s="4"/>
      <c r="H313" s="4"/>
      <c r="J313" s="4"/>
      <c r="K313" s="4"/>
      <c r="L313" s="4"/>
      <c r="M313" s="4"/>
      <c r="N313" s="4"/>
    </row>
    <row r="314" spans="1:14">
      <c r="A314" s="4"/>
      <c r="B314" s="4"/>
      <c r="C314" s="4"/>
      <c r="D314" s="4"/>
      <c r="E314" s="4"/>
      <c r="F314" s="4"/>
      <c r="G314" s="4"/>
      <c r="H314" s="4"/>
      <c r="J314" s="4"/>
      <c r="K314" s="4"/>
      <c r="L314" s="4"/>
      <c r="M314" s="4"/>
      <c r="N314" s="4"/>
    </row>
    <row r="315" spans="1:14">
      <c r="A315" s="4"/>
      <c r="B315" s="4"/>
      <c r="C315" s="4"/>
      <c r="D315" s="4"/>
      <c r="E315" s="4"/>
      <c r="F315" s="4"/>
      <c r="G315" s="4"/>
      <c r="H315" s="4"/>
      <c r="J315" s="4"/>
      <c r="K315" s="4"/>
      <c r="L315" s="4"/>
      <c r="M315" s="4"/>
      <c r="N315" s="4"/>
    </row>
    <row r="316" spans="1:14">
      <c r="A316" s="4"/>
      <c r="B316" s="4"/>
      <c r="C316" s="4"/>
      <c r="D316" s="4"/>
      <c r="E316" s="4"/>
      <c r="F316" s="4"/>
      <c r="G316" s="4"/>
      <c r="H316" s="4"/>
      <c r="J316" s="4"/>
      <c r="K316" s="4"/>
      <c r="L316" s="4"/>
      <c r="M316" s="4"/>
      <c r="N316" s="4"/>
    </row>
    <row r="317" spans="1:14">
      <c r="A317" s="4"/>
      <c r="B317" s="4"/>
      <c r="C317" s="4"/>
      <c r="D317" s="4"/>
      <c r="E317" s="4"/>
      <c r="F317" s="4"/>
      <c r="G317" s="4"/>
      <c r="H317" s="4"/>
      <c r="J317" s="4"/>
      <c r="K317" s="4"/>
      <c r="L317" s="4"/>
      <c r="M317" s="4"/>
      <c r="N317" s="4"/>
    </row>
    <row r="318" spans="1:14">
      <c r="A318" s="4"/>
      <c r="B318" s="4"/>
      <c r="C318" s="4"/>
      <c r="D318" s="4"/>
      <c r="E318" s="4"/>
      <c r="F318" s="4"/>
      <c r="G318" s="4"/>
      <c r="H318" s="4"/>
      <c r="J318" s="4"/>
      <c r="K318" s="4"/>
      <c r="L318" s="4"/>
      <c r="M318" s="4"/>
      <c r="N318" s="4"/>
    </row>
    <row r="319" spans="1:14">
      <c r="A319" s="4"/>
      <c r="B319" s="4"/>
      <c r="C319" s="4"/>
      <c r="D319" s="4"/>
      <c r="E319" s="4"/>
      <c r="F319" s="4"/>
      <c r="G319" s="4"/>
      <c r="H319" s="4"/>
      <c r="J319" s="4"/>
      <c r="K319" s="4"/>
      <c r="L319" s="4"/>
      <c r="M319" s="4"/>
      <c r="N319" s="4"/>
    </row>
    <row r="320" spans="1:14">
      <c r="A320" s="4"/>
      <c r="B320" s="4"/>
      <c r="C320" s="4"/>
      <c r="D320" s="4"/>
      <c r="E320" s="4"/>
      <c r="F320" s="4"/>
      <c r="G320" s="4"/>
      <c r="H320" s="4"/>
      <c r="J320" s="4"/>
      <c r="K320" s="4"/>
      <c r="L320" s="4"/>
      <c r="M320" s="4"/>
      <c r="N320" s="4"/>
    </row>
    <row r="321" spans="1:14">
      <c r="A321" s="4"/>
      <c r="B321" s="4"/>
      <c r="C321" s="4"/>
      <c r="D321" s="4"/>
      <c r="E321" s="4"/>
      <c r="F321" s="4"/>
      <c r="G321" s="4"/>
      <c r="H321" s="4"/>
      <c r="J321" s="4"/>
      <c r="K321" s="4"/>
      <c r="L321" s="4"/>
      <c r="M321" s="4"/>
      <c r="N321" s="4"/>
    </row>
    <row r="322" spans="1:14">
      <c r="A322" s="4"/>
      <c r="B322" s="4"/>
      <c r="C322" s="4"/>
      <c r="D322" s="4"/>
      <c r="E322" s="4"/>
      <c r="F322" s="4"/>
      <c r="G322" s="4"/>
      <c r="H322" s="4"/>
      <c r="J322" s="4"/>
      <c r="K322" s="4"/>
      <c r="L322" s="4"/>
      <c r="M322" s="4"/>
      <c r="N322" s="4"/>
    </row>
    <row r="323" spans="1:14">
      <c r="A323" s="4"/>
      <c r="B323" s="4"/>
      <c r="C323" s="4"/>
      <c r="D323" s="4"/>
      <c r="E323" s="4"/>
      <c r="F323" s="4"/>
      <c r="G323" s="4"/>
      <c r="H323" s="4"/>
      <c r="J323" s="4"/>
      <c r="K323" s="4"/>
      <c r="L323" s="4"/>
      <c r="M323" s="4"/>
      <c r="N323" s="4"/>
    </row>
    <row r="324" spans="1:14">
      <c r="A324" s="4"/>
      <c r="B324" s="4"/>
      <c r="C324" s="4"/>
      <c r="D324" s="4"/>
      <c r="E324" s="4"/>
      <c r="F324" s="4"/>
      <c r="G324" s="4"/>
      <c r="H324" s="4"/>
      <c r="J324" s="4"/>
      <c r="K324" s="4"/>
      <c r="L324" s="4"/>
      <c r="M324" s="4"/>
      <c r="N324" s="4"/>
    </row>
    <row r="325" spans="1:14">
      <c r="A325" s="4"/>
      <c r="B325" s="4"/>
      <c r="C325" s="4"/>
      <c r="D325" s="4"/>
      <c r="E325" s="4"/>
      <c r="F325" s="4"/>
      <c r="G325" s="4"/>
      <c r="H325" s="4"/>
      <c r="J325" s="4"/>
      <c r="K325" s="4"/>
      <c r="L325" s="4"/>
      <c r="M325" s="4"/>
      <c r="N325" s="4"/>
    </row>
    <row r="326" spans="1:14">
      <c r="A326" s="4"/>
      <c r="B326" s="4"/>
      <c r="C326" s="4"/>
      <c r="D326" s="4"/>
      <c r="E326" s="4"/>
      <c r="F326" s="4"/>
      <c r="G326" s="4"/>
      <c r="H326" s="4"/>
      <c r="J326" s="4"/>
      <c r="K326" s="4"/>
      <c r="L326" s="4"/>
      <c r="M326" s="4"/>
      <c r="N326" s="4"/>
    </row>
    <row r="327" spans="1:14">
      <c r="A327" s="4"/>
      <c r="B327" s="4"/>
      <c r="C327" s="4"/>
      <c r="D327" s="4"/>
      <c r="E327" s="4"/>
      <c r="F327" s="4"/>
      <c r="G327" s="4"/>
      <c r="H327" s="4"/>
      <c r="J327" s="4"/>
      <c r="K327" s="4"/>
      <c r="L327" s="4"/>
      <c r="M327" s="4"/>
      <c r="N327" s="4"/>
    </row>
    <row r="328" spans="1:14">
      <c r="A328" s="4"/>
      <c r="B328" s="4"/>
      <c r="C328" s="4"/>
      <c r="D328" s="4"/>
      <c r="E328" s="4"/>
      <c r="F328" s="4"/>
      <c r="G328" s="4"/>
      <c r="H328" s="4"/>
      <c r="J328" s="4"/>
      <c r="K328" s="4"/>
      <c r="L328" s="4"/>
      <c r="M328" s="4"/>
      <c r="N328" s="4"/>
    </row>
    <row r="329" spans="1:14">
      <c r="A329" s="4"/>
      <c r="B329" s="4"/>
      <c r="C329" s="4"/>
      <c r="D329" s="4"/>
      <c r="E329" s="4"/>
      <c r="F329" s="4"/>
      <c r="G329" s="4"/>
      <c r="H329" s="4"/>
      <c r="J329" s="4"/>
      <c r="K329" s="4"/>
      <c r="L329" s="4"/>
      <c r="M329" s="4"/>
      <c r="N329" s="4"/>
    </row>
    <row r="330" spans="1:14">
      <c r="A330" s="4"/>
      <c r="B330" s="4"/>
      <c r="C330" s="4"/>
      <c r="D330" s="4"/>
      <c r="E330" s="4"/>
      <c r="F330" s="4"/>
      <c r="G330" s="4"/>
      <c r="H330" s="4"/>
      <c r="J330" s="4"/>
      <c r="K330" s="4"/>
      <c r="L330" s="4"/>
      <c r="M330" s="4"/>
      <c r="N330" s="4"/>
    </row>
    <row r="331" spans="1:14">
      <c r="A331" s="4"/>
      <c r="B331" s="4"/>
      <c r="C331" s="4"/>
      <c r="D331" s="4"/>
      <c r="E331" s="4"/>
      <c r="F331" s="4"/>
      <c r="G331" s="4"/>
      <c r="H331" s="4"/>
      <c r="J331" s="4"/>
      <c r="K331" s="4"/>
      <c r="L331" s="4"/>
      <c r="M331" s="4"/>
      <c r="N331" s="4"/>
    </row>
    <row r="332" spans="1:14">
      <c r="A332" s="4"/>
      <c r="B332" s="4"/>
      <c r="C332" s="4"/>
      <c r="D332" s="4"/>
      <c r="E332" s="4"/>
      <c r="F332" s="4"/>
      <c r="G332" s="4"/>
      <c r="H332" s="4"/>
      <c r="J332" s="4"/>
      <c r="K332" s="4"/>
      <c r="L332" s="4"/>
      <c r="M332" s="4"/>
      <c r="N332" s="4"/>
    </row>
    <row r="333" spans="1:14">
      <c r="A333" s="4"/>
      <c r="B333" s="4"/>
      <c r="C333" s="4"/>
      <c r="D333" s="4"/>
      <c r="E333" s="4"/>
      <c r="F333" s="4"/>
      <c r="G333" s="4"/>
      <c r="H333" s="4"/>
      <c r="J333" s="4"/>
      <c r="K333" s="4"/>
      <c r="L333" s="4"/>
      <c r="M333" s="4"/>
      <c r="N333" s="4"/>
    </row>
    <row r="334" spans="1:14">
      <c r="A334" s="4"/>
      <c r="B334" s="4"/>
      <c r="C334" s="4"/>
      <c r="D334" s="4"/>
      <c r="E334" s="4"/>
      <c r="F334" s="4"/>
      <c r="G334" s="4"/>
      <c r="H334" s="4"/>
      <c r="J334" s="4"/>
      <c r="K334" s="4"/>
      <c r="L334" s="4"/>
      <c r="M334" s="4"/>
      <c r="N334" s="4"/>
    </row>
    <row r="335" spans="1:14">
      <c r="A335" s="4"/>
      <c r="B335" s="4"/>
      <c r="C335" s="4"/>
      <c r="D335" s="4"/>
      <c r="E335" s="4"/>
      <c r="F335" s="4"/>
      <c r="G335" s="4"/>
      <c r="H335" s="4"/>
      <c r="J335" s="4"/>
      <c r="K335" s="4"/>
      <c r="L335" s="4"/>
      <c r="M335" s="4"/>
      <c r="N335" s="4"/>
    </row>
    <row r="336" spans="1:14">
      <c r="A336" s="4"/>
      <c r="B336" s="4"/>
      <c r="C336" s="4"/>
      <c r="D336" s="4"/>
      <c r="E336" s="4"/>
      <c r="F336" s="4"/>
      <c r="G336" s="4"/>
      <c r="H336" s="4"/>
      <c r="J336" s="4"/>
      <c r="K336" s="4"/>
      <c r="L336" s="4"/>
      <c r="M336" s="4"/>
      <c r="N336" s="4"/>
    </row>
    <row r="337" spans="1:14">
      <c r="A337" s="4"/>
      <c r="B337" s="4"/>
      <c r="C337" s="4"/>
      <c r="D337" s="4"/>
      <c r="E337" s="4"/>
      <c r="F337" s="4"/>
      <c r="G337" s="4"/>
      <c r="H337" s="4"/>
      <c r="J337" s="4"/>
      <c r="K337" s="4"/>
      <c r="L337" s="4"/>
      <c r="M337" s="4"/>
      <c r="N337" s="4"/>
    </row>
    <row r="338" spans="1:14">
      <c r="A338" s="4"/>
      <c r="B338" s="4"/>
      <c r="C338" s="4"/>
      <c r="D338" s="4"/>
      <c r="E338" s="4"/>
      <c r="F338" s="4"/>
      <c r="G338" s="4"/>
      <c r="H338" s="4"/>
      <c r="J338" s="4"/>
      <c r="K338" s="4"/>
      <c r="L338" s="4"/>
      <c r="M338" s="4"/>
      <c r="N338" s="4"/>
    </row>
    <row r="339" spans="1:14">
      <c r="A339" s="4"/>
      <c r="B339" s="4"/>
      <c r="C339" s="4"/>
      <c r="D339" s="4"/>
      <c r="E339" s="4"/>
      <c r="F339" s="4"/>
      <c r="G339" s="4"/>
      <c r="H339" s="4"/>
      <c r="J339" s="4"/>
      <c r="K339" s="4"/>
      <c r="L339" s="4"/>
      <c r="M339" s="4"/>
      <c r="N339" s="4"/>
    </row>
    <row r="340" spans="1:14">
      <c r="A340" s="4"/>
      <c r="B340" s="4"/>
      <c r="C340" s="4"/>
      <c r="D340" s="4"/>
      <c r="E340" s="4"/>
      <c r="F340" s="4"/>
      <c r="G340" s="4"/>
      <c r="H340" s="4"/>
      <c r="J340" s="4"/>
      <c r="K340" s="4"/>
      <c r="L340" s="4"/>
      <c r="M340" s="4"/>
      <c r="N340" s="4"/>
    </row>
    <row r="341" spans="1:14">
      <c r="A341" s="4"/>
      <c r="B341" s="4"/>
      <c r="C341" s="4"/>
      <c r="D341" s="4"/>
      <c r="E341" s="4"/>
      <c r="F341" s="4"/>
      <c r="G341" s="4"/>
      <c r="H341" s="4"/>
      <c r="J341" s="4"/>
      <c r="K341" s="4"/>
      <c r="L341" s="4"/>
      <c r="M341" s="4"/>
      <c r="N341" s="4"/>
    </row>
    <row r="342" spans="1:14">
      <c r="A342" s="4"/>
      <c r="B342" s="4"/>
      <c r="C342" s="4"/>
      <c r="D342" s="4"/>
      <c r="E342" s="4"/>
      <c r="F342" s="4"/>
      <c r="G342" s="4"/>
      <c r="H342" s="4"/>
      <c r="J342" s="4"/>
      <c r="K342" s="4"/>
      <c r="L342" s="4"/>
      <c r="M342" s="4"/>
      <c r="N342" s="4"/>
    </row>
    <row r="343" spans="1:14">
      <c r="A343" s="4"/>
      <c r="B343" s="4"/>
      <c r="C343" s="4"/>
      <c r="D343" s="4"/>
      <c r="E343" s="4"/>
      <c r="F343" s="4"/>
      <c r="G343" s="4"/>
      <c r="H343" s="4"/>
      <c r="J343" s="4"/>
      <c r="K343" s="4"/>
      <c r="L343" s="4"/>
      <c r="M343" s="4"/>
      <c r="N343" s="4"/>
    </row>
    <row r="344" spans="1:14">
      <c r="A344" s="4"/>
      <c r="B344" s="4"/>
      <c r="C344" s="4"/>
      <c r="D344" s="4"/>
      <c r="E344" s="4"/>
      <c r="F344" s="4"/>
      <c r="G344" s="4"/>
      <c r="H344" s="4"/>
      <c r="J344" s="4"/>
      <c r="K344" s="4"/>
      <c r="L344" s="4"/>
      <c r="M344" s="4"/>
      <c r="N344" s="4"/>
    </row>
    <row r="345" spans="1:14">
      <c r="A345" s="4"/>
      <c r="B345" s="4"/>
      <c r="C345" s="4"/>
      <c r="D345" s="4"/>
      <c r="E345" s="4"/>
      <c r="F345" s="4"/>
      <c r="G345" s="4"/>
      <c r="H345" s="4"/>
      <c r="J345" s="4"/>
      <c r="K345" s="4"/>
      <c r="L345" s="4"/>
      <c r="M345" s="4"/>
      <c r="N345" s="4"/>
    </row>
    <row r="346" spans="1:14">
      <c r="A346" s="4"/>
      <c r="B346" s="4"/>
      <c r="C346" s="4"/>
      <c r="D346" s="4"/>
      <c r="E346" s="4"/>
      <c r="F346" s="4"/>
      <c r="G346" s="4"/>
      <c r="H346" s="4"/>
      <c r="J346" s="4"/>
      <c r="K346" s="4"/>
      <c r="L346" s="4"/>
      <c r="M346" s="4"/>
      <c r="N346" s="4"/>
    </row>
    <row r="347" spans="1:14">
      <c r="A347" s="4"/>
      <c r="B347" s="4"/>
      <c r="C347" s="4"/>
      <c r="D347" s="4"/>
      <c r="E347" s="4"/>
      <c r="F347" s="4"/>
      <c r="G347" s="4"/>
      <c r="H347" s="4"/>
      <c r="J347" s="4"/>
      <c r="K347" s="4"/>
      <c r="L347" s="4"/>
      <c r="M347" s="4"/>
      <c r="N347" s="4"/>
    </row>
    <row r="348" spans="1:14">
      <c r="A348" s="4"/>
      <c r="B348" s="4"/>
      <c r="C348" s="4"/>
      <c r="D348" s="4"/>
      <c r="E348" s="4"/>
      <c r="F348" s="4"/>
      <c r="G348" s="4"/>
      <c r="H348" s="4"/>
      <c r="J348" s="4"/>
      <c r="K348" s="4"/>
      <c r="L348" s="4"/>
      <c r="M348" s="4"/>
      <c r="N348" s="4"/>
    </row>
    <row r="349" spans="1:14">
      <c r="A349" s="4"/>
      <c r="B349" s="4"/>
      <c r="C349" s="4"/>
      <c r="D349" s="4"/>
      <c r="E349" s="4"/>
      <c r="F349" s="4"/>
      <c r="G349" s="4"/>
      <c r="H349" s="4"/>
      <c r="J349" s="4"/>
      <c r="K349" s="4"/>
      <c r="L349" s="4"/>
      <c r="M349" s="4"/>
      <c r="N349" s="4"/>
    </row>
    <row r="350" spans="1:14">
      <c r="A350" s="4"/>
      <c r="B350" s="4"/>
      <c r="C350" s="4"/>
      <c r="D350" s="4"/>
      <c r="E350" s="4"/>
      <c r="F350" s="4"/>
      <c r="G350" s="4"/>
      <c r="H350" s="4"/>
      <c r="J350" s="4"/>
      <c r="K350" s="4"/>
      <c r="L350" s="4"/>
      <c r="M350" s="4"/>
      <c r="N350" s="4"/>
    </row>
    <row r="351" spans="1:14">
      <c r="A351" s="4"/>
      <c r="B351" s="4"/>
      <c r="C351" s="4"/>
      <c r="D351" s="4"/>
      <c r="E351" s="4"/>
      <c r="F351" s="4"/>
      <c r="G351" s="4"/>
      <c r="H351" s="4"/>
      <c r="J351" s="4"/>
      <c r="K351" s="4"/>
      <c r="L351" s="4"/>
      <c r="M351" s="4"/>
      <c r="N351" s="4"/>
    </row>
    <row r="352" spans="1:14">
      <c r="A352" s="4"/>
      <c r="B352" s="4"/>
      <c r="C352" s="4"/>
      <c r="D352" s="4"/>
      <c r="E352" s="4"/>
      <c r="F352" s="4"/>
      <c r="G352" s="4"/>
      <c r="H352" s="4"/>
      <c r="J352" s="4"/>
      <c r="K352" s="4"/>
      <c r="L352" s="4"/>
      <c r="M352" s="4"/>
      <c r="N352" s="4"/>
    </row>
    <row r="353" spans="1:14">
      <c r="A353" s="4"/>
      <c r="B353" s="4"/>
      <c r="C353" s="4"/>
      <c r="D353" s="4"/>
      <c r="E353" s="4"/>
      <c r="F353" s="4"/>
      <c r="G353" s="4"/>
      <c r="H353" s="4"/>
      <c r="J353" s="4"/>
      <c r="K353" s="4"/>
      <c r="L353" s="4"/>
      <c r="M353" s="4"/>
      <c r="N353" s="4"/>
    </row>
    <row r="354" spans="1:14">
      <c r="A354" s="4"/>
      <c r="B354" s="4"/>
      <c r="C354" s="4"/>
      <c r="D354" s="4"/>
      <c r="E354" s="4"/>
      <c r="F354" s="4"/>
      <c r="G354" s="4"/>
      <c r="H354" s="4"/>
      <c r="J354" s="4"/>
      <c r="K354" s="4"/>
      <c r="L354" s="4"/>
      <c r="M354" s="4"/>
      <c r="N354" s="4"/>
    </row>
    <row r="355" spans="1:14">
      <c r="A355" s="4"/>
      <c r="B355" s="4"/>
      <c r="C355" s="4"/>
      <c r="D355" s="4"/>
      <c r="E355" s="4"/>
      <c r="F355" s="4"/>
      <c r="G355" s="4"/>
      <c r="H355" s="4"/>
      <c r="J355" s="4"/>
      <c r="K355" s="4"/>
      <c r="L355" s="4"/>
      <c r="M355" s="4"/>
      <c r="N355" s="4"/>
    </row>
    <row r="356" spans="1:14">
      <c r="A356" s="4"/>
      <c r="B356" s="4"/>
      <c r="C356" s="4"/>
      <c r="D356" s="4"/>
      <c r="E356" s="4"/>
      <c r="F356" s="4"/>
      <c r="G356" s="4"/>
      <c r="H356" s="4"/>
      <c r="J356" s="4"/>
      <c r="K356" s="4"/>
      <c r="L356" s="4"/>
      <c r="M356" s="4"/>
      <c r="N356" s="4"/>
    </row>
    <row r="357" spans="1:14">
      <c r="A357" s="4"/>
      <c r="B357" s="4"/>
      <c r="C357" s="4"/>
      <c r="D357" s="4"/>
      <c r="E357" s="4"/>
      <c r="F357" s="4"/>
      <c r="G357" s="4"/>
      <c r="H357" s="4"/>
      <c r="J357" s="4"/>
      <c r="K357" s="4"/>
      <c r="L357" s="4"/>
      <c r="M357" s="4"/>
      <c r="N357" s="4"/>
    </row>
    <row r="358" spans="1:14">
      <c r="A358" s="4"/>
      <c r="B358" s="4"/>
      <c r="C358" s="4"/>
      <c r="D358" s="4"/>
      <c r="E358" s="4"/>
      <c r="F358" s="4"/>
      <c r="G358" s="4"/>
      <c r="H358" s="4"/>
      <c r="J358" s="4"/>
      <c r="K358" s="4"/>
      <c r="L358" s="4"/>
      <c r="M358" s="4"/>
      <c r="N358" s="4"/>
    </row>
    <row r="359" spans="1:14">
      <c r="A359" s="4"/>
      <c r="B359" s="4"/>
      <c r="C359" s="4"/>
      <c r="D359" s="4"/>
      <c r="E359" s="4"/>
      <c r="F359" s="4"/>
      <c r="G359" s="4"/>
      <c r="H359" s="4"/>
      <c r="J359" s="4"/>
      <c r="K359" s="4"/>
      <c r="L359" s="4"/>
      <c r="M359" s="4"/>
      <c r="N359" s="4"/>
    </row>
    <row r="360" spans="1:14">
      <c r="A360" s="4"/>
      <c r="B360" s="4"/>
      <c r="C360" s="4"/>
      <c r="D360" s="4"/>
      <c r="E360" s="4"/>
      <c r="F360" s="4"/>
      <c r="G360" s="4"/>
      <c r="H360" s="4"/>
      <c r="J360" s="4"/>
      <c r="K360" s="4"/>
      <c r="L360" s="4"/>
      <c r="M360" s="4"/>
      <c r="N360" s="4"/>
    </row>
    <row r="361" spans="1:14">
      <c r="A361" s="4"/>
      <c r="B361" s="4"/>
      <c r="C361" s="4"/>
      <c r="D361" s="4"/>
      <c r="E361" s="4"/>
      <c r="F361" s="4"/>
      <c r="G361" s="4"/>
      <c r="H361" s="4"/>
      <c r="J361" s="4"/>
      <c r="K361" s="4"/>
      <c r="L361" s="4"/>
      <c r="M361" s="4"/>
      <c r="N361" s="4"/>
    </row>
    <row r="362" spans="1:14">
      <c r="A362" s="4"/>
      <c r="B362" s="4"/>
      <c r="C362" s="4"/>
      <c r="D362" s="4"/>
      <c r="E362" s="4"/>
      <c r="F362" s="4"/>
      <c r="G362" s="4"/>
      <c r="H362" s="4"/>
      <c r="J362" s="4"/>
      <c r="K362" s="4"/>
      <c r="L362" s="4"/>
      <c r="M362" s="4"/>
      <c r="N362" s="4"/>
    </row>
    <row r="363" spans="1:14">
      <c r="A363" s="4"/>
      <c r="B363" s="4"/>
      <c r="C363" s="4"/>
      <c r="D363" s="4"/>
      <c r="E363" s="4"/>
      <c r="F363" s="4"/>
      <c r="G363" s="4"/>
      <c r="H363" s="4"/>
      <c r="J363" s="4"/>
      <c r="K363" s="4"/>
      <c r="L363" s="4"/>
      <c r="M363" s="4"/>
      <c r="N363" s="4"/>
    </row>
    <row r="364" spans="1:14">
      <c r="A364" s="4"/>
      <c r="B364" s="4"/>
      <c r="C364" s="4"/>
      <c r="D364" s="4"/>
      <c r="E364" s="4"/>
      <c r="F364" s="4"/>
      <c r="G364" s="4"/>
      <c r="H364" s="4"/>
      <c r="J364" s="4"/>
      <c r="K364" s="4"/>
      <c r="L364" s="4"/>
      <c r="M364" s="4"/>
      <c r="N364" s="4"/>
    </row>
    <row r="365" spans="1:14">
      <c r="A365" s="4"/>
      <c r="B365" s="4"/>
      <c r="C365" s="4"/>
      <c r="D365" s="4"/>
      <c r="E365" s="4"/>
      <c r="F365" s="4"/>
      <c r="G365" s="4"/>
      <c r="H365" s="4"/>
      <c r="J365" s="4"/>
      <c r="K365" s="4"/>
      <c r="L365" s="4"/>
      <c r="M365" s="4"/>
      <c r="N365" s="4"/>
    </row>
    <row r="366" spans="1:14">
      <c r="A366" s="4"/>
      <c r="B366" s="4"/>
      <c r="C366" s="4"/>
      <c r="D366" s="4"/>
      <c r="E366" s="4"/>
      <c r="F366" s="4"/>
      <c r="G366" s="4"/>
      <c r="H366" s="4"/>
      <c r="J366" s="4"/>
      <c r="K366" s="4"/>
      <c r="L366" s="4"/>
      <c r="M366" s="4"/>
      <c r="N366" s="4"/>
    </row>
    <row r="367" spans="1:14">
      <c r="A367" s="4"/>
      <c r="B367" s="4"/>
      <c r="C367" s="4"/>
      <c r="D367" s="4"/>
      <c r="E367" s="4"/>
      <c r="F367" s="4"/>
      <c r="G367" s="4"/>
      <c r="H367" s="4"/>
      <c r="J367" s="4"/>
      <c r="K367" s="4"/>
      <c r="L367" s="4"/>
      <c r="M367" s="4"/>
      <c r="N367" s="4"/>
    </row>
    <row r="368" spans="1:14">
      <c r="A368" s="4"/>
      <c r="B368" s="4"/>
      <c r="C368" s="4"/>
      <c r="D368" s="4"/>
      <c r="E368" s="4"/>
      <c r="F368" s="4"/>
      <c r="G368" s="4"/>
      <c r="H368" s="4"/>
      <c r="J368" s="4"/>
      <c r="K368" s="4"/>
      <c r="L368" s="4"/>
      <c r="M368" s="4"/>
      <c r="N368" s="4"/>
    </row>
    <row r="369" spans="1:14">
      <c r="A369" s="4"/>
      <c r="B369" s="4"/>
      <c r="C369" s="4"/>
      <c r="D369" s="4"/>
      <c r="E369" s="4"/>
      <c r="F369" s="4"/>
      <c r="G369" s="4"/>
      <c r="H369" s="4"/>
      <c r="J369" s="4"/>
      <c r="K369" s="4"/>
      <c r="L369" s="4"/>
      <c r="M369" s="4"/>
      <c r="N369" s="4"/>
    </row>
    <row r="370" spans="1:14">
      <c r="A370" s="4"/>
      <c r="B370" s="4"/>
      <c r="C370" s="4"/>
      <c r="D370" s="4"/>
      <c r="E370" s="4"/>
      <c r="F370" s="4"/>
      <c r="G370" s="4"/>
      <c r="H370" s="4"/>
      <c r="J370" s="4"/>
      <c r="K370" s="4"/>
      <c r="L370" s="4"/>
      <c r="M370" s="4"/>
      <c r="N370" s="4"/>
    </row>
    <row r="371" spans="1:14">
      <c r="A371" s="4"/>
      <c r="B371" s="4"/>
      <c r="C371" s="4"/>
      <c r="D371" s="4"/>
      <c r="E371" s="4"/>
      <c r="F371" s="4"/>
      <c r="G371" s="4"/>
      <c r="H371" s="4"/>
      <c r="J371" s="4"/>
      <c r="K371" s="4"/>
      <c r="L371" s="4"/>
      <c r="M371" s="4"/>
      <c r="N371" s="4"/>
    </row>
    <row r="372" spans="1:14">
      <c r="A372" s="4"/>
      <c r="B372" s="4"/>
      <c r="C372" s="4"/>
      <c r="D372" s="4"/>
      <c r="E372" s="4"/>
      <c r="F372" s="4"/>
      <c r="G372" s="4"/>
      <c r="H372" s="4"/>
      <c r="J372" s="4"/>
      <c r="K372" s="4"/>
      <c r="L372" s="4"/>
      <c r="M372" s="4"/>
      <c r="N372" s="4"/>
    </row>
    <row r="373" spans="1:14">
      <c r="A373" s="4"/>
      <c r="B373" s="4"/>
      <c r="C373" s="4"/>
      <c r="D373" s="4"/>
      <c r="E373" s="4"/>
      <c r="F373" s="4"/>
      <c r="G373" s="4"/>
      <c r="H373" s="4"/>
      <c r="J373" s="4"/>
      <c r="K373" s="4"/>
      <c r="L373" s="4"/>
      <c r="M373" s="4"/>
      <c r="N373" s="4"/>
    </row>
    <row r="374" spans="1:14">
      <c r="A374" s="4"/>
      <c r="B374" s="4"/>
      <c r="C374" s="4"/>
      <c r="D374" s="4"/>
      <c r="E374" s="4"/>
      <c r="F374" s="4"/>
      <c r="G374" s="4"/>
      <c r="H374" s="4"/>
      <c r="J374" s="4"/>
      <c r="K374" s="4"/>
      <c r="L374" s="4"/>
      <c r="M374" s="4"/>
      <c r="N374" s="4"/>
    </row>
    <row r="375" spans="1:14">
      <c r="A375" s="4"/>
      <c r="B375" s="4"/>
      <c r="C375" s="4"/>
      <c r="D375" s="4"/>
      <c r="E375" s="4"/>
      <c r="F375" s="4"/>
      <c r="G375" s="4"/>
      <c r="H375" s="4"/>
      <c r="J375" s="4"/>
      <c r="K375" s="4"/>
      <c r="L375" s="4"/>
      <c r="M375" s="4"/>
      <c r="N375" s="4"/>
    </row>
    <row r="376" spans="1:14">
      <c r="A376" s="4"/>
      <c r="B376" s="4"/>
      <c r="C376" s="4"/>
      <c r="D376" s="4"/>
      <c r="E376" s="4"/>
      <c r="F376" s="4"/>
      <c r="G376" s="4"/>
      <c r="H376" s="4"/>
      <c r="J376" s="4"/>
      <c r="K376" s="4"/>
      <c r="L376" s="4"/>
      <c r="M376" s="4"/>
      <c r="N376" s="4"/>
    </row>
    <row r="377" spans="1:14">
      <c r="A377" s="4"/>
      <c r="B377" s="4"/>
      <c r="C377" s="4"/>
      <c r="D377" s="4"/>
      <c r="E377" s="4"/>
      <c r="F377" s="4"/>
      <c r="G377" s="4"/>
      <c r="H377" s="4"/>
      <c r="J377" s="4"/>
      <c r="K377" s="4"/>
      <c r="L377" s="4"/>
      <c r="M377" s="4"/>
      <c r="N377" s="4"/>
    </row>
    <row r="378" spans="1:14">
      <c r="A378" s="4"/>
      <c r="B378" s="4"/>
      <c r="C378" s="4"/>
      <c r="D378" s="4"/>
      <c r="E378" s="4"/>
      <c r="F378" s="4"/>
      <c r="G378" s="4"/>
      <c r="H378" s="4"/>
      <c r="J378" s="4"/>
      <c r="K378" s="4"/>
      <c r="L378" s="4"/>
      <c r="M378" s="4"/>
      <c r="N378" s="4"/>
    </row>
    <row r="379" spans="1:14">
      <c r="A379" s="4"/>
      <c r="B379" s="4"/>
      <c r="C379" s="4"/>
      <c r="D379" s="4"/>
      <c r="E379" s="4"/>
      <c r="F379" s="4"/>
      <c r="G379" s="4"/>
      <c r="H379" s="4"/>
      <c r="J379" s="4"/>
      <c r="K379" s="4"/>
      <c r="L379" s="4"/>
      <c r="M379" s="4"/>
      <c r="N379" s="4"/>
    </row>
    <row r="380" spans="1:14">
      <c r="A380" s="4"/>
      <c r="B380" s="4"/>
      <c r="C380" s="4"/>
      <c r="D380" s="4"/>
      <c r="E380" s="4"/>
      <c r="F380" s="4"/>
      <c r="G380" s="4"/>
      <c r="H380" s="4"/>
      <c r="J380" s="4"/>
      <c r="K380" s="4"/>
      <c r="L380" s="4"/>
      <c r="M380" s="4"/>
      <c r="N380" s="4"/>
    </row>
    <row r="381" spans="1:14">
      <c r="A381" s="4"/>
      <c r="B381" s="4"/>
      <c r="C381" s="4"/>
      <c r="D381" s="4"/>
      <c r="E381" s="4"/>
      <c r="F381" s="4"/>
      <c r="G381" s="4"/>
      <c r="H381" s="4"/>
      <c r="J381" s="4"/>
      <c r="K381" s="4"/>
      <c r="L381" s="4"/>
      <c r="M381" s="4"/>
      <c r="N381" s="4"/>
    </row>
    <row r="382" spans="1:14">
      <c r="A382" s="4"/>
      <c r="B382" s="4"/>
      <c r="C382" s="4"/>
      <c r="D382" s="4"/>
      <c r="E382" s="4"/>
      <c r="F382" s="4"/>
      <c r="G382" s="4"/>
      <c r="H382" s="4"/>
      <c r="J382" s="4"/>
      <c r="K382" s="4"/>
      <c r="L382" s="4"/>
      <c r="M382" s="4"/>
      <c r="N382" s="4"/>
    </row>
    <row r="383" spans="1:14">
      <c r="A383" s="4"/>
      <c r="B383" s="4"/>
      <c r="C383" s="4"/>
      <c r="D383" s="4"/>
      <c r="E383" s="4"/>
      <c r="F383" s="4"/>
      <c r="G383" s="4"/>
      <c r="H383" s="4"/>
      <c r="J383" s="4"/>
      <c r="K383" s="4"/>
      <c r="L383" s="4"/>
      <c r="M383" s="4"/>
      <c r="N383" s="4"/>
    </row>
    <row r="384" spans="1:14">
      <c r="A384" s="4"/>
      <c r="B384" s="4"/>
      <c r="C384" s="4"/>
      <c r="D384" s="4"/>
      <c r="E384" s="4"/>
      <c r="F384" s="4"/>
      <c r="G384" s="4"/>
      <c r="H384" s="4"/>
      <c r="J384" s="4"/>
      <c r="K384" s="4"/>
      <c r="L384" s="4"/>
      <c r="M384" s="4"/>
      <c r="N384" s="4"/>
    </row>
    <row r="385" spans="1:14">
      <c r="A385" s="4"/>
      <c r="B385" s="4"/>
      <c r="C385" s="4"/>
      <c r="D385" s="4"/>
      <c r="E385" s="4"/>
      <c r="F385" s="4"/>
      <c r="G385" s="4"/>
      <c r="H385" s="4"/>
      <c r="J385" s="4"/>
      <c r="K385" s="4"/>
      <c r="L385" s="4"/>
      <c r="M385" s="4"/>
      <c r="N385" s="4"/>
    </row>
    <row r="386" spans="1:14">
      <c r="A386" s="4"/>
      <c r="B386" s="4"/>
      <c r="C386" s="4"/>
      <c r="D386" s="4"/>
      <c r="E386" s="4"/>
      <c r="F386" s="4"/>
      <c r="G386" s="4"/>
      <c r="H386" s="4"/>
      <c r="J386" s="4"/>
      <c r="K386" s="4"/>
      <c r="L386" s="4"/>
      <c r="M386" s="4"/>
      <c r="N386" s="4"/>
    </row>
    <row r="387" spans="1:14">
      <c r="A387" s="4"/>
      <c r="B387" s="4"/>
      <c r="C387" s="4"/>
      <c r="D387" s="4"/>
      <c r="E387" s="4"/>
      <c r="F387" s="4"/>
      <c r="G387" s="4"/>
      <c r="H387" s="4"/>
      <c r="J387" s="4"/>
      <c r="K387" s="4"/>
      <c r="L387" s="4"/>
      <c r="M387" s="4"/>
      <c r="N387" s="4"/>
    </row>
    <row r="388" spans="1:14">
      <c r="A388" s="4"/>
      <c r="B388" s="4"/>
      <c r="C388" s="4"/>
      <c r="D388" s="4"/>
      <c r="E388" s="4"/>
      <c r="F388" s="4"/>
      <c r="G388" s="4"/>
      <c r="H388" s="4"/>
      <c r="J388" s="4"/>
      <c r="K388" s="4"/>
      <c r="L388" s="4"/>
      <c r="M388" s="4"/>
      <c r="N388" s="4"/>
    </row>
    <row r="389" spans="1:14">
      <c r="A389" s="4"/>
      <c r="B389" s="4"/>
      <c r="C389" s="4"/>
      <c r="D389" s="4"/>
      <c r="E389" s="4"/>
      <c r="F389" s="4"/>
      <c r="G389" s="4"/>
      <c r="H389" s="4"/>
      <c r="J389" s="4"/>
      <c r="K389" s="4"/>
      <c r="L389" s="4"/>
      <c r="M389" s="4"/>
      <c r="N389" s="4"/>
    </row>
    <row r="390" spans="1:14">
      <c r="A390" s="4"/>
      <c r="B390" s="4"/>
      <c r="C390" s="4"/>
      <c r="D390" s="4"/>
      <c r="E390" s="4"/>
      <c r="F390" s="4"/>
      <c r="G390" s="4"/>
      <c r="H390" s="4"/>
      <c r="J390" s="4"/>
      <c r="K390" s="4"/>
      <c r="L390" s="4"/>
      <c r="M390" s="4"/>
      <c r="N390" s="4"/>
    </row>
    <row r="391" spans="1:14">
      <c r="A391" s="4"/>
      <c r="B391" s="4"/>
      <c r="C391" s="4"/>
      <c r="D391" s="4"/>
      <c r="E391" s="4"/>
      <c r="F391" s="4"/>
      <c r="G391" s="4"/>
      <c r="H391" s="4"/>
      <c r="J391" s="4"/>
      <c r="K391" s="4"/>
      <c r="L391" s="4"/>
      <c r="M391" s="4"/>
      <c r="N391" s="4"/>
    </row>
    <row r="392" spans="1:14">
      <c r="A392" s="4"/>
      <c r="B392" s="4"/>
      <c r="C392" s="4"/>
      <c r="D392" s="4"/>
      <c r="E392" s="4"/>
      <c r="F392" s="4"/>
      <c r="G392" s="4"/>
      <c r="H392" s="4"/>
      <c r="J392" s="4"/>
      <c r="K392" s="4"/>
      <c r="L392" s="4"/>
      <c r="M392" s="4"/>
      <c r="N392" s="4"/>
    </row>
    <row r="393" spans="1:14">
      <c r="A393" s="4"/>
      <c r="B393" s="4"/>
      <c r="C393" s="4"/>
      <c r="D393" s="4"/>
      <c r="E393" s="4"/>
      <c r="F393" s="4"/>
      <c r="G393" s="4"/>
      <c r="H393" s="4"/>
      <c r="J393" s="4"/>
      <c r="K393" s="4"/>
      <c r="L393" s="4"/>
      <c r="M393" s="4"/>
      <c r="N393" s="4"/>
    </row>
    <row r="394" spans="1:14">
      <c r="A394" s="4"/>
      <c r="B394" s="4"/>
      <c r="C394" s="4"/>
      <c r="D394" s="4"/>
      <c r="E394" s="4"/>
      <c r="F394" s="4"/>
      <c r="G394" s="4"/>
      <c r="H394" s="4"/>
      <c r="J394" s="4"/>
      <c r="K394" s="4"/>
      <c r="L394" s="4"/>
      <c r="M394" s="4"/>
      <c r="N394" s="4"/>
    </row>
    <row r="395" spans="1:14">
      <c r="A395" s="4"/>
      <c r="B395" s="4"/>
      <c r="C395" s="4"/>
      <c r="D395" s="4"/>
      <c r="E395" s="4"/>
      <c r="F395" s="4"/>
      <c r="G395" s="4"/>
      <c r="H395" s="4"/>
      <c r="J395" s="4"/>
      <c r="K395" s="4"/>
      <c r="L395" s="4"/>
      <c r="M395" s="4"/>
      <c r="N395" s="4"/>
    </row>
    <row r="396" spans="1:14">
      <c r="A396" s="4"/>
      <c r="B396" s="4"/>
      <c r="C396" s="4"/>
      <c r="D396" s="4"/>
      <c r="E396" s="4"/>
      <c r="F396" s="4"/>
      <c r="G396" s="4"/>
      <c r="H396" s="4"/>
      <c r="J396" s="4"/>
      <c r="K396" s="4"/>
      <c r="L396" s="4"/>
      <c r="M396" s="4"/>
      <c r="N396" s="4"/>
    </row>
    <row r="397" spans="1:14">
      <c r="A397" s="4"/>
      <c r="B397" s="4"/>
      <c r="C397" s="4"/>
      <c r="D397" s="4"/>
      <c r="E397" s="4"/>
      <c r="F397" s="4"/>
      <c r="G397" s="4"/>
      <c r="H397" s="4"/>
      <c r="J397" s="4"/>
      <c r="K397" s="4"/>
      <c r="L397" s="4"/>
      <c r="M397" s="4"/>
      <c r="N397" s="4"/>
    </row>
    <row r="398" spans="1:14">
      <c r="A398" s="4"/>
      <c r="B398" s="4"/>
      <c r="C398" s="4"/>
      <c r="D398" s="4"/>
      <c r="E398" s="4"/>
      <c r="F398" s="4"/>
      <c r="G398" s="4"/>
      <c r="H398" s="4"/>
      <c r="J398" s="4"/>
      <c r="K398" s="4"/>
      <c r="L398" s="4"/>
      <c r="M398" s="4"/>
      <c r="N398" s="4"/>
    </row>
    <row r="399" spans="1:14">
      <c r="A399" s="4"/>
      <c r="B399" s="4"/>
      <c r="C399" s="4"/>
      <c r="D399" s="4"/>
      <c r="E399" s="4"/>
      <c r="F399" s="4"/>
      <c r="G399" s="4"/>
      <c r="H399" s="4"/>
      <c r="J399" s="4"/>
      <c r="K399" s="4"/>
      <c r="L399" s="4"/>
      <c r="M399" s="4"/>
      <c r="N399" s="4"/>
    </row>
    <row r="400" spans="1:14">
      <c r="A400" s="4"/>
      <c r="B400" s="4"/>
      <c r="C400" s="4"/>
      <c r="D400" s="4"/>
      <c r="E400" s="4"/>
      <c r="F400" s="4"/>
      <c r="G400" s="4"/>
      <c r="H400" s="4"/>
      <c r="J400" s="4"/>
      <c r="K400" s="4"/>
      <c r="L400" s="4"/>
      <c r="M400" s="4"/>
      <c r="N400" s="4"/>
    </row>
    <row r="401" spans="1:14">
      <c r="A401" s="4"/>
      <c r="B401" s="4"/>
      <c r="C401" s="4"/>
      <c r="D401" s="4"/>
      <c r="E401" s="4"/>
      <c r="F401" s="4"/>
      <c r="G401" s="4"/>
      <c r="H401" s="4"/>
      <c r="J401" s="4"/>
      <c r="K401" s="4"/>
      <c r="L401" s="4"/>
      <c r="M401" s="4"/>
      <c r="N401" s="4"/>
    </row>
    <row r="402" spans="1:14">
      <c r="A402" s="4"/>
      <c r="B402" s="4"/>
      <c r="C402" s="4"/>
      <c r="D402" s="4"/>
      <c r="E402" s="4"/>
      <c r="F402" s="4"/>
      <c r="G402" s="4"/>
      <c r="H402" s="4"/>
      <c r="J402" s="4"/>
      <c r="K402" s="4"/>
      <c r="L402" s="4"/>
      <c r="M402" s="4"/>
      <c r="N402" s="4"/>
    </row>
    <row r="403" spans="1:14">
      <c r="A403" s="4"/>
      <c r="B403" s="4"/>
      <c r="C403" s="4"/>
      <c r="D403" s="4"/>
      <c r="E403" s="4"/>
      <c r="F403" s="4"/>
      <c r="G403" s="4"/>
      <c r="H403" s="4"/>
      <c r="J403" s="4"/>
      <c r="K403" s="4"/>
      <c r="L403" s="4"/>
      <c r="M403" s="4"/>
      <c r="N403" s="4"/>
    </row>
    <row r="404" spans="1:14">
      <c r="A404" s="4"/>
      <c r="B404" s="4"/>
      <c r="C404" s="4"/>
      <c r="D404" s="4"/>
      <c r="E404" s="4"/>
      <c r="F404" s="4"/>
      <c r="G404" s="4"/>
      <c r="H404" s="4"/>
      <c r="J404" s="4"/>
      <c r="K404" s="4"/>
      <c r="L404" s="4"/>
      <c r="M404" s="4"/>
      <c r="N404" s="4"/>
    </row>
    <row r="405" spans="1:14">
      <c r="A405" s="4"/>
      <c r="B405" s="4"/>
      <c r="C405" s="4"/>
      <c r="D405" s="4"/>
      <c r="E405" s="4"/>
      <c r="F405" s="4"/>
      <c r="G405" s="4"/>
      <c r="H405" s="4"/>
      <c r="J405" s="4"/>
      <c r="K405" s="4"/>
      <c r="L405" s="4"/>
      <c r="M405" s="4"/>
      <c r="N405" s="4"/>
    </row>
    <row r="406" spans="1:14">
      <c r="A406" s="4"/>
      <c r="B406" s="4"/>
      <c r="C406" s="4"/>
      <c r="D406" s="4"/>
      <c r="E406" s="4"/>
      <c r="F406" s="4"/>
      <c r="G406" s="4"/>
      <c r="H406" s="4"/>
      <c r="J406" s="4"/>
      <c r="K406" s="4"/>
      <c r="L406" s="4"/>
      <c r="M406" s="4"/>
      <c r="N406" s="4"/>
    </row>
    <row r="407" spans="1:14">
      <c r="A407" s="4"/>
      <c r="B407" s="4"/>
      <c r="C407" s="4"/>
      <c r="D407" s="4"/>
      <c r="E407" s="4"/>
      <c r="F407" s="4"/>
      <c r="G407" s="4"/>
      <c r="H407" s="4"/>
      <c r="J407" s="4"/>
      <c r="K407" s="4"/>
      <c r="L407" s="4"/>
      <c r="M407" s="4"/>
      <c r="N407" s="4"/>
    </row>
    <row r="408" spans="1:14">
      <c r="A408" s="4"/>
      <c r="B408" s="4"/>
      <c r="C408" s="4"/>
      <c r="D408" s="4"/>
      <c r="E408" s="4"/>
      <c r="F408" s="4"/>
      <c r="G408" s="4"/>
      <c r="H408" s="4"/>
      <c r="J408" s="4"/>
      <c r="K408" s="4"/>
      <c r="L408" s="4"/>
      <c r="M408" s="4"/>
      <c r="N408" s="4"/>
    </row>
    <row r="409" spans="1:14">
      <c r="A409" s="4"/>
      <c r="B409" s="4"/>
      <c r="C409" s="4"/>
      <c r="D409" s="4"/>
      <c r="E409" s="4"/>
      <c r="F409" s="4"/>
      <c r="G409" s="4"/>
      <c r="H409" s="4"/>
      <c r="J409" s="4"/>
      <c r="K409" s="4"/>
      <c r="L409" s="4"/>
      <c r="M409" s="4"/>
      <c r="N409" s="4"/>
    </row>
    <row r="410" spans="1:14">
      <c r="A410" s="4"/>
      <c r="B410" s="4"/>
      <c r="C410" s="4"/>
      <c r="D410" s="4"/>
      <c r="E410" s="4"/>
      <c r="F410" s="4"/>
      <c r="G410" s="4"/>
      <c r="H410" s="4"/>
      <c r="J410" s="4"/>
      <c r="K410" s="4"/>
      <c r="L410" s="4"/>
      <c r="M410" s="4"/>
      <c r="N410" s="4"/>
    </row>
    <row r="411" spans="1:14">
      <c r="A411" s="4"/>
      <c r="B411" s="4"/>
      <c r="C411" s="4"/>
      <c r="D411" s="4"/>
      <c r="E411" s="4"/>
      <c r="F411" s="4"/>
      <c r="G411" s="4"/>
      <c r="H411" s="4"/>
      <c r="J411" s="4"/>
      <c r="K411" s="4"/>
      <c r="L411" s="4"/>
      <c r="M411" s="4"/>
      <c r="N411" s="4"/>
    </row>
    <row r="412" spans="1:14">
      <c r="A412" s="4"/>
      <c r="B412" s="4"/>
      <c r="C412" s="4"/>
      <c r="D412" s="4"/>
      <c r="E412" s="4"/>
      <c r="F412" s="4"/>
      <c r="G412" s="4"/>
      <c r="H412" s="4"/>
      <c r="J412" s="4"/>
      <c r="K412" s="4"/>
      <c r="L412" s="4"/>
      <c r="M412" s="4"/>
      <c r="N412" s="4"/>
    </row>
    <row r="413" spans="1:14">
      <c r="A413" s="4"/>
      <c r="B413" s="4"/>
      <c r="C413" s="4"/>
      <c r="D413" s="4"/>
      <c r="E413" s="4"/>
      <c r="F413" s="4"/>
      <c r="G413" s="4"/>
      <c r="H413" s="4"/>
      <c r="J413" s="4"/>
      <c r="K413" s="4"/>
      <c r="L413" s="4"/>
      <c r="M413" s="4"/>
      <c r="N413" s="4"/>
    </row>
    <row r="414" spans="1:14">
      <c r="A414" s="4"/>
      <c r="B414" s="4"/>
      <c r="C414" s="4"/>
      <c r="D414" s="4"/>
      <c r="E414" s="4"/>
      <c r="F414" s="4"/>
      <c r="G414" s="4"/>
      <c r="H414" s="4"/>
      <c r="J414" s="4"/>
      <c r="K414" s="4"/>
      <c r="L414" s="4"/>
      <c r="M414" s="4"/>
      <c r="N414" s="4"/>
    </row>
    <row r="415" spans="1:14">
      <c r="A415" s="4"/>
      <c r="B415" s="4"/>
      <c r="C415" s="4"/>
      <c r="D415" s="4"/>
      <c r="E415" s="4"/>
      <c r="F415" s="4"/>
      <c r="G415" s="4"/>
      <c r="H415" s="4"/>
      <c r="J415" s="4"/>
      <c r="K415" s="4"/>
      <c r="L415" s="4"/>
      <c r="M415" s="4"/>
      <c r="N415" s="4"/>
    </row>
    <row r="416" spans="1:14">
      <c r="A416" s="4"/>
      <c r="B416" s="4"/>
      <c r="C416" s="4"/>
      <c r="D416" s="4"/>
      <c r="E416" s="4"/>
      <c r="F416" s="4"/>
      <c r="G416" s="4"/>
      <c r="H416" s="4"/>
      <c r="J416" s="4"/>
      <c r="K416" s="4"/>
      <c r="L416" s="4"/>
      <c r="M416" s="4"/>
      <c r="N416" s="4"/>
    </row>
    <row r="417" spans="1:14">
      <c r="A417" s="4"/>
      <c r="B417" s="4"/>
      <c r="C417" s="4"/>
      <c r="D417" s="4"/>
      <c r="E417" s="4"/>
      <c r="F417" s="4"/>
      <c r="G417" s="4"/>
      <c r="H417" s="4"/>
      <c r="J417" s="4"/>
      <c r="K417" s="4"/>
      <c r="L417" s="4"/>
      <c r="M417" s="4"/>
      <c r="N417" s="4"/>
    </row>
    <row r="418" spans="1:14">
      <c r="A418" s="4"/>
      <c r="B418" s="4"/>
      <c r="C418" s="4"/>
      <c r="D418" s="4"/>
      <c r="E418" s="4"/>
      <c r="F418" s="4"/>
      <c r="G418" s="4"/>
      <c r="H418" s="4"/>
      <c r="J418" s="4"/>
      <c r="K418" s="4"/>
      <c r="L418" s="4"/>
      <c r="M418" s="4"/>
      <c r="N418" s="4"/>
    </row>
    <row r="419" spans="1:14">
      <c r="A419" s="4"/>
      <c r="B419" s="4"/>
      <c r="C419" s="4"/>
      <c r="D419" s="4"/>
      <c r="E419" s="4"/>
      <c r="F419" s="4"/>
      <c r="G419" s="4"/>
      <c r="H419" s="4"/>
      <c r="J419" s="4"/>
      <c r="K419" s="4"/>
      <c r="L419" s="4"/>
      <c r="M419" s="4"/>
      <c r="N419" s="4"/>
    </row>
    <row r="420" spans="1:14">
      <c r="A420" s="4"/>
      <c r="B420" s="4"/>
      <c r="C420" s="4"/>
      <c r="D420" s="4"/>
      <c r="E420" s="4"/>
      <c r="F420" s="4"/>
      <c r="G420" s="4"/>
      <c r="H420" s="4"/>
      <c r="J420" s="4"/>
      <c r="K420" s="4"/>
      <c r="L420" s="4"/>
      <c r="M420" s="4"/>
      <c r="N420" s="4"/>
    </row>
    <row r="421" spans="1:14">
      <c r="A421" s="4"/>
      <c r="B421" s="4"/>
      <c r="C421" s="4"/>
      <c r="D421" s="4"/>
      <c r="E421" s="4"/>
      <c r="F421" s="4"/>
      <c r="G421" s="4"/>
      <c r="H421" s="4"/>
      <c r="J421" s="4"/>
      <c r="K421" s="4"/>
      <c r="L421" s="4"/>
      <c r="M421" s="4"/>
      <c r="N421" s="4"/>
    </row>
    <row r="422" spans="1:14">
      <c r="A422" s="4"/>
      <c r="B422" s="4"/>
      <c r="C422" s="4"/>
      <c r="D422" s="4"/>
      <c r="E422" s="4"/>
      <c r="F422" s="4"/>
      <c r="G422" s="4"/>
      <c r="H422" s="4"/>
      <c r="J422" s="4"/>
      <c r="K422" s="4"/>
      <c r="L422" s="4"/>
      <c r="M422" s="4"/>
      <c r="N422" s="4"/>
    </row>
    <row r="423" spans="1:14">
      <c r="A423" s="4"/>
      <c r="B423" s="4"/>
      <c r="C423" s="4"/>
      <c r="D423" s="4"/>
      <c r="E423" s="4"/>
      <c r="F423" s="4"/>
      <c r="G423" s="4"/>
      <c r="H423" s="4"/>
      <c r="J423" s="4"/>
      <c r="K423" s="4"/>
      <c r="L423" s="4"/>
      <c r="M423" s="4"/>
      <c r="N423" s="4"/>
    </row>
    <row r="424" spans="1:14">
      <c r="A424" s="4"/>
      <c r="B424" s="4"/>
      <c r="C424" s="4"/>
      <c r="D424" s="4"/>
      <c r="E424" s="4"/>
      <c r="F424" s="4"/>
      <c r="G424" s="4"/>
      <c r="H424" s="4"/>
      <c r="J424" s="4"/>
      <c r="K424" s="4"/>
      <c r="L424" s="4"/>
      <c r="M424" s="4"/>
      <c r="N424" s="4"/>
    </row>
    <row r="425" spans="1:14">
      <c r="A425" s="4"/>
      <c r="B425" s="4"/>
      <c r="C425" s="4"/>
      <c r="D425" s="4"/>
      <c r="E425" s="4"/>
      <c r="F425" s="4"/>
      <c r="G425" s="4"/>
      <c r="H425" s="4"/>
      <c r="J425" s="4"/>
      <c r="K425" s="4"/>
      <c r="L425" s="4"/>
      <c r="M425" s="4"/>
      <c r="N425" s="4"/>
    </row>
    <row r="426" spans="1:14">
      <c r="A426" s="4"/>
      <c r="B426" s="4"/>
      <c r="C426" s="4"/>
      <c r="D426" s="4"/>
      <c r="E426" s="4"/>
      <c r="F426" s="4"/>
      <c r="G426" s="4"/>
      <c r="H426" s="4"/>
      <c r="J426" s="4"/>
      <c r="K426" s="4"/>
      <c r="L426" s="4"/>
      <c r="M426" s="4"/>
      <c r="N426" s="4"/>
    </row>
    <row r="427" spans="1:14">
      <c r="A427" s="4"/>
      <c r="B427" s="4"/>
      <c r="C427" s="4"/>
      <c r="D427" s="4"/>
      <c r="E427" s="4"/>
      <c r="F427" s="4"/>
      <c r="G427" s="4"/>
      <c r="H427" s="4"/>
      <c r="J427" s="4"/>
      <c r="K427" s="4"/>
      <c r="L427" s="4"/>
      <c r="M427" s="4"/>
      <c r="N427" s="4"/>
    </row>
    <row r="428" spans="1:14">
      <c r="A428" s="4"/>
      <c r="B428" s="4"/>
      <c r="C428" s="4"/>
      <c r="D428" s="4"/>
      <c r="E428" s="4"/>
      <c r="F428" s="4"/>
      <c r="G428" s="4"/>
      <c r="H428" s="4"/>
      <c r="J428" s="4"/>
      <c r="K428" s="4"/>
      <c r="L428" s="4"/>
      <c r="M428" s="4"/>
      <c r="N428" s="4"/>
    </row>
    <row r="429" spans="1:14">
      <c r="A429" s="4"/>
      <c r="B429" s="4"/>
      <c r="C429" s="4"/>
      <c r="D429" s="4"/>
      <c r="E429" s="4"/>
      <c r="F429" s="4"/>
      <c r="G429" s="4"/>
      <c r="H429" s="4"/>
      <c r="J429" s="4"/>
      <c r="K429" s="4"/>
      <c r="L429" s="4"/>
      <c r="M429" s="4"/>
      <c r="N429" s="4"/>
    </row>
    <row r="430" spans="1:14">
      <c r="A430" s="4"/>
      <c r="B430" s="4"/>
      <c r="C430" s="4"/>
      <c r="D430" s="4"/>
      <c r="E430" s="4"/>
      <c r="F430" s="4"/>
      <c r="G430" s="4"/>
      <c r="H430" s="4"/>
      <c r="J430" s="4"/>
      <c r="K430" s="4"/>
      <c r="L430" s="4"/>
      <c r="M430" s="4"/>
      <c r="N430" s="4"/>
    </row>
    <row r="431" spans="1:14">
      <c r="A431" s="4"/>
      <c r="B431" s="4"/>
      <c r="C431" s="4"/>
      <c r="D431" s="4"/>
      <c r="E431" s="4"/>
      <c r="F431" s="4"/>
      <c r="G431" s="4"/>
      <c r="H431" s="4"/>
      <c r="J431" s="4"/>
      <c r="K431" s="4"/>
      <c r="L431" s="4"/>
      <c r="M431" s="4"/>
      <c r="N431" s="4"/>
    </row>
    <row r="432" spans="1:14">
      <c r="A432" s="4"/>
      <c r="B432" s="4"/>
      <c r="C432" s="4"/>
      <c r="D432" s="4"/>
      <c r="E432" s="4"/>
      <c r="F432" s="4"/>
      <c r="G432" s="4"/>
      <c r="H432" s="4"/>
      <c r="J432" s="4"/>
      <c r="K432" s="4"/>
      <c r="L432" s="4"/>
      <c r="M432" s="4"/>
      <c r="N432" s="4"/>
    </row>
    <row r="433" spans="1:14">
      <c r="A433" s="4"/>
      <c r="B433" s="4"/>
      <c r="C433" s="4"/>
      <c r="D433" s="4"/>
      <c r="E433" s="4"/>
      <c r="F433" s="4"/>
      <c r="G433" s="4"/>
      <c r="H433" s="4"/>
      <c r="J433" s="4"/>
      <c r="K433" s="4"/>
      <c r="L433" s="4"/>
      <c r="M433" s="4"/>
      <c r="N433" s="4"/>
    </row>
    <row r="434" spans="1:14">
      <c r="A434" s="4"/>
      <c r="B434" s="4"/>
      <c r="C434" s="4"/>
      <c r="D434" s="4"/>
      <c r="E434" s="4"/>
      <c r="F434" s="4"/>
      <c r="G434" s="4"/>
      <c r="H434" s="4"/>
      <c r="J434" s="4"/>
      <c r="K434" s="4"/>
      <c r="L434" s="4"/>
      <c r="M434" s="4"/>
      <c r="N434" s="4"/>
    </row>
    <row r="435" spans="1:14">
      <c r="A435" s="4"/>
      <c r="B435" s="4"/>
      <c r="C435" s="4"/>
      <c r="D435" s="4"/>
      <c r="E435" s="4"/>
      <c r="F435" s="4"/>
      <c r="G435" s="4"/>
      <c r="H435" s="4"/>
      <c r="J435" s="4"/>
      <c r="K435" s="4"/>
      <c r="L435" s="4"/>
      <c r="M435" s="4"/>
      <c r="N435" s="4"/>
    </row>
    <row r="436" spans="1:14">
      <c r="A436" s="4"/>
      <c r="B436" s="4"/>
      <c r="C436" s="4"/>
      <c r="D436" s="4"/>
      <c r="E436" s="4"/>
      <c r="F436" s="4"/>
      <c r="G436" s="4"/>
      <c r="H436" s="4"/>
      <c r="J436" s="4"/>
      <c r="K436" s="4"/>
      <c r="L436" s="4"/>
      <c r="M436" s="4"/>
      <c r="N436" s="4"/>
    </row>
    <row r="437" spans="1:14">
      <c r="A437" s="4"/>
      <c r="B437" s="4"/>
      <c r="C437" s="4"/>
      <c r="D437" s="4"/>
      <c r="E437" s="4"/>
      <c r="F437" s="4"/>
      <c r="G437" s="4"/>
      <c r="H437" s="4"/>
      <c r="J437" s="4"/>
      <c r="K437" s="4"/>
      <c r="L437" s="4"/>
      <c r="M437" s="4"/>
      <c r="N437" s="4"/>
    </row>
    <row r="438" spans="1:14">
      <c r="A438" s="4"/>
      <c r="B438" s="4"/>
      <c r="C438" s="4"/>
      <c r="D438" s="4"/>
      <c r="E438" s="4"/>
      <c r="F438" s="4"/>
      <c r="G438" s="4"/>
      <c r="H438" s="4"/>
      <c r="J438" s="4"/>
      <c r="K438" s="4"/>
      <c r="L438" s="4"/>
      <c r="M438" s="4"/>
      <c r="N438" s="4"/>
    </row>
    <row r="439" spans="1:14">
      <c r="A439" s="4"/>
      <c r="B439" s="4"/>
      <c r="C439" s="4"/>
      <c r="D439" s="4"/>
      <c r="E439" s="4"/>
      <c r="F439" s="4"/>
      <c r="G439" s="4"/>
      <c r="H439" s="4"/>
      <c r="J439" s="4"/>
      <c r="K439" s="4"/>
      <c r="L439" s="4"/>
      <c r="M439" s="4"/>
      <c r="N439" s="4"/>
    </row>
    <row r="440" spans="1:14">
      <c r="A440" s="4"/>
      <c r="B440" s="4"/>
      <c r="C440" s="4"/>
      <c r="D440" s="4"/>
      <c r="E440" s="4"/>
      <c r="F440" s="4"/>
      <c r="G440" s="4"/>
      <c r="H440" s="4"/>
      <c r="J440" s="4"/>
      <c r="K440" s="4"/>
      <c r="L440" s="4"/>
      <c r="M440" s="4"/>
      <c r="N440" s="4"/>
    </row>
    <row r="441" spans="1:14">
      <c r="A441" s="4"/>
      <c r="B441" s="4"/>
      <c r="C441" s="4"/>
      <c r="D441" s="4"/>
      <c r="E441" s="4"/>
      <c r="F441" s="4"/>
      <c r="G441" s="4"/>
      <c r="H441" s="4"/>
      <c r="J441" s="4"/>
      <c r="K441" s="4"/>
      <c r="L441" s="4"/>
      <c r="M441" s="4"/>
      <c r="N441" s="4"/>
    </row>
    <row r="442" spans="1:14">
      <c r="A442" s="4"/>
      <c r="B442" s="4"/>
      <c r="C442" s="4"/>
      <c r="D442" s="4"/>
      <c r="E442" s="4"/>
      <c r="F442" s="4"/>
      <c r="G442" s="4"/>
      <c r="H442" s="4"/>
      <c r="J442" s="4"/>
      <c r="K442" s="4"/>
      <c r="L442" s="4"/>
      <c r="M442" s="4"/>
      <c r="N442" s="4"/>
    </row>
    <row r="443" spans="1:14">
      <c r="A443" s="4"/>
      <c r="B443" s="4"/>
      <c r="C443" s="4"/>
      <c r="D443" s="4"/>
      <c r="E443" s="4"/>
      <c r="F443" s="4"/>
      <c r="G443" s="4"/>
      <c r="H443" s="4"/>
      <c r="J443" s="4"/>
      <c r="K443" s="4"/>
      <c r="L443" s="4"/>
      <c r="M443" s="4"/>
      <c r="N443" s="4"/>
    </row>
    <row r="444" spans="1:14">
      <c r="A444" s="4"/>
      <c r="B444" s="4"/>
      <c r="C444" s="4"/>
      <c r="D444" s="4"/>
      <c r="E444" s="4"/>
      <c r="F444" s="4"/>
      <c r="G444" s="4"/>
      <c r="H444" s="4"/>
      <c r="J444" s="4"/>
      <c r="K444" s="4"/>
      <c r="L444" s="4"/>
      <c r="M444" s="4"/>
      <c r="N444" s="4"/>
    </row>
    <row r="445" spans="1:14">
      <c r="A445" s="4"/>
      <c r="B445" s="4"/>
      <c r="C445" s="4"/>
      <c r="D445" s="4"/>
      <c r="E445" s="4"/>
      <c r="F445" s="4"/>
      <c r="G445" s="4"/>
      <c r="H445" s="4"/>
      <c r="J445" s="4"/>
      <c r="K445" s="4"/>
      <c r="L445" s="4"/>
      <c r="M445" s="4"/>
      <c r="N445" s="4"/>
    </row>
    <row r="446" spans="1:14">
      <c r="A446" s="4"/>
      <c r="B446" s="4"/>
      <c r="C446" s="4"/>
      <c r="D446" s="4"/>
      <c r="E446" s="4"/>
      <c r="F446" s="4"/>
      <c r="G446" s="4"/>
      <c r="H446" s="4"/>
      <c r="J446" s="4"/>
      <c r="K446" s="4"/>
      <c r="L446" s="4"/>
      <c r="M446" s="4"/>
      <c r="N446" s="4"/>
    </row>
    <row r="447" spans="1:14">
      <c r="A447" s="4"/>
      <c r="B447" s="4"/>
      <c r="C447" s="4"/>
      <c r="D447" s="4"/>
      <c r="E447" s="4"/>
      <c r="F447" s="4"/>
      <c r="G447" s="4"/>
      <c r="H447" s="4"/>
      <c r="J447" s="4"/>
      <c r="K447" s="4"/>
      <c r="L447" s="4"/>
      <c r="M447" s="4"/>
      <c r="N447" s="4"/>
    </row>
    <row r="448" spans="1:14">
      <c r="A448" s="4"/>
      <c r="B448" s="4"/>
      <c r="C448" s="4"/>
      <c r="D448" s="4"/>
      <c r="E448" s="4"/>
      <c r="F448" s="4"/>
      <c r="G448" s="4"/>
      <c r="H448" s="4"/>
      <c r="J448" s="4"/>
      <c r="K448" s="4"/>
      <c r="L448" s="4"/>
      <c r="M448" s="4"/>
      <c r="N448" s="4"/>
    </row>
    <row r="449" spans="1:14">
      <c r="A449" s="4"/>
      <c r="B449" s="4"/>
      <c r="C449" s="4"/>
      <c r="D449" s="4"/>
      <c r="E449" s="4"/>
      <c r="F449" s="4"/>
      <c r="G449" s="4"/>
      <c r="H449" s="4"/>
      <c r="J449" s="4"/>
      <c r="K449" s="4"/>
      <c r="L449" s="4"/>
      <c r="M449" s="4"/>
      <c r="N449" s="4"/>
    </row>
    <row r="450" spans="1:14">
      <c r="A450" s="4"/>
      <c r="B450" s="4"/>
      <c r="C450" s="4"/>
      <c r="D450" s="4"/>
      <c r="E450" s="4"/>
      <c r="F450" s="4"/>
      <c r="G450" s="4"/>
      <c r="H450" s="4"/>
      <c r="J450" s="4"/>
      <c r="K450" s="4"/>
      <c r="L450" s="4"/>
      <c r="M450" s="4"/>
      <c r="N450" s="4"/>
    </row>
    <row r="451" spans="1:14">
      <c r="A451" s="4"/>
      <c r="B451" s="4"/>
      <c r="C451" s="4"/>
      <c r="D451" s="4"/>
      <c r="E451" s="4"/>
      <c r="F451" s="4"/>
      <c r="G451" s="4"/>
      <c r="H451" s="4"/>
      <c r="J451" s="4"/>
      <c r="K451" s="4"/>
      <c r="L451" s="4"/>
      <c r="M451" s="4"/>
      <c r="N451" s="4"/>
    </row>
    <row r="452" spans="1:14">
      <c r="A452" s="4"/>
      <c r="B452" s="4"/>
      <c r="C452" s="4"/>
      <c r="D452" s="4"/>
      <c r="E452" s="4"/>
      <c r="F452" s="4"/>
      <c r="G452" s="4"/>
      <c r="H452" s="4"/>
      <c r="J452" s="4"/>
      <c r="K452" s="4"/>
      <c r="L452" s="4"/>
      <c r="M452" s="4"/>
      <c r="N452" s="4"/>
    </row>
    <row r="453" spans="1:14">
      <c r="A453" s="4"/>
      <c r="B453" s="4"/>
      <c r="C453" s="4"/>
      <c r="D453" s="4"/>
      <c r="E453" s="4"/>
      <c r="F453" s="4"/>
      <c r="G453" s="4"/>
      <c r="H453" s="4"/>
      <c r="J453" s="4"/>
      <c r="K453" s="4"/>
      <c r="L453" s="4"/>
      <c r="M453" s="4"/>
      <c r="N453" s="4"/>
    </row>
    <row r="454" spans="1:14">
      <c r="A454" s="4"/>
      <c r="B454" s="4"/>
      <c r="C454" s="4"/>
      <c r="D454" s="4"/>
      <c r="E454" s="4"/>
      <c r="F454" s="4"/>
      <c r="G454" s="4"/>
      <c r="H454" s="4"/>
      <c r="J454" s="4"/>
      <c r="K454" s="4"/>
      <c r="L454" s="4"/>
      <c r="M454" s="4"/>
      <c r="N454" s="4"/>
    </row>
    <row r="455" spans="1:14">
      <c r="A455" s="4"/>
      <c r="B455" s="4"/>
      <c r="C455" s="4"/>
      <c r="D455" s="4"/>
      <c r="E455" s="4"/>
      <c r="F455" s="4"/>
      <c r="G455" s="4"/>
      <c r="H455" s="4"/>
      <c r="J455" s="4"/>
      <c r="K455" s="4"/>
      <c r="L455" s="4"/>
      <c r="M455" s="4"/>
      <c r="N455" s="4"/>
    </row>
    <row r="456" spans="1:14">
      <c r="A456" s="4"/>
      <c r="B456" s="4"/>
      <c r="C456" s="4"/>
      <c r="D456" s="4"/>
      <c r="E456" s="4"/>
      <c r="F456" s="4"/>
      <c r="G456" s="4"/>
      <c r="H456" s="4"/>
      <c r="J456" s="4"/>
      <c r="K456" s="4"/>
      <c r="L456" s="4"/>
      <c r="M456" s="4"/>
      <c r="N456" s="4"/>
    </row>
    <row r="457" spans="1:14">
      <c r="A457" s="4"/>
      <c r="B457" s="4"/>
      <c r="C457" s="4"/>
      <c r="D457" s="4"/>
      <c r="E457" s="4"/>
      <c r="F457" s="4"/>
      <c r="G457" s="4"/>
      <c r="H457" s="4"/>
      <c r="J457" s="4"/>
      <c r="K457" s="4"/>
      <c r="L457" s="4"/>
      <c r="M457" s="4"/>
      <c r="N457" s="4"/>
    </row>
    <row r="458" spans="1:14">
      <c r="A458" s="4"/>
      <c r="B458" s="4"/>
      <c r="C458" s="4"/>
      <c r="D458" s="4"/>
      <c r="E458" s="4"/>
      <c r="F458" s="4"/>
      <c r="G458" s="4"/>
      <c r="H458" s="4"/>
      <c r="J458" s="4"/>
      <c r="K458" s="4"/>
      <c r="L458" s="4"/>
      <c r="M458" s="4"/>
      <c r="N458" s="4"/>
    </row>
    <row r="459" spans="1:14">
      <c r="A459" s="4"/>
      <c r="B459" s="4"/>
      <c r="C459" s="4"/>
      <c r="D459" s="4"/>
      <c r="E459" s="4"/>
      <c r="F459" s="4"/>
      <c r="G459" s="4"/>
      <c r="H459" s="4"/>
      <c r="J459" s="4"/>
      <c r="K459" s="4"/>
      <c r="L459" s="4"/>
      <c r="M459" s="4"/>
      <c r="N459" s="4"/>
    </row>
    <row r="460" spans="1:14">
      <c r="A460" s="4"/>
      <c r="B460" s="4"/>
      <c r="C460" s="4"/>
      <c r="D460" s="4"/>
      <c r="E460" s="4"/>
      <c r="F460" s="4"/>
      <c r="G460" s="4"/>
      <c r="H460" s="4"/>
      <c r="J460" s="4"/>
      <c r="K460" s="4"/>
      <c r="L460" s="4"/>
      <c r="M460" s="4"/>
      <c r="N460" s="4"/>
    </row>
    <row r="461" spans="1:14">
      <c r="A461" s="4"/>
      <c r="B461" s="4"/>
      <c r="C461" s="4"/>
      <c r="D461" s="4"/>
      <c r="E461" s="4"/>
      <c r="F461" s="4"/>
      <c r="G461" s="4"/>
      <c r="H461" s="4"/>
      <c r="J461" s="4"/>
      <c r="K461" s="4"/>
      <c r="L461" s="4"/>
      <c r="M461" s="4"/>
      <c r="N461" s="4"/>
    </row>
    <row r="462" spans="1:14">
      <c r="A462" s="4"/>
      <c r="B462" s="4"/>
      <c r="C462" s="4"/>
      <c r="D462" s="4"/>
      <c r="E462" s="4"/>
      <c r="F462" s="4"/>
      <c r="G462" s="4"/>
      <c r="H462" s="4"/>
      <c r="J462" s="4"/>
      <c r="K462" s="4"/>
      <c r="L462" s="4"/>
      <c r="M462" s="4"/>
      <c r="N462" s="4"/>
    </row>
    <row r="463" spans="1:14">
      <c r="A463" s="4"/>
      <c r="B463" s="4"/>
      <c r="C463" s="4"/>
      <c r="D463" s="4"/>
      <c r="E463" s="4"/>
      <c r="F463" s="4"/>
      <c r="G463" s="4"/>
      <c r="H463" s="4"/>
      <c r="J463" s="4"/>
      <c r="K463" s="4"/>
      <c r="L463" s="4"/>
      <c r="M463" s="4"/>
      <c r="N463" s="4"/>
    </row>
    <row r="464" spans="1:14">
      <c r="A464" s="4"/>
      <c r="B464" s="4"/>
      <c r="C464" s="4"/>
      <c r="D464" s="4"/>
      <c r="E464" s="4"/>
      <c r="F464" s="4"/>
      <c r="G464" s="4"/>
      <c r="H464" s="4"/>
      <c r="J464" s="4"/>
      <c r="K464" s="4"/>
      <c r="L464" s="4"/>
      <c r="M464" s="4"/>
      <c r="N464" s="4"/>
    </row>
    <row r="465" spans="1:14">
      <c r="A465" s="4"/>
      <c r="B465" s="4"/>
      <c r="C465" s="4"/>
      <c r="D465" s="4"/>
      <c r="E465" s="4"/>
      <c r="F465" s="4"/>
      <c r="G465" s="4"/>
      <c r="H465" s="4"/>
      <c r="J465" s="4"/>
      <c r="K465" s="4"/>
      <c r="L465" s="4"/>
      <c r="M465" s="4"/>
      <c r="N465" s="4"/>
    </row>
    <row r="466" spans="1:14">
      <c r="A466" s="4"/>
      <c r="B466" s="4"/>
      <c r="C466" s="4"/>
      <c r="D466" s="4"/>
      <c r="E466" s="4"/>
      <c r="F466" s="4"/>
      <c r="G466" s="4"/>
      <c r="H466" s="4"/>
      <c r="J466" s="4"/>
      <c r="K466" s="4"/>
      <c r="L466" s="4"/>
      <c r="M466" s="4"/>
      <c r="N466" s="4"/>
    </row>
    <row r="467" spans="1:14">
      <c r="A467" s="4"/>
      <c r="B467" s="4"/>
      <c r="C467" s="4"/>
      <c r="D467" s="4"/>
      <c r="E467" s="4"/>
      <c r="F467" s="4"/>
      <c r="G467" s="4"/>
      <c r="H467" s="4"/>
      <c r="J467" s="4"/>
      <c r="K467" s="4"/>
      <c r="L467" s="4"/>
      <c r="M467" s="4"/>
      <c r="N467" s="4"/>
    </row>
    <row r="468" spans="1:14">
      <c r="A468" s="4"/>
      <c r="B468" s="4"/>
      <c r="C468" s="4"/>
      <c r="D468" s="4"/>
      <c r="E468" s="4"/>
      <c r="F468" s="4"/>
      <c r="G468" s="4"/>
      <c r="H468" s="4"/>
      <c r="J468" s="4"/>
      <c r="K468" s="4"/>
      <c r="L468" s="4"/>
      <c r="M468" s="4"/>
      <c r="N468" s="4"/>
    </row>
    <row r="469" spans="1:14">
      <c r="A469" s="4"/>
      <c r="B469" s="4"/>
      <c r="C469" s="4"/>
      <c r="D469" s="4"/>
      <c r="E469" s="4"/>
      <c r="F469" s="4"/>
      <c r="G469" s="4"/>
      <c r="H469" s="4"/>
      <c r="J469" s="4"/>
      <c r="K469" s="4"/>
      <c r="L469" s="4"/>
      <c r="M469" s="4"/>
      <c r="N469" s="4"/>
    </row>
    <row r="470" spans="1:14">
      <c r="A470" s="4"/>
      <c r="B470" s="4"/>
      <c r="C470" s="4"/>
      <c r="D470" s="4"/>
      <c r="E470" s="4"/>
      <c r="F470" s="4"/>
      <c r="G470" s="4"/>
      <c r="H470" s="4"/>
      <c r="J470" s="4"/>
      <c r="K470" s="4"/>
      <c r="L470" s="4"/>
      <c r="M470" s="4"/>
      <c r="N470" s="4"/>
    </row>
    <row r="471" spans="1:14">
      <c r="A471" s="4"/>
      <c r="B471" s="4"/>
      <c r="C471" s="4"/>
      <c r="D471" s="4"/>
      <c r="E471" s="4"/>
      <c r="F471" s="4"/>
      <c r="G471" s="4"/>
      <c r="H471" s="4"/>
      <c r="J471" s="4"/>
      <c r="K471" s="4"/>
      <c r="L471" s="4"/>
      <c r="M471" s="4"/>
      <c r="N471" s="4"/>
    </row>
    <row r="472" spans="1:14">
      <c r="A472" s="4"/>
      <c r="B472" s="4"/>
      <c r="C472" s="4"/>
      <c r="D472" s="4"/>
      <c r="E472" s="4"/>
      <c r="F472" s="4"/>
      <c r="G472" s="4"/>
      <c r="H472" s="4"/>
      <c r="J472" s="4"/>
      <c r="K472" s="4"/>
      <c r="L472" s="4"/>
      <c r="M472" s="4"/>
      <c r="N472" s="4"/>
    </row>
    <row r="473" spans="1:14">
      <c r="A473" s="4"/>
      <c r="B473" s="4"/>
      <c r="C473" s="4"/>
      <c r="D473" s="4"/>
      <c r="E473" s="4"/>
      <c r="F473" s="4"/>
      <c r="G473" s="4"/>
      <c r="H473" s="4"/>
      <c r="J473" s="4"/>
      <c r="K473" s="4"/>
      <c r="L473" s="4"/>
      <c r="M473" s="4"/>
      <c r="N473" s="4"/>
    </row>
    <row r="474" spans="1:14">
      <c r="A474" s="4"/>
      <c r="B474" s="4"/>
      <c r="C474" s="4"/>
      <c r="D474" s="4"/>
      <c r="E474" s="4"/>
      <c r="F474" s="4"/>
      <c r="G474" s="4"/>
      <c r="H474" s="4"/>
      <c r="J474" s="4"/>
      <c r="K474" s="4"/>
      <c r="L474" s="4"/>
      <c r="M474" s="4"/>
      <c r="N474" s="4"/>
    </row>
    <row r="475" spans="1:14">
      <c r="A475" s="4"/>
      <c r="B475" s="4"/>
      <c r="C475" s="4"/>
      <c r="D475" s="4"/>
      <c r="E475" s="4"/>
      <c r="F475" s="4"/>
      <c r="G475" s="4"/>
      <c r="H475" s="4"/>
      <c r="J475" s="4"/>
      <c r="K475" s="4"/>
      <c r="L475" s="4"/>
      <c r="M475" s="4"/>
      <c r="N475" s="4"/>
    </row>
    <row r="476" spans="1:14">
      <c r="A476" s="4"/>
      <c r="B476" s="4"/>
      <c r="C476" s="4"/>
      <c r="D476" s="4"/>
      <c r="E476" s="4"/>
      <c r="F476" s="4"/>
      <c r="G476" s="4"/>
      <c r="H476" s="4"/>
      <c r="J476" s="4"/>
      <c r="K476" s="4"/>
      <c r="L476" s="4"/>
      <c r="M476" s="4"/>
      <c r="N476" s="4"/>
    </row>
    <row r="477" spans="1:14">
      <c r="A477" s="4"/>
      <c r="B477" s="4"/>
      <c r="C477" s="4"/>
      <c r="D477" s="4"/>
      <c r="E477" s="4"/>
      <c r="F477" s="4"/>
      <c r="G477" s="4"/>
      <c r="H477" s="4"/>
      <c r="J477" s="4"/>
      <c r="K477" s="4"/>
      <c r="L477" s="4"/>
      <c r="M477" s="4"/>
      <c r="N477" s="4"/>
    </row>
    <row r="478" spans="1:14">
      <c r="A478" s="4"/>
      <c r="B478" s="4"/>
      <c r="C478" s="4"/>
      <c r="D478" s="4"/>
      <c r="E478" s="4"/>
      <c r="F478" s="4"/>
      <c r="G478" s="4"/>
      <c r="H478" s="4"/>
      <c r="J478" s="4"/>
      <c r="K478" s="4"/>
      <c r="L478" s="4"/>
      <c r="M478" s="4"/>
      <c r="N478" s="4"/>
    </row>
    <row r="479" spans="1:14">
      <c r="A479" s="4"/>
      <c r="B479" s="4"/>
      <c r="C479" s="4"/>
      <c r="D479" s="4"/>
      <c r="E479" s="4"/>
      <c r="F479" s="4"/>
      <c r="G479" s="4"/>
      <c r="H479" s="4"/>
      <c r="J479" s="4"/>
      <c r="K479" s="4"/>
      <c r="L479" s="4"/>
      <c r="M479" s="4"/>
      <c r="N479" s="4"/>
    </row>
    <row r="480" spans="1:14">
      <c r="A480" s="4"/>
      <c r="B480" s="4"/>
      <c r="C480" s="4"/>
      <c r="D480" s="4"/>
      <c r="E480" s="4"/>
      <c r="F480" s="4"/>
      <c r="G480" s="4"/>
      <c r="H480" s="4"/>
      <c r="J480" s="4"/>
      <c r="K480" s="4"/>
      <c r="L480" s="4"/>
      <c r="M480" s="4"/>
      <c r="N480" s="4"/>
    </row>
    <row r="481" spans="1:14">
      <c r="A481" s="4"/>
      <c r="B481" s="4"/>
      <c r="C481" s="4"/>
      <c r="D481" s="4"/>
      <c r="E481" s="4"/>
      <c r="F481" s="4"/>
      <c r="G481" s="4"/>
      <c r="H481" s="4"/>
      <c r="J481" s="4"/>
      <c r="K481" s="4"/>
      <c r="L481" s="4"/>
      <c r="M481" s="4"/>
      <c r="N481" s="4"/>
    </row>
    <row r="482" spans="1:14">
      <c r="A482" s="4"/>
      <c r="B482" s="4"/>
      <c r="C482" s="4"/>
      <c r="D482" s="4"/>
      <c r="E482" s="4"/>
      <c r="F482" s="4"/>
      <c r="G482" s="4"/>
      <c r="H482" s="4"/>
      <c r="J482" s="4"/>
      <c r="K482" s="4"/>
      <c r="L482" s="4"/>
      <c r="M482" s="4"/>
      <c r="N482" s="4"/>
    </row>
    <row r="483" spans="1:14">
      <c r="A483" s="4"/>
      <c r="B483" s="4"/>
      <c r="C483" s="4"/>
      <c r="D483" s="4"/>
      <c r="E483" s="4"/>
      <c r="F483" s="4"/>
      <c r="G483" s="4"/>
      <c r="H483" s="4"/>
      <c r="J483" s="4"/>
      <c r="K483" s="4"/>
      <c r="L483" s="4"/>
      <c r="M483" s="4"/>
      <c r="N483" s="4"/>
    </row>
    <row r="484" spans="1:14">
      <c r="A484" s="4"/>
      <c r="B484" s="4"/>
      <c r="C484" s="4"/>
      <c r="D484" s="4"/>
      <c r="E484" s="4"/>
      <c r="F484" s="4"/>
      <c r="G484" s="4"/>
      <c r="H484" s="4"/>
      <c r="J484" s="4"/>
      <c r="K484" s="4"/>
      <c r="L484" s="4"/>
      <c r="M484" s="4"/>
      <c r="N484" s="4"/>
    </row>
    <row r="485" spans="1:14">
      <c r="A485" s="4"/>
      <c r="B485" s="4"/>
      <c r="C485" s="4"/>
      <c r="D485" s="4"/>
      <c r="E485" s="4"/>
      <c r="F485" s="4"/>
      <c r="G485" s="4"/>
      <c r="H485" s="4"/>
      <c r="J485" s="4"/>
      <c r="K485" s="4"/>
      <c r="L485" s="4"/>
      <c r="M485" s="4"/>
      <c r="N485" s="4"/>
    </row>
    <row r="486" spans="1:14">
      <c r="A486" s="4"/>
      <c r="B486" s="4"/>
      <c r="C486" s="4"/>
      <c r="D486" s="4"/>
      <c r="E486" s="4"/>
      <c r="F486" s="4"/>
      <c r="G486" s="4"/>
      <c r="H486" s="4"/>
      <c r="J486" s="4"/>
      <c r="K486" s="4"/>
      <c r="L486" s="4"/>
      <c r="M486" s="4"/>
      <c r="N486" s="4"/>
    </row>
    <row r="487" spans="1:14">
      <c r="A487" s="4"/>
      <c r="B487" s="4"/>
      <c r="C487" s="4"/>
      <c r="D487" s="4"/>
      <c r="E487" s="4"/>
      <c r="F487" s="4"/>
      <c r="G487" s="4"/>
      <c r="H487" s="4"/>
      <c r="J487" s="4"/>
      <c r="K487" s="4"/>
      <c r="L487" s="4"/>
      <c r="M487" s="4"/>
      <c r="N487" s="4"/>
    </row>
    <row r="488" spans="1:14">
      <c r="A488" s="4"/>
      <c r="B488" s="4"/>
      <c r="C488" s="4"/>
      <c r="D488" s="4"/>
      <c r="E488" s="4"/>
      <c r="F488" s="4"/>
      <c r="G488" s="4"/>
      <c r="H488" s="4"/>
      <c r="J488" s="4"/>
      <c r="K488" s="4"/>
      <c r="L488" s="4"/>
      <c r="M488" s="4"/>
      <c r="N488" s="4"/>
    </row>
    <row r="489" spans="1:14">
      <c r="A489" s="4"/>
      <c r="B489" s="4"/>
      <c r="C489" s="4"/>
      <c r="D489" s="4"/>
      <c r="E489" s="4"/>
      <c r="F489" s="4"/>
      <c r="G489" s="4"/>
      <c r="H489" s="4"/>
      <c r="J489" s="4"/>
      <c r="K489" s="4"/>
      <c r="L489" s="4"/>
      <c r="M489" s="4"/>
      <c r="N489" s="4"/>
    </row>
    <row r="490" spans="1:14">
      <c r="A490" s="4"/>
      <c r="B490" s="4"/>
      <c r="C490" s="4"/>
      <c r="D490" s="4"/>
      <c r="E490" s="4"/>
      <c r="F490" s="4"/>
      <c r="G490" s="4"/>
      <c r="H490" s="4"/>
      <c r="J490" s="4"/>
      <c r="K490" s="4"/>
      <c r="L490" s="4"/>
      <c r="M490" s="4"/>
      <c r="N490" s="4"/>
    </row>
    <row r="491" spans="1:14">
      <c r="A491" s="4"/>
      <c r="B491" s="4"/>
      <c r="C491" s="4"/>
      <c r="D491" s="4"/>
      <c r="E491" s="4"/>
      <c r="F491" s="4"/>
      <c r="G491" s="4"/>
      <c r="H491" s="4"/>
      <c r="J491" s="4"/>
      <c r="K491" s="4"/>
      <c r="L491" s="4"/>
      <c r="M491" s="4"/>
      <c r="N491" s="4"/>
    </row>
    <row r="492" spans="1:14">
      <c r="A492" s="4"/>
      <c r="B492" s="4"/>
      <c r="C492" s="4"/>
      <c r="D492" s="4"/>
      <c r="E492" s="4"/>
      <c r="F492" s="4"/>
      <c r="G492" s="4"/>
      <c r="H492" s="4"/>
      <c r="J492" s="4"/>
      <c r="K492" s="4"/>
      <c r="L492" s="4"/>
      <c r="M492" s="4"/>
      <c r="N492" s="4"/>
    </row>
    <row r="493" spans="1:14">
      <c r="A493" s="4"/>
      <c r="B493" s="4"/>
      <c r="C493" s="4"/>
      <c r="D493" s="4"/>
      <c r="E493" s="4"/>
      <c r="F493" s="4"/>
      <c r="G493" s="4"/>
      <c r="H493" s="4"/>
      <c r="J493" s="4"/>
      <c r="K493" s="4"/>
      <c r="L493" s="4"/>
      <c r="M493" s="4"/>
      <c r="N493" s="4"/>
    </row>
    <row r="494" spans="1:14">
      <c r="A494" s="4"/>
      <c r="B494" s="4"/>
      <c r="C494" s="4"/>
      <c r="D494" s="4"/>
      <c r="E494" s="4"/>
      <c r="F494" s="4"/>
      <c r="G494" s="4"/>
      <c r="H494" s="4"/>
      <c r="J494" s="4"/>
      <c r="K494" s="4"/>
      <c r="L494" s="4"/>
      <c r="M494" s="4"/>
      <c r="N494" s="4"/>
    </row>
    <row r="495" spans="1:14">
      <c r="A495" s="4"/>
      <c r="B495" s="4"/>
      <c r="C495" s="4"/>
      <c r="D495" s="4"/>
      <c r="E495" s="4"/>
      <c r="F495" s="4"/>
      <c r="G495" s="4"/>
      <c r="H495" s="4"/>
      <c r="J495" s="4"/>
      <c r="K495" s="4"/>
      <c r="L495" s="4"/>
      <c r="M495" s="4"/>
      <c r="N495" s="4"/>
    </row>
    <row r="496" spans="1:14">
      <c r="A496" s="4"/>
      <c r="B496" s="4"/>
      <c r="C496" s="4"/>
      <c r="D496" s="4"/>
      <c r="E496" s="4"/>
      <c r="F496" s="4"/>
      <c r="G496" s="4"/>
      <c r="H496" s="4"/>
      <c r="J496" s="4"/>
      <c r="K496" s="4"/>
      <c r="L496" s="4"/>
      <c r="M496" s="4"/>
      <c r="N496" s="4"/>
    </row>
    <row r="497" spans="1:14">
      <c r="A497" s="4"/>
      <c r="B497" s="4"/>
      <c r="C497" s="4"/>
      <c r="D497" s="4"/>
      <c r="E497" s="4"/>
      <c r="F497" s="4"/>
      <c r="G497" s="4"/>
      <c r="H497" s="4"/>
      <c r="J497" s="4"/>
      <c r="K497" s="4"/>
      <c r="L497" s="4"/>
      <c r="M497" s="4"/>
      <c r="N497" s="4"/>
    </row>
    <row r="498" spans="1:14">
      <c r="A498" s="4"/>
      <c r="B498" s="4"/>
      <c r="C498" s="4"/>
      <c r="D498" s="4"/>
      <c r="E498" s="4"/>
      <c r="F498" s="4"/>
      <c r="G498" s="4"/>
      <c r="H498" s="4"/>
      <c r="J498" s="4"/>
      <c r="K498" s="4"/>
      <c r="L498" s="4"/>
      <c r="M498" s="4"/>
      <c r="N498" s="4"/>
    </row>
    <row r="499" spans="1:14">
      <c r="A499" s="4"/>
      <c r="B499" s="4"/>
      <c r="C499" s="4"/>
      <c r="D499" s="4"/>
      <c r="E499" s="4"/>
      <c r="F499" s="4"/>
      <c r="G499" s="4"/>
      <c r="H499" s="4"/>
      <c r="J499" s="4"/>
      <c r="K499" s="4"/>
      <c r="L499" s="4"/>
      <c r="M499" s="4"/>
      <c r="N499" s="4"/>
    </row>
    <row r="500" spans="1:14">
      <c r="A500" s="4"/>
      <c r="B500" s="4"/>
      <c r="C500" s="4"/>
      <c r="D500" s="4"/>
      <c r="E500" s="4"/>
      <c r="F500" s="4"/>
      <c r="G500" s="4"/>
      <c r="H500" s="4"/>
      <c r="J500" s="4"/>
      <c r="K500" s="4"/>
      <c r="L500" s="4"/>
      <c r="M500" s="4"/>
      <c r="N500" s="4"/>
    </row>
    <row r="501" spans="1:14">
      <c r="A501" s="4"/>
      <c r="B501" s="4"/>
      <c r="C501" s="4"/>
      <c r="D501" s="4"/>
      <c r="E501" s="4"/>
      <c r="F501" s="4"/>
      <c r="G501" s="4"/>
      <c r="H501" s="4"/>
      <c r="J501" s="4"/>
      <c r="K501" s="4"/>
      <c r="L501" s="4"/>
      <c r="M501" s="4"/>
      <c r="N501" s="4"/>
    </row>
    <row r="502" spans="1:14">
      <c r="A502" s="4"/>
      <c r="B502" s="4"/>
      <c r="C502" s="4"/>
      <c r="D502" s="4"/>
      <c r="E502" s="4"/>
      <c r="F502" s="4"/>
      <c r="G502" s="4"/>
      <c r="H502" s="4"/>
      <c r="J502" s="4"/>
      <c r="K502" s="4"/>
      <c r="L502" s="4"/>
      <c r="M502" s="4"/>
      <c r="N502" s="4"/>
    </row>
    <row r="503" spans="1:14">
      <c r="A503" s="4"/>
      <c r="B503" s="4"/>
      <c r="C503" s="4"/>
      <c r="D503" s="4"/>
      <c r="E503" s="4"/>
      <c r="F503" s="4"/>
      <c r="G503" s="4"/>
      <c r="H503" s="4"/>
      <c r="J503" s="4"/>
      <c r="K503" s="4"/>
      <c r="L503" s="4"/>
      <c r="M503" s="4"/>
      <c r="N503" s="4"/>
    </row>
    <row r="504" spans="1:14">
      <c r="A504" s="4"/>
      <c r="B504" s="4"/>
      <c r="C504" s="4"/>
      <c r="D504" s="4"/>
      <c r="E504" s="4"/>
      <c r="F504" s="4"/>
      <c r="G504" s="4"/>
      <c r="H504" s="4"/>
      <c r="J504" s="4"/>
      <c r="K504" s="4"/>
      <c r="L504" s="4"/>
      <c r="M504" s="4"/>
      <c r="N504" s="4"/>
    </row>
    <row r="505" spans="1:14">
      <c r="A505" s="4"/>
      <c r="B505" s="4"/>
      <c r="C505" s="4"/>
      <c r="D505" s="4"/>
      <c r="E505" s="4"/>
      <c r="F505" s="4"/>
      <c r="G505" s="4"/>
      <c r="H505" s="4"/>
      <c r="J505" s="4"/>
      <c r="K505" s="4"/>
      <c r="L505" s="4"/>
      <c r="M505" s="4"/>
      <c r="N505" s="4"/>
    </row>
    <row r="506" spans="1:14">
      <c r="A506" s="4"/>
      <c r="B506" s="4"/>
      <c r="C506" s="4"/>
      <c r="D506" s="4"/>
      <c r="E506" s="4"/>
      <c r="F506" s="4"/>
      <c r="G506" s="4"/>
      <c r="H506" s="4"/>
      <c r="J506" s="4"/>
      <c r="K506" s="4"/>
      <c r="L506" s="4"/>
      <c r="M506" s="4"/>
      <c r="N506" s="4"/>
    </row>
    <row r="507" spans="1:14">
      <c r="A507" s="4"/>
      <c r="B507" s="4"/>
      <c r="C507" s="4"/>
      <c r="D507" s="4"/>
      <c r="E507" s="4"/>
      <c r="F507" s="4"/>
      <c r="G507" s="4"/>
      <c r="H507" s="4"/>
      <c r="J507" s="4"/>
      <c r="K507" s="4"/>
      <c r="L507" s="4"/>
      <c r="M507" s="4"/>
      <c r="N507" s="4"/>
    </row>
    <row r="508" spans="1:14">
      <c r="A508" s="4"/>
      <c r="B508" s="4"/>
      <c r="C508" s="4"/>
      <c r="D508" s="4"/>
      <c r="E508" s="4"/>
      <c r="F508" s="4"/>
      <c r="G508" s="4"/>
      <c r="H508" s="4"/>
      <c r="J508" s="4"/>
      <c r="K508" s="4"/>
      <c r="L508" s="4"/>
      <c r="M508" s="4"/>
      <c r="N508" s="4"/>
    </row>
    <row r="509" spans="1:14">
      <c r="A509" s="4"/>
      <c r="B509" s="4"/>
      <c r="C509" s="4"/>
      <c r="D509" s="4"/>
      <c r="E509" s="4"/>
      <c r="F509" s="4"/>
      <c r="G509" s="4"/>
      <c r="H509" s="4"/>
      <c r="J509" s="4"/>
      <c r="K509" s="4"/>
      <c r="L509" s="4"/>
      <c r="M509" s="4"/>
      <c r="N509" s="4"/>
    </row>
    <row r="510" spans="1:14">
      <c r="A510" s="4"/>
      <c r="B510" s="4"/>
      <c r="C510" s="4"/>
      <c r="D510" s="4"/>
      <c r="E510" s="4"/>
      <c r="F510" s="4"/>
      <c r="G510" s="4"/>
      <c r="H510" s="4"/>
      <c r="J510" s="4"/>
      <c r="K510" s="4"/>
      <c r="L510" s="4"/>
      <c r="M510" s="4"/>
      <c r="N510" s="4"/>
    </row>
    <row r="511" spans="1:14">
      <c r="A511" s="4"/>
      <c r="B511" s="4"/>
      <c r="C511" s="4"/>
      <c r="D511" s="4"/>
      <c r="E511" s="4"/>
      <c r="F511" s="4"/>
      <c r="G511" s="4"/>
      <c r="H511" s="4"/>
      <c r="J511" s="4"/>
      <c r="K511" s="4"/>
      <c r="L511" s="4"/>
      <c r="M511" s="4"/>
      <c r="N511" s="4"/>
    </row>
    <row r="512" spans="1:14">
      <c r="A512" s="4"/>
      <c r="B512" s="4"/>
      <c r="C512" s="4"/>
      <c r="D512" s="4"/>
      <c r="E512" s="4"/>
      <c r="F512" s="4"/>
      <c r="G512" s="4"/>
      <c r="H512" s="4"/>
      <c r="J512" s="4"/>
      <c r="K512" s="4"/>
      <c r="L512" s="4"/>
      <c r="M512" s="4"/>
      <c r="N512" s="4"/>
    </row>
    <row r="513" spans="1:14">
      <c r="A513" s="4"/>
      <c r="B513" s="4"/>
      <c r="C513" s="4"/>
      <c r="D513" s="4"/>
      <c r="E513" s="4"/>
      <c r="F513" s="4"/>
      <c r="G513" s="4"/>
      <c r="H513" s="4"/>
      <c r="J513" s="4"/>
      <c r="K513" s="4"/>
      <c r="L513" s="4"/>
      <c r="M513" s="4"/>
      <c r="N513" s="4"/>
    </row>
    <row r="514" spans="1:14">
      <c r="A514" s="4"/>
      <c r="B514" s="4"/>
      <c r="C514" s="4"/>
      <c r="D514" s="4"/>
      <c r="E514" s="4"/>
      <c r="F514" s="4"/>
      <c r="G514" s="4"/>
      <c r="H514" s="4"/>
      <c r="J514" s="4"/>
      <c r="K514" s="4"/>
      <c r="L514" s="4"/>
      <c r="M514" s="4"/>
      <c r="N514" s="4"/>
    </row>
    <row r="515" spans="1:14">
      <c r="A515" s="4"/>
      <c r="B515" s="4"/>
      <c r="C515" s="4"/>
      <c r="D515" s="4"/>
      <c r="E515" s="4"/>
      <c r="F515" s="4"/>
      <c r="G515" s="4"/>
      <c r="H515" s="4"/>
      <c r="J515" s="4"/>
      <c r="K515" s="4"/>
      <c r="L515" s="4"/>
      <c r="M515" s="4"/>
      <c r="N515" s="4"/>
    </row>
    <row r="516" spans="1:14">
      <c r="A516" s="4"/>
      <c r="B516" s="4"/>
      <c r="C516" s="4"/>
      <c r="D516" s="4"/>
      <c r="E516" s="4"/>
      <c r="F516" s="4"/>
      <c r="G516" s="4"/>
      <c r="H516" s="4"/>
      <c r="J516" s="4"/>
      <c r="K516" s="4"/>
      <c r="L516" s="4"/>
      <c r="M516" s="4"/>
      <c r="N516" s="4"/>
    </row>
    <row r="517" spans="1:14">
      <c r="A517" s="4"/>
      <c r="B517" s="4"/>
      <c r="C517" s="4"/>
      <c r="D517" s="4"/>
      <c r="E517" s="4"/>
      <c r="F517" s="4"/>
      <c r="G517" s="4"/>
      <c r="H517" s="4"/>
      <c r="J517" s="4"/>
      <c r="K517" s="4"/>
      <c r="L517" s="4"/>
      <c r="M517" s="4"/>
      <c r="N517" s="4"/>
    </row>
    <row r="518" spans="1:14">
      <c r="A518" s="4"/>
      <c r="B518" s="4"/>
      <c r="C518" s="4"/>
      <c r="D518" s="4"/>
      <c r="E518" s="4"/>
      <c r="F518" s="4"/>
      <c r="G518" s="4"/>
      <c r="H518" s="4"/>
      <c r="J518" s="4"/>
      <c r="K518" s="4"/>
      <c r="L518" s="4"/>
      <c r="M518" s="4"/>
      <c r="N518" s="4"/>
    </row>
    <row r="519" spans="1:14">
      <c r="A519" s="4"/>
      <c r="B519" s="4"/>
      <c r="C519" s="4"/>
      <c r="D519" s="4"/>
      <c r="E519" s="4"/>
      <c r="F519" s="4"/>
      <c r="G519" s="4"/>
      <c r="H519" s="4"/>
      <c r="J519" s="4"/>
      <c r="K519" s="4"/>
      <c r="L519" s="4"/>
      <c r="M519" s="4"/>
      <c r="N519" s="4"/>
    </row>
    <row r="520" spans="1:14">
      <c r="A520" s="4"/>
      <c r="B520" s="4"/>
      <c r="C520" s="4"/>
      <c r="D520" s="4"/>
      <c r="E520" s="4"/>
      <c r="F520" s="4"/>
      <c r="G520" s="4"/>
      <c r="H520" s="4"/>
      <c r="J520" s="4"/>
      <c r="K520" s="4"/>
      <c r="L520" s="4"/>
      <c r="M520" s="4"/>
      <c r="N520" s="4"/>
    </row>
    <row r="521" spans="1:14">
      <c r="A521" s="4"/>
      <c r="B521" s="4"/>
      <c r="C521" s="4"/>
      <c r="D521" s="4"/>
      <c r="E521" s="4"/>
      <c r="F521" s="4"/>
      <c r="G521" s="4"/>
      <c r="H521" s="4"/>
      <c r="J521" s="4"/>
      <c r="K521" s="4"/>
      <c r="L521" s="4"/>
      <c r="M521" s="4"/>
      <c r="N521" s="4"/>
    </row>
    <row r="522" spans="1:14">
      <c r="A522" s="4"/>
      <c r="B522" s="4"/>
      <c r="C522" s="4"/>
      <c r="D522" s="4"/>
      <c r="E522" s="4"/>
      <c r="F522" s="4"/>
      <c r="G522" s="4"/>
      <c r="H522" s="4"/>
      <c r="J522" s="4"/>
      <c r="K522" s="4"/>
      <c r="L522" s="4"/>
      <c r="M522" s="4"/>
      <c r="N522" s="4"/>
    </row>
  </sheetData>
  <autoFilter ref="A1:N1" xr:uid="{00000000-0009-0000-0000-00000F000000}"/>
  <dataValidations count="1">
    <dataValidation type="list" allowBlank="1" showInputMessage="1" showErrorMessage="1" sqref="C36:C522 C2:C34" xr:uid="{00000000-0002-0000-0F00-000001000000}">
      <formula1>INDIRECT(B2)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F00-000000000000}">
          <x14:formula1>
            <xm:f>List!$P$2:$P$11</xm:f>
          </x14:formula1>
          <xm:sqref>B36:B522 B2:B34</xm:sqref>
        </x14:dataValidation>
        <x14:dataValidation type="list" allowBlank="1" showInputMessage="1" showErrorMessage="1" xr:uid="{00000000-0002-0000-0F00-000003000000}">
          <x14:formula1>
            <xm:f>List!$E$2:$E$32</xm:f>
          </x14:formula1>
          <xm:sqref>E64:E522</xm:sqref>
        </x14:dataValidation>
        <x14:dataValidation type="list" allowBlank="1" showInputMessage="1" showErrorMessage="1" xr:uid="{00000000-0002-0000-0F00-000002000000}">
          <x14:formula1>
            <xm:f>List!$C$2:$C$3</xm:f>
          </x14:formula1>
          <xm:sqref>D2:D522</xm:sqref>
        </x14:dataValidation>
        <x14:dataValidation type="list" allowBlank="1" showInputMessage="1" showErrorMessage="1" xr:uid="{00000000-0002-0000-0F00-000004000000}">
          <x14:formula1>
            <xm:f>List!$H$2:$H$13</xm:f>
          </x14:formula1>
          <xm:sqref>M2:M522</xm:sqref>
        </x14:dataValidation>
        <x14:dataValidation type="list" allowBlank="1" showInputMessage="1" showErrorMessage="1" xr:uid="{00000000-0002-0000-0F00-000005000000}">
          <x14:formula1>
            <xm:f>List!$J$2:$J$4</xm:f>
          </x14:formula1>
          <xm:sqref>N2:N522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4" tint="0.39997558519241921"/>
  </sheetPr>
  <dimension ref="A1:N1048501"/>
  <sheetViews>
    <sheetView topLeftCell="A11" workbookViewId="0">
      <selection activeCell="B2" sqref="B2:N30"/>
    </sheetView>
  </sheetViews>
  <sheetFormatPr defaultColWidth="9" defaultRowHeight="14.5"/>
  <cols>
    <col min="1" max="1" width="5.36328125" customWidth="1"/>
    <col min="2" max="2" width="9.36328125" customWidth="1"/>
    <col min="3" max="3" width="10.6328125" bestFit="1" customWidth="1"/>
    <col min="4" max="4" width="9" customWidth="1"/>
    <col min="5" max="5" width="19.81640625" customWidth="1"/>
    <col min="6" max="6" width="10.1796875" customWidth="1"/>
    <col min="7" max="7" width="19.90625" bestFit="1" customWidth="1"/>
    <col min="8" max="8" width="19.81640625" bestFit="1" customWidth="1"/>
    <col min="9" max="9" width="18.08984375" customWidth="1"/>
    <col min="10" max="10" width="10.08984375" customWidth="1"/>
    <col min="11" max="11" width="11.1796875" customWidth="1"/>
    <col min="12" max="12" width="10.54296875" customWidth="1"/>
    <col min="13" max="13" width="6.54296875" customWidth="1"/>
    <col min="14" max="14" width="4.81640625" customWidth="1"/>
  </cols>
  <sheetData>
    <row r="1" spans="1:14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</row>
    <row r="2" spans="1:14">
      <c r="A2" s="33">
        <v>1</v>
      </c>
      <c r="B2" s="91" t="s">
        <v>33</v>
      </c>
      <c r="C2" s="11" t="s">
        <v>34</v>
      </c>
      <c r="D2" s="33" t="s">
        <v>19</v>
      </c>
      <c r="E2" s="33" t="s">
        <v>109</v>
      </c>
      <c r="F2" s="11"/>
      <c r="G2" s="11" t="s">
        <v>87</v>
      </c>
      <c r="H2" s="33" t="s">
        <v>110</v>
      </c>
      <c r="I2" s="37">
        <v>1336.4875701684041</v>
      </c>
      <c r="J2" s="33" t="s">
        <v>14</v>
      </c>
      <c r="K2" s="33" t="s">
        <v>14</v>
      </c>
      <c r="L2" s="33" t="s">
        <v>14</v>
      </c>
      <c r="M2" s="94" t="s">
        <v>222</v>
      </c>
      <c r="N2" s="33">
        <v>2025</v>
      </c>
    </row>
    <row r="3" spans="1:14">
      <c r="A3" s="33">
        <v>2</v>
      </c>
      <c r="B3" s="91" t="s">
        <v>33</v>
      </c>
      <c r="C3" s="11" t="s">
        <v>34</v>
      </c>
      <c r="D3" s="33" t="s">
        <v>19</v>
      </c>
      <c r="E3" s="33" t="s">
        <v>109</v>
      </c>
      <c r="F3" s="11"/>
      <c r="G3" s="11" t="s">
        <v>87</v>
      </c>
      <c r="H3" s="33" t="s">
        <v>110</v>
      </c>
      <c r="I3" s="37">
        <v>2621.5717722534082</v>
      </c>
      <c r="J3" s="33" t="s">
        <v>14</v>
      </c>
      <c r="K3" s="33" t="s">
        <v>14</v>
      </c>
      <c r="L3" s="33" t="s">
        <v>14</v>
      </c>
      <c r="M3" s="94" t="s">
        <v>222</v>
      </c>
      <c r="N3" s="33">
        <v>2025</v>
      </c>
    </row>
    <row r="4" spans="1:14">
      <c r="A4" s="33">
        <v>3</v>
      </c>
      <c r="B4" s="91" t="s">
        <v>42</v>
      </c>
      <c r="C4" s="11" t="s">
        <v>48</v>
      </c>
      <c r="D4" s="33" t="s">
        <v>19</v>
      </c>
      <c r="E4" s="33" t="s">
        <v>109</v>
      </c>
      <c r="F4" s="11"/>
      <c r="G4" s="11" t="s">
        <v>87</v>
      </c>
      <c r="H4" s="33" t="s">
        <v>110</v>
      </c>
      <c r="I4" s="37">
        <v>1336.4875701684041</v>
      </c>
      <c r="J4" s="33" t="s">
        <v>14</v>
      </c>
      <c r="K4" s="33" t="s">
        <v>14</v>
      </c>
      <c r="L4" s="33" t="s">
        <v>14</v>
      </c>
      <c r="M4" s="94" t="s">
        <v>222</v>
      </c>
      <c r="N4" s="33">
        <v>2025</v>
      </c>
    </row>
    <row r="5" spans="1:14">
      <c r="A5" s="33">
        <v>4</v>
      </c>
      <c r="B5" s="91" t="s">
        <v>35</v>
      </c>
      <c r="C5" s="11" t="s">
        <v>36</v>
      </c>
      <c r="D5" s="33" t="s">
        <v>19</v>
      </c>
      <c r="E5" s="33" t="s">
        <v>109</v>
      </c>
      <c r="F5" s="11"/>
      <c r="G5" s="11" t="s">
        <v>87</v>
      </c>
      <c r="H5" s="33" t="s">
        <v>110</v>
      </c>
      <c r="I5" s="37">
        <v>1387.8909382518043</v>
      </c>
      <c r="J5" s="33" t="s">
        <v>14</v>
      </c>
      <c r="K5" s="33" t="s">
        <v>14</v>
      </c>
      <c r="L5" s="33" t="s">
        <v>14</v>
      </c>
      <c r="M5" s="94" t="s">
        <v>222</v>
      </c>
      <c r="N5" s="33">
        <v>2025</v>
      </c>
    </row>
    <row r="6" spans="1:14">
      <c r="A6" s="33">
        <v>5</v>
      </c>
      <c r="B6" s="11" t="s">
        <v>17</v>
      </c>
      <c r="C6" s="11" t="s">
        <v>22</v>
      </c>
      <c r="D6" s="33" t="s">
        <v>19</v>
      </c>
      <c r="E6" s="33" t="s">
        <v>109</v>
      </c>
      <c r="F6" s="11"/>
      <c r="G6" s="11" t="s">
        <v>87</v>
      </c>
      <c r="H6" s="33" t="s">
        <v>110</v>
      </c>
      <c r="I6" s="37">
        <v>3135.6054530874098</v>
      </c>
      <c r="J6" s="33" t="s">
        <v>14</v>
      </c>
      <c r="K6" s="33" t="s">
        <v>14</v>
      </c>
      <c r="L6" s="33" t="s">
        <v>14</v>
      </c>
      <c r="M6" s="94" t="s">
        <v>222</v>
      </c>
      <c r="N6" s="33">
        <v>2025</v>
      </c>
    </row>
    <row r="7" spans="1:14">
      <c r="A7" s="33">
        <v>6</v>
      </c>
      <c r="B7" s="11" t="s">
        <v>17</v>
      </c>
      <c r="C7" s="11" t="s">
        <v>24</v>
      </c>
      <c r="D7" s="33" t="s">
        <v>19</v>
      </c>
      <c r="E7" s="33" t="s">
        <v>109</v>
      </c>
      <c r="F7" s="11"/>
      <c r="G7" s="11" t="s">
        <v>87</v>
      </c>
      <c r="H7" s="33" t="s">
        <v>110</v>
      </c>
      <c r="I7" s="37">
        <v>1696.3111467522056</v>
      </c>
      <c r="J7" s="33" t="s">
        <v>14</v>
      </c>
      <c r="K7" s="33" t="s">
        <v>14</v>
      </c>
      <c r="L7" s="33" t="s">
        <v>14</v>
      </c>
      <c r="M7" s="94" t="s">
        <v>222</v>
      </c>
      <c r="N7" s="33">
        <v>2025</v>
      </c>
    </row>
    <row r="8" spans="1:14">
      <c r="A8" s="33">
        <v>7</v>
      </c>
      <c r="B8" s="11" t="s">
        <v>17</v>
      </c>
      <c r="C8" s="11" t="s">
        <v>25</v>
      </c>
      <c r="D8" s="33" t="s">
        <v>19</v>
      </c>
      <c r="E8" s="33" t="s">
        <v>109</v>
      </c>
      <c r="F8" s="11"/>
      <c r="G8" s="11" t="s">
        <v>87</v>
      </c>
      <c r="H8" s="33" t="s">
        <v>110</v>
      </c>
      <c r="I8" s="38">
        <v>23851.162790697676</v>
      </c>
      <c r="J8" s="33" t="s">
        <v>14</v>
      </c>
      <c r="K8" s="33" t="s">
        <v>14</v>
      </c>
      <c r="L8" s="33" t="s">
        <v>14</v>
      </c>
      <c r="M8" s="94" t="s">
        <v>222</v>
      </c>
      <c r="N8" s="33">
        <v>2025</v>
      </c>
    </row>
    <row r="9" spans="1:14">
      <c r="A9" s="33">
        <v>8</v>
      </c>
      <c r="B9" s="91" t="s">
        <v>249</v>
      </c>
      <c r="C9" s="11" t="s">
        <v>32</v>
      </c>
      <c r="D9" s="33" t="s">
        <v>19</v>
      </c>
      <c r="E9" s="33" t="s">
        <v>109</v>
      </c>
      <c r="F9" s="11"/>
      <c r="G9" s="11" t="s">
        <v>115</v>
      </c>
      <c r="H9" s="33" t="s">
        <v>109</v>
      </c>
      <c r="I9" s="38">
        <v>83.969886299525825</v>
      </c>
      <c r="J9" s="33" t="s">
        <v>14</v>
      </c>
      <c r="K9" s="33" t="s">
        <v>14</v>
      </c>
      <c r="L9" s="33" t="s">
        <v>14</v>
      </c>
      <c r="M9" s="94" t="s">
        <v>222</v>
      </c>
      <c r="N9" s="33">
        <v>2025</v>
      </c>
    </row>
    <row r="10" spans="1:14">
      <c r="A10" s="33">
        <v>9</v>
      </c>
      <c r="B10" s="91" t="s">
        <v>17</v>
      </c>
      <c r="C10" s="11" t="s">
        <v>74</v>
      </c>
      <c r="D10" s="33" t="s">
        <v>19</v>
      </c>
      <c r="E10" s="33" t="s">
        <v>109</v>
      </c>
      <c r="F10" s="11"/>
      <c r="G10" s="11" t="s">
        <v>115</v>
      </c>
      <c r="H10" s="33" t="s">
        <v>109</v>
      </c>
      <c r="I10" s="38">
        <v>167.93977259905165</v>
      </c>
      <c r="J10" s="33" t="s">
        <v>14</v>
      </c>
      <c r="K10" s="33" t="s">
        <v>14</v>
      </c>
      <c r="L10" s="33" t="s">
        <v>14</v>
      </c>
      <c r="M10" s="94" t="s">
        <v>222</v>
      </c>
      <c r="N10" s="33">
        <v>2025</v>
      </c>
    </row>
    <row r="11" spans="1:14">
      <c r="A11" s="33">
        <v>10</v>
      </c>
      <c r="B11" s="11" t="s">
        <v>42</v>
      </c>
      <c r="C11" s="11" t="s">
        <v>95</v>
      </c>
      <c r="D11" s="33" t="s">
        <v>19</v>
      </c>
      <c r="E11" s="33" t="s">
        <v>109</v>
      </c>
      <c r="F11" s="11"/>
      <c r="G11" s="11" t="s">
        <v>115</v>
      </c>
      <c r="H11" s="33" t="s">
        <v>109</v>
      </c>
      <c r="I11" s="38">
        <v>713.74403354596961</v>
      </c>
      <c r="J11" s="33" t="s">
        <v>14</v>
      </c>
      <c r="K11" s="33" t="s">
        <v>14</v>
      </c>
      <c r="L11" s="33" t="s">
        <v>14</v>
      </c>
      <c r="M11" s="94" t="s">
        <v>222</v>
      </c>
      <c r="N11" s="33">
        <v>2025</v>
      </c>
    </row>
    <row r="12" spans="1:14">
      <c r="A12" s="33">
        <v>11</v>
      </c>
      <c r="B12" s="91" t="s">
        <v>54</v>
      </c>
      <c r="C12" s="11" t="s">
        <v>51</v>
      </c>
      <c r="D12" s="33" t="s">
        <v>19</v>
      </c>
      <c r="E12" s="33" t="s">
        <v>109</v>
      </c>
      <c r="F12" s="11"/>
      <c r="G12" s="11" t="s">
        <v>115</v>
      </c>
      <c r="H12" s="33" t="s">
        <v>109</v>
      </c>
      <c r="I12" s="38">
        <v>755.72897669573251</v>
      </c>
      <c r="J12" s="33" t="s">
        <v>14</v>
      </c>
      <c r="K12" s="33" t="s">
        <v>14</v>
      </c>
      <c r="L12" s="33" t="s">
        <v>14</v>
      </c>
      <c r="M12" s="94" t="s">
        <v>222</v>
      </c>
      <c r="N12" s="33">
        <v>2025</v>
      </c>
    </row>
    <row r="13" spans="1:14">
      <c r="A13" s="33">
        <v>12</v>
      </c>
      <c r="B13" s="91" t="s">
        <v>35</v>
      </c>
      <c r="C13" s="11" t="s">
        <v>284</v>
      </c>
      <c r="D13" s="33" t="s">
        <v>19</v>
      </c>
      <c r="E13" s="33" t="s">
        <v>109</v>
      </c>
      <c r="F13" s="11"/>
      <c r="G13" s="11" t="s">
        <v>115</v>
      </c>
      <c r="H13" s="33" t="s">
        <v>109</v>
      </c>
      <c r="I13" s="38">
        <v>1175.5784081933616</v>
      </c>
      <c r="J13" s="33" t="s">
        <v>14</v>
      </c>
      <c r="K13" s="33" t="s">
        <v>14</v>
      </c>
      <c r="L13" s="33" t="s">
        <v>14</v>
      </c>
      <c r="M13" s="94" t="s">
        <v>222</v>
      </c>
      <c r="N13" s="33">
        <v>2025</v>
      </c>
    </row>
    <row r="14" spans="1:14">
      <c r="A14" s="33">
        <v>13</v>
      </c>
      <c r="B14" s="91" t="s">
        <v>42</v>
      </c>
      <c r="C14" s="11" t="s">
        <v>70</v>
      </c>
      <c r="D14" s="33" t="s">
        <v>19</v>
      </c>
      <c r="E14" s="33" t="s">
        <v>109</v>
      </c>
      <c r="F14" s="11"/>
      <c r="G14" s="11" t="s">
        <v>115</v>
      </c>
      <c r="H14" s="33" t="s">
        <v>109</v>
      </c>
      <c r="I14" s="38">
        <v>2141.2321006379088</v>
      </c>
      <c r="J14" s="33" t="s">
        <v>14</v>
      </c>
      <c r="K14" s="33" t="s">
        <v>14</v>
      </c>
      <c r="L14" s="33" t="s">
        <v>14</v>
      </c>
      <c r="M14" s="94" t="s">
        <v>222</v>
      </c>
      <c r="N14" s="33">
        <v>2025</v>
      </c>
    </row>
    <row r="15" spans="1:14">
      <c r="A15" s="33">
        <v>14</v>
      </c>
      <c r="B15" s="11" t="s">
        <v>42</v>
      </c>
      <c r="C15" s="11" t="s">
        <v>73</v>
      </c>
      <c r="D15" s="33" t="s">
        <v>19</v>
      </c>
      <c r="E15" s="33" t="s">
        <v>109</v>
      </c>
      <c r="F15" s="11"/>
      <c r="G15" s="11" t="s">
        <v>115</v>
      </c>
      <c r="H15" s="33" t="s">
        <v>109</v>
      </c>
      <c r="I15" s="38">
        <v>2435.1267026862492</v>
      </c>
      <c r="J15" s="33" t="s">
        <v>14</v>
      </c>
      <c r="K15" s="33" t="s">
        <v>14</v>
      </c>
      <c r="L15" s="33" t="s">
        <v>14</v>
      </c>
      <c r="M15" s="94" t="s">
        <v>222</v>
      </c>
      <c r="N15" s="33">
        <v>2025</v>
      </c>
    </row>
    <row r="16" spans="1:14">
      <c r="A16" s="33">
        <v>15</v>
      </c>
      <c r="B16" s="91" t="s">
        <v>35</v>
      </c>
      <c r="C16" s="11" t="s">
        <v>41</v>
      </c>
      <c r="D16" s="33" t="s">
        <v>19</v>
      </c>
      <c r="E16" s="33" t="s">
        <v>109</v>
      </c>
      <c r="F16" s="11"/>
      <c r="G16" s="11" t="s">
        <v>115</v>
      </c>
      <c r="H16" s="33" t="s">
        <v>109</v>
      </c>
      <c r="I16" s="38">
        <v>3484.7502814303225</v>
      </c>
      <c r="J16" s="33" t="s">
        <v>14</v>
      </c>
      <c r="K16" s="33" t="s">
        <v>14</v>
      </c>
      <c r="L16" s="33" t="s">
        <v>14</v>
      </c>
      <c r="M16" s="94" t="s">
        <v>222</v>
      </c>
      <c r="N16" s="33">
        <v>2025</v>
      </c>
    </row>
    <row r="17" spans="1:14">
      <c r="A17" s="33">
        <v>16</v>
      </c>
      <c r="B17" s="11" t="s">
        <v>27</v>
      </c>
      <c r="C17" s="11" t="s">
        <v>28</v>
      </c>
      <c r="D17" s="33" t="s">
        <v>19</v>
      </c>
      <c r="E17" s="33" t="s">
        <v>109</v>
      </c>
      <c r="F17" s="11"/>
      <c r="G17" s="11" t="s">
        <v>115</v>
      </c>
      <c r="H17" s="33" t="s">
        <v>109</v>
      </c>
      <c r="I17" s="38">
        <v>4744.2985759232097</v>
      </c>
      <c r="J17" s="33" t="s">
        <v>14</v>
      </c>
      <c r="K17" s="33" t="s">
        <v>14</v>
      </c>
      <c r="L17" s="33" t="s">
        <v>14</v>
      </c>
      <c r="M17" s="94" t="s">
        <v>222</v>
      </c>
      <c r="N17" s="33">
        <v>2025</v>
      </c>
    </row>
    <row r="18" spans="1:14">
      <c r="A18" s="33">
        <v>17</v>
      </c>
      <c r="B18" s="91" t="s">
        <v>17</v>
      </c>
      <c r="C18" s="11" t="s">
        <v>22</v>
      </c>
      <c r="D18" s="33" t="s">
        <v>19</v>
      </c>
      <c r="E18" s="33" t="s">
        <v>109</v>
      </c>
      <c r="F18" s="11"/>
      <c r="G18" s="11" t="s">
        <v>115</v>
      </c>
      <c r="H18" s="33" t="s">
        <v>109</v>
      </c>
      <c r="I18" s="38">
        <v>5206.1329505706017</v>
      </c>
      <c r="J18" s="33" t="s">
        <v>14</v>
      </c>
      <c r="K18" s="33" t="s">
        <v>14</v>
      </c>
      <c r="L18" s="33" t="s">
        <v>14</v>
      </c>
      <c r="M18" s="94" t="s">
        <v>222</v>
      </c>
      <c r="N18" s="33">
        <v>2025</v>
      </c>
    </row>
    <row r="19" spans="1:14">
      <c r="A19" s="33">
        <v>18</v>
      </c>
      <c r="B19" s="91" t="s">
        <v>17</v>
      </c>
      <c r="C19" s="11" t="s">
        <v>23</v>
      </c>
      <c r="D19" s="33" t="s">
        <v>19</v>
      </c>
      <c r="E19" s="33" t="s">
        <v>109</v>
      </c>
      <c r="F19" s="11"/>
      <c r="G19" s="11" t="s">
        <v>115</v>
      </c>
      <c r="H19" s="33" t="s">
        <v>109</v>
      </c>
      <c r="I19" s="38">
        <v>6633.6210176625409</v>
      </c>
      <c r="J19" s="33" t="s">
        <v>14</v>
      </c>
      <c r="K19" s="33" t="s">
        <v>14</v>
      </c>
      <c r="L19" s="33" t="s">
        <v>14</v>
      </c>
      <c r="M19" s="94" t="s">
        <v>222</v>
      </c>
      <c r="N19" s="33">
        <v>2025</v>
      </c>
    </row>
    <row r="20" spans="1:14">
      <c r="A20" s="33">
        <v>19</v>
      </c>
      <c r="B20" s="91" t="s">
        <v>17</v>
      </c>
      <c r="C20" s="11" t="s">
        <v>88</v>
      </c>
      <c r="D20" s="33" t="s">
        <v>19</v>
      </c>
      <c r="E20" s="33" t="s">
        <v>109</v>
      </c>
      <c r="F20" s="11"/>
      <c r="G20" s="11" t="s">
        <v>115</v>
      </c>
      <c r="H20" s="33" t="s">
        <v>109</v>
      </c>
      <c r="I20" s="38">
        <v>6717.5909039620674</v>
      </c>
      <c r="J20" s="33" t="s">
        <v>14</v>
      </c>
      <c r="K20" s="33" t="s">
        <v>14</v>
      </c>
      <c r="L20" s="33" t="s">
        <v>14</v>
      </c>
      <c r="M20" s="94" t="s">
        <v>222</v>
      </c>
      <c r="N20" s="33">
        <v>2025</v>
      </c>
    </row>
    <row r="21" spans="1:14">
      <c r="A21" s="33">
        <v>20</v>
      </c>
      <c r="B21" s="11" t="s">
        <v>42</v>
      </c>
      <c r="C21" s="11" t="s">
        <v>46</v>
      </c>
      <c r="D21" s="33" t="s">
        <v>19</v>
      </c>
      <c r="E21" s="33" t="s">
        <v>109</v>
      </c>
      <c r="F21" s="11"/>
      <c r="G21" s="11" t="s">
        <v>115</v>
      </c>
      <c r="H21" s="33" t="s">
        <v>109</v>
      </c>
      <c r="I21" s="38">
        <v>10244.32612854215</v>
      </c>
      <c r="J21" s="33" t="s">
        <v>14</v>
      </c>
      <c r="K21" s="33" t="s">
        <v>14</v>
      </c>
      <c r="L21" s="33" t="s">
        <v>14</v>
      </c>
      <c r="M21" s="94" t="s">
        <v>222</v>
      </c>
      <c r="N21" s="33">
        <v>2025</v>
      </c>
    </row>
    <row r="22" spans="1:14">
      <c r="A22" s="33">
        <v>21</v>
      </c>
      <c r="B22" s="91" t="s">
        <v>42</v>
      </c>
      <c r="C22" s="11" t="s">
        <v>44</v>
      </c>
      <c r="D22" s="33" t="s">
        <v>19</v>
      </c>
      <c r="E22" s="33" t="s">
        <v>109</v>
      </c>
      <c r="F22" s="11"/>
      <c r="G22" s="11" t="s">
        <v>115</v>
      </c>
      <c r="H22" s="33" t="s">
        <v>109</v>
      </c>
      <c r="I22" s="38">
        <v>18179.480383847342</v>
      </c>
      <c r="J22" s="33" t="s">
        <v>14</v>
      </c>
      <c r="K22" s="33" t="s">
        <v>14</v>
      </c>
      <c r="L22" s="33" t="s">
        <v>14</v>
      </c>
      <c r="M22" s="94" t="s">
        <v>222</v>
      </c>
      <c r="N22" s="33">
        <v>2025</v>
      </c>
    </row>
    <row r="23" spans="1:14">
      <c r="A23" s="33">
        <v>22</v>
      </c>
      <c r="B23" s="11" t="s">
        <v>42</v>
      </c>
      <c r="C23" s="11" t="s">
        <v>49</v>
      </c>
      <c r="D23" s="33" t="s">
        <v>19</v>
      </c>
      <c r="E23" s="33" t="s">
        <v>109</v>
      </c>
      <c r="F23" s="11"/>
      <c r="G23" s="11" t="s">
        <v>115</v>
      </c>
      <c r="H23" s="33" t="s">
        <v>109</v>
      </c>
      <c r="I23" s="38">
        <v>21244.381233780037</v>
      </c>
      <c r="J23" s="33" t="s">
        <v>14</v>
      </c>
      <c r="K23" s="33" t="s">
        <v>14</v>
      </c>
      <c r="L23" s="33" t="s">
        <v>14</v>
      </c>
      <c r="M23" s="94" t="s">
        <v>222</v>
      </c>
      <c r="N23" s="33">
        <v>2025</v>
      </c>
    </row>
    <row r="24" spans="1:14">
      <c r="A24" s="33">
        <v>23</v>
      </c>
      <c r="B24" s="91" t="s">
        <v>33</v>
      </c>
      <c r="C24" s="11" t="s">
        <v>34</v>
      </c>
      <c r="D24" s="33" t="s">
        <v>19</v>
      </c>
      <c r="E24" s="33" t="s">
        <v>109</v>
      </c>
      <c r="F24" s="11"/>
      <c r="G24" s="11" t="s">
        <v>115</v>
      </c>
      <c r="H24" s="33" t="s">
        <v>109</v>
      </c>
      <c r="I24" s="38">
        <v>30649.008499326927</v>
      </c>
      <c r="J24" s="33" t="s">
        <v>14</v>
      </c>
      <c r="K24" s="33" t="s">
        <v>14</v>
      </c>
      <c r="L24" s="33" t="s">
        <v>14</v>
      </c>
      <c r="M24" s="94" t="s">
        <v>222</v>
      </c>
      <c r="N24" s="33">
        <v>2025</v>
      </c>
    </row>
    <row r="25" spans="1:14">
      <c r="A25" s="33">
        <v>24</v>
      </c>
      <c r="B25" s="91" t="s">
        <v>35</v>
      </c>
      <c r="C25" s="11" t="s">
        <v>36</v>
      </c>
      <c r="D25" s="33" t="s">
        <v>19</v>
      </c>
      <c r="E25" s="33" t="s">
        <v>109</v>
      </c>
      <c r="F25" s="11"/>
      <c r="G25" s="11" t="s">
        <v>115</v>
      </c>
      <c r="H25" s="33" t="s">
        <v>109</v>
      </c>
      <c r="I25" s="38">
        <v>36778.81019919231</v>
      </c>
      <c r="J25" s="33" t="s">
        <v>14</v>
      </c>
      <c r="K25" s="33" t="s">
        <v>14</v>
      </c>
      <c r="L25" s="33" t="s">
        <v>14</v>
      </c>
      <c r="M25" s="94" t="s">
        <v>222</v>
      </c>
      <c r="N25" s="33">
        <v>2025</v>
      </c>
    </row>
    <row r="26" spans="1:14">
      <c r="A26" s="33">
        <v>25</v>
      </c>
      <c r="B26" s="91" t="s">
        <v>42</v>
      </c>
      <c r="C26" s="11" t="s">
        <v>47</v>
      </c>
      <c r="D26" s="33" t="s">
        <v>19</v>
      </c>
      <c r="E26" s="33" t="s">
        <v>109</v>
      </c>
      <c r="F26" s="11"/>
      <c r="G26" s="11" t="s">
        <v>115</v>
      </c>
      <c r="H26" s="33" t="s">
        <v>109</v>
      </c>
      <c r="I26" s="38">
        <v>39465.846560777143</v>
      </c>
      <c r="J26" s="33" t="s">
        <v>14</v>
      </c>
      <c r="K26" s="33" t="s">
        <v>14</v>
      </c>
      <c r="L26" s="33" t="s">
        <v>14</v>
      </c>
      <c r="M26" s="94" t="s">
        <v>222</v>
      </c>
      <c r="N26" s="33">
        <v>2025</v>
      </c>
    </row>
    <row r="27" spans="1:14">
      <c r="A27" s="33">
        <v>26</v>
      </c>
      <c r="B27" s="91" t="s">
        <v>42</v>
      </c>
      <c r="C27" s="11" t="s">
        <v>48</v>
      </c>
      <c r="D27" s="33" t="s">
        <v>19</v>
      </c>
      <c r="E27" s="33" t="s">
        <v>109</v>
      </c>
      <c r="F27" s="11"/>
      <c r="G27" s="11" t="s">
        <v>115</v>
      </c>
      <c r="H27" s="33" t="s">
        <v>109</v>
      </c>
      <c r="I27" s="38">
        <v>67595.758471118301</v>
      </c>
      <c r="J27" s="33" t="s">
        <v>14</v>
      </c>
      <c r="K27" s="33" t="s">
        <v>14</v>
      </c>
      <c r="L27" s="33" t="s">
        <v>14</v>
      </c>
      <c r="M27" s="94" t="s">
        <v>222</v>
      </c>
      <c r="N27" s="33">
        <v>2025</v>
      </c>
    </row>
    <row r="28" spans="1:14">
      <c r="A28" s="33">
        <v>27</v>
      </c>
      <c r="B28" s="91" t="s">
        <v>35</v>
      </c>
      <c r="C28" s="11" t="s">
        <v>37</v>
      </c>
      <c r="D28" s="33" t="s">
        <v>19</v>
      </c>
      <c r="E28" s="33" t="s">
        <v>109</v>
      </c>
      <c r="F28" s="11"/>
      <c r="G28" s="11" t="s">
        <v>115</v>
      </c>
      <c r="H28" s="33" t="s">
        <v>109</v>
      </c>
      <c r="I28" s="38">
        <v>138214.4328490195</v>
      </c>
      <c r="J28" s="33" t="s">
        <v>14</v>
      </c>
      <c r="K28" s="33" t="s">
        <v>14</v>
      </c>
      <c r="L28" s="33" t="s">
        <v>14</v>
      </c>
      <c r="M28" s="94" t="s">
        <v>222</v>
      </c>
      <c r="N28" s="33">
        <v>2025</v>
      </c>
    </row>
    <row r="29" spans="1:14">
      <c r="A29" s="33">
        <v>28</v>
      </c>
      <c r="B29" s="11" t="s">
        <v>42</v>
      </c>
      <c r="C29" s="11" t="s">
        <v>43</v>
      </c>
      <c r="D29" s="33" t="s">
        <v>19</v>
      </c>
      <c r="E29" s="33" t="s">
        <v>109</v>
      </c>
      <c r="F29" s="11"/>
      <c r="G29" s="11" t="s">
        <v>115</v>
      </c>
      <c r="H29" s="33" t="s">
        <v>109</v>
      </c>
      <c r="I29" s="38">
        <v>155092.37999522424</v>
      </c>
      <c r="J29" s="33" t="s">
        <v>14</v>
      </c>
      <c r="K29" s="33" t="s">
        <v>14</v>
      </c>
      <c r="L29" s="33" t="s">
        <v>14</v>
      </c>
      <c r="M29" s="94" t="s">
        <v>222</v>
      </c>
      <c r="N29" s="33">
        <v>2025</v>
      </c>
    </row>
    <row r="30" spans="1:14">
      <c r="A30" s="33">
        <v>29</v>
      </c>
      <c r="B30" s="11" t="s">
        <v>42</v>
      </c>
      <c r="C30" s="11" t="s">
        <v>45</v>
      </c>
      <c r="D30" s="33" t="s">
        <v>60</v>
      </c>
      <c r="E30" s="33" t="s">
        <v>109</v>
      </c>
      <c r="F30" s="11"/>
      <c r="G30" s="11" t="s">
        <v>93</v>
      </c>
      <c r="H30" s="33" t="s">
        <v>110</v>
      </c>
      <c r="I30" s="38">
        <f>3800000/1450</f>
        <v>2620.6896551724139</v>
      </c>
      <c r="J30" s="33" t="s">
        <v>668</v>
      </c>
      <c r="K30" s="65">
        <v>46022</v>
      </c>
      <c r="L30" s="33" t="s">
        <v>14</v>
      </c>
      <c r="M30" s="94" t="s">
        <v>222</v>
      </c>
      <c r="N30" s="33">
        <v>2025</v>
      </c>
    </row>
    <row r="1048501" spans="8:8">
      <c r="H1048501" s="11"/>
    </row>
  </sheetData>
  <autoFilter ref="A1:N1" xr:uid="{00000000-0001-0000-0D00-000000000000}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4" tint="0.59999389629810485"/>
  </sheetPr>
  <dimension ref="A1:N661"/>
  <sheetViews>
    <sheetView topLeftCell="D1" workbookViewId="0">
      <selection activeCell="B2" sqref="B2:N3"/>
    </sheetView>
  </sheetViews>
  <sheetFormatPr defaultColWidth="9" defaultRowHeight="14.5"/>
  <cols>
    <col min="1" max="1" width="5.36328125" customWidth="1"/>
    <col min="2" max="2" width="9.36328125" customWidth="1"/>
    <col min="3" max="3" width="9.453125" customWidth="1"/>
    <col min="4" max="4" width="8.90625" customWidth="1"/>
    <col min="5" max="5" width="29" customWidth="1"/>
    <col min="6" max="6" width="10.08984375" customWidth="1"/>
    <col min="7" max="7" width="28.6328125" customWidth="1"/>
    <col min="8" max="8" width="23.54296875" bestFit="1" customWidth="1"/>
    <col min="9" max="9" width="15.453125" style="8" customWidth="1"/>
    <col min="10" max="10" width="10.08984375" customWidth="1"/>
    <col min="11" max="11" width="11.08984375" customWidth="1"/>
    <col min="12" max="12" width="10.81640625" customWidth="1"/>
    <col min="13" max="13" width="6.453125" customWidth="1"/>
    <col min="14" max="14" width="4.81640625" customWidth="1"/>
  </cols>
  <sheetData>
    <row r="1" spans="1:14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16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</row>
    <row r="2" spans="1:14">
      <c r="A2" s="4">
        <v>2</v>
      </c>
      <c r="B2" s="34" t="s">
        <v>52</v>
      </c>
      <c r="C2" s="34" t="s">
        <v>62</v>
      </c>
      <c r="D2" s="4" t="s">
        <v>19</v>
      </c>
      <c r="E2" s="4" t="s">
        <v>113</v>
      </c>
      <c r="F2" s="4"/>
      <c r="G2" s="4" t="s">
        <v>244</v>
      </c>
      <c r="H2" s="4" t="s">
        <v>114</v>
      </c>
      <c r="I2" s="8">
        <v>627802.34</v>
      </c>
      <c r="J2" s="4" t="s">
        <v>14</v>
      </c>
      <c r="K2" s="4" t="s">
        <v>14</v>
      </c>
      <c r="L2" s="4" t="s">
        <v>14</v>
      </c>
      <c r="M2" s="108" t="s">
        <v>222</v>
      </c>
      <c r="N2" s="4">
        <v>2025</v>
      </c>
    </row>
    <row r="3" spans="1:14">
      <c r="A3" s="4">
        <v>3</v>
      </c>
      <c r="B3" s="4" t="s">
        <v>42</v>
      </c>
      <c r="C3" s="4" t="s">
        <v>45</v>
      </c>
      <c r="D3" s="4" t="s">
        <v>60</v>
      </c>
      <c r="E3" s="4" t="s">
        <v>113</v>
      </c>
      <c r="F3" s="4"/>
      <c r="G3" s="4" t="s">
        <v>244</v>
      </c>
      <c r="H3" s="4" t="s">
        <v>114</v>
      </c>
      <c r="I3" s="8">
        <v>160500</v>
      </c>
      <c r="J3" s="107" t="s">
        <v>757</v>
      </c>
      <c r="K3" s="15">
        <v>46016</v>
      </c>
      <c r="L3" s="4">
        <v>2026400118</v>
      </c>
      <c r="M3" s="107" t="s">
        <v>222</v>
      </c>
      <c r="N3" s="4">
        <v>2025</v>
      </c>
    </row>
    <row r="6" spans="1:14">
      <c r="A6" s="4"/>
      <c r="B6" s="4"/>
      <c r="C6" s="4"/>
      <c r="D6" s="4"/>
      <c r="E6" s="4"/>
      <c r="F6" s="4"/>
      <c r="G6" s="4"/>
      <c r="H6" s="4"/>
      <c r="J6" s="4"/>
      <c r="K6" s="4"/>
      <c r="L6" s="4"/>
      <c r="M6" s="4"/>
      <c r="N6" s="4"/>
    </row>
    <row r="7" spans="1:14">
      <c r="A7" s="4"/>
      <c r="B7" s="4"/>
      <c r="C7" s="4"/>
      <c r="D7" s="4"/>
      <c r="E7" s="4"/>
      <c r="F7" s="4"/>
      <c r="G7" s="4"/>
      <c r="H7" s="4"/>
      <c r="J7" s="4"/>
      <c r="K7" s="4"/>
      <c r="L7" s="4"/>
      <c r="M7" s="4"/>
      <c r="N7" s="4"/>
    </row>
    <row r="8" spans="1:14">
      <c r="A8" s="4"/>
      <c r="B8" s="4"/>
      <c r="C8" s="4"/>
      <c r="D8" s="4"/>
      <c r="E8" s="4"/>
      <c r="F8" s="4"/>
      <c r="G8" s="4"/>
      <c r="H8" s="4"/>
      <c r="J8" s="4"/>
      <c r="K8" s="4"/>
      <c r="L8" s="4"/>
      <c r="M8" s="4"/>
      <c r="N8" s="4"/>
    </row>
    <row r="9" spans="1:14">
      <c r="A9" s="4"/>
      <c r="B9" s="4"/>
      <c r="C9" s="4"/>
      <c r="D9" s="4"/>
      <c r="E9" s="4"/>
      <c r="F9" s="4"/>
      <c r="G9" s="4"/>
      <c r="H9" s="4"/>
      <c r="J9" s="4"/>
      <c r="K9" s="4"/>
      <c r="L9" s="4"/>
      <c r="M9" s="4"/>
      <c r="N9" s="4"/>
    </row>
    <row r="10" spans="1:14">
      <c r="A10" s="4"/>
      <c r="B10" s="4"/>
      <c r="C10" s="4"/>
      <c r="D10" s="4"/>
      <c r="E10" s="4"/>
      <c r="F10" s="4"/>
      <c r="G10" s="4"/>
      <c r="H10" s="4"/>
      <c r="J10" s="4"/>
      <c r="K10" s="4"/>
      <c r="L10" s="4"/>
      <c r="M10" s="4"/>
      <c r="N10" s="4"/>
    </row>
    <row r="11" spans="1:14">
      <c r="A11" s="4"/>
      <c r="B11" s="4"/>
      <c r="C11" s="4"/>
      <c r="D11" s="4"/>
      <c r="E11" s="4"/>
      <c r="F11" s="4"/>
      <c r="G11" s="4"/>
      <c r="H11" s="4"/>
      <c r="J11" s="4"/>
      <c r="K11" s="4"/>
      <c r="L11" s="4"/>
      <c r="M11" s="4"/>
      <c r="N11" s="4"/>
    </row>
    <row r="12" spans="1:14">
      <c r="A12" s="4"/>
      <c r="B12" s="4"/>
      <c r="C12" s="4"/>
      <c r="D12" s="4"/>
      <c r="E12" s="4"/>
      <c r="F12" s="4"/>
      <c r="G12" s="4"/>
      <c r="H12" s="4"/>
      <c r="J12" s="4"/>
      <c r="K12" s="4"/>
      <c r="L12" s="4"/>
      <c r="M12" s="4"/>
      <c r="N12" s="4"/>
    </row>
    <row r="13" spans="1:14">
      <c r="A13" s="4"/>
      <c r="B13" s="4"/>
      <c r="C13" s="4"/>
      <c r="D13" s="4"/>
      <c r="E13" s="4"/>
      <c r="F13" s="4"/>
      <c r="G13" s="4"/>
      <c r="H13" s="4"/>
      <c r="J13" s="4"/>
      <c r="K13" s="4"/>
      <c r="L13" s="4"/>
      <c r="M13" s="4"/>
      <c r="N13" s="4"/>
    </row>
    <row r="14" spans="1:14">
      <c r="A14" s="4"/>
      <c r="B14" s="4"/>
      <c r="C14" s="4"/>
      <c r="D14" s="4"/>
      <c r="E14" s="4"/>
      <c r="F14" s="4"/>
      <c r="G14" s="4"/>
      <c r="H14" s="4"/>
      <c r="J14" s="4"/>
      <c r="K14" s="4"/>
      <c r="L14" s="4"/>
      <c r="M14" s="4"/>
      <c r="N14" s="4"/>
    </row>
    <row r="15" spans="1:14">
      <c r="A15" s="4"/>
      <c r="B15" s="4"/>
      <c r="C15" s="4"/>
      <c r="D15" s="4"/>
      <c r="E15" s="4"/>
      <c r="F15" s="4"/>
      <c r="G15" s="4"/>
      <c r="H15" s="4"/>
      <c r="J15" s="4"/>
      <c r="K15" s="4"/>
      <c r="L15" s="4"/>
      <c r="M15" s="4"/>
      <c r="N15" s="4"/>
    </row>
    <row r="16" spans="1:14">
      <c r="A16" s="4"/>
      <c r="B16" s="4"/>
      <c r="C16" s="4"/>
      <c r="D16" s="4"/>
      <c r="E16" s="4"/>
      <c r="F16" s="4"/>
      <c r="G16" s="4"/>
      <c r="H16" s="4"/>
      <c r="J16" s="4"/>
      <c r="K16" s="4"/>
      <c r="L16" s="4"/>
      <c r="M16" s="4"/>
      <c r="N16" s="4"/>
    </row>
    <row r="17" spans="1:14">
      <c r="A17" s="4"/>
      <c r="B17" s="4"/>
      <c r="C17" s="4"/>
      <c r="D17" s="4"/>
      <c r="E17" s="4"/>
      <c r="F17" s="4"/>
      <c r="G17" s="4"/>
      <c r="H17" s="4"/>
      <c r="J17" s="4"/>
      <c r="K17" s="4"/>
      <c r="L17" s="4"/>
      <c r="M17" s="4"/>
      <c r="N17" s="4"/>
    </row>
    <row r="18" spans="1:14">
      <c r="A18" s="4"/>
      <c r="B18" s="4"/>
      <c r="C18" s="4"/>
      <c r="D18" s="4"/>
      <c r="E18" s="4"/>
      <c r="F18" s="4"/>
      <c r="G18" s="4"/>
      <c r="H18" s="4"/>
      <c r="J18" s="4"/>
      <c r="K18" s="4"/>
      <c r="L18" s="4"/>
      <c r="M18" s="4"/>
      <c r="N18" s="4"/>
    </row>
    <row r="19" spans="1:14">
      <c r="A19" s="4"/>
      <c r="B19" s="4"/>
      <c r="C19" s="4"/>
      <c r="D19" s="4"/>
      <c r="E19" s="4"/>
      <c r="F19" s="4"/>
      <c r="G19" s="4"/>
      <c r="H19" s="4"/>
      <c r="J19" s="4"/>
      <c r="K19" s="4"/>
      <c r="L19" s="4"/>
      <c r="M19" s="4"/>
      <c r="N19" s="4"/>
    </row>
    <row r="20" spans="1:14">
      <c r="A20" s="4"/>
      <c r="B20" s="4"/>
      <c r="C20" s="4"/>
      <c r="D20" s="4"/>
      <c r="E20" s="4"/>
      <c r="F20" s="4"/>
      <c r="G20" s="4"/>
      <c r="H20" s="4"/>
      <c r="J20" s="4"/>
      <c r="K20" s="4"/>
      <c r="L20" s="4"/>
      <c r="M20" s="4"/>
      <c r="N20" s="4"/>
    </row>
    <row r="21" spans="1:14">
      <c r="A21" s="4"/>
      <c r="B21" s="4"/>
      <c r="C21" s="4"/>
      <c r="D21" s="4"/>
      <c r="E21" s="4"/>
      <c r="F21" s="4"/>
      <c r="G21" s="4"/>
      <c r="H21" s="4"/>
      <c r="J21" s="4"/>
      <c r="K21" s="4"/>
      <c r="L21" s="4"/>
      <c r="M21" s="4"/>
      <c r="N21" s="4"/>
    </row>
    <row r="22" spans="1:14">
      <c r="A22" s="4"/>
      <c r="B22" s="4"/>
      <c r="C22" s="4"/>
      <c r="D22" s="4"/>
      <c r="E22" s="4"/>
      <c r="F22" s="4"/>
      <c r="G22" s="4"/>
      <c r="H22" s="4"/>
      <c r="J22" s="4"/>
      <c r="K22" s="4"/>
      <c r="L22" s="4"/>
      <c r="M22" s="4"/>
      <c r="N22" s="4"/>
    </row>
    <row r="23" spans="1:14">
      <c r="A23" s="4"/>
      <c r="B23" s="4"/>
      <c r="C23" s="4"/>
      <c r="D23" s="4"/>
      <c r="E23" s="4"/>
      <c r="F23" s="4"/>
      <c r="G23" s="4"/>
      <c r="H23" s="4"/>
      <c r="J23" s="4"/>
      <c r="K23" s="4"/>
      <c r="L23" s="4"/>
      <c r="M23" s="4"/>
      <c r="N23" s="4"/>
    </row>
    <row r="24" spans="1:14">
      <c r="A24" s="4"/>
      <c r="B24" s="4"/>
      <c r="C24" s="4"/>
      <c r="D24" s="4"/>
      <c r="E24" s="4"/>
      <c r="F24" s="4"/>
      <c r="G24" s="4"/>
      <c r="H24" s="4"/>
      <c r="J24" s="4"/>
      <c r="K24" s="4"/>
      <c r="L24" s="4"/>
      <c r="M24" s="4"/>
      <c r="N24" s="4"/>
    </row>
    <row r="25" spans="1:14">
      <c r="A25" s="4"/>
      <c r="B25" s="4"/>
      <c r="C25" s="4"/>
      <c r="D25" s="4"/>
      <c r="E25" s="4"/>
      <c r="F25" s="4"/>
      <c r="G25" s="4"/>
      <c r="H25" s="4"/>
      <c r="J25" s="4"/>
      <c r="K25" s="4"/>
      <c r="L25" s="4"/>
      <c r="M25" s="4"/>
      <c r="N25" s="4"/>
    </row>
    <row r="26" spans="1:14">
      <c r="A26" s="4"/>
      <c r="B26" s="4"/>
      <c r="C26" s="4"/>
      <c r="D26" s="4"/>
      <c r="E26" s="4"/>
      <c r="F26" s="4"/>
      <c r="G26" s="4"/>
      <c r="H26" s="4"/>
      <c r="J26" s="4"/>
      <c r="K26" s="4"/>
      <c r="L26" s="4"/>
      <c r="M26" s="4"/>
      <c r="N26" s="4"/>
    </row>
    <row r="27" spans="1:14">
      <c r="A27" s="4"/>
      <c r="B27" s="4"/>
      <c r="C27" s="4"/>
      <c r="D27" s="4"/>
      <c r="E27" s="4"/>
      <c r="F27" s="4"/>
      <c r="G27" s="4"/>
      <c r="H27" s="4"/>
      <c r="J27" s="4"/>
      <c r="K27" s="4"/>
      <c r="L27" s="4"/>
      <c r="M27" s="4"/>
      <c r="N27" s="4"/>
    </row>
    <row r="28" spans="1:14">
      <c r="A28" s="4"/>
      <c r="B28" s="4"/>
      <c r="C28" s="4"/>
      <c r="D28" s="4"/>
      <c r="E28" s="4"/>
      <c r="F28" s="4"/>
      <c r="G28" s="4"/>
      <c r="H28" s="4"/>
      <c r="J28" s="4"/>
      <c r="K28" s="4"/>
      <c r="L28" s="4"/>
      <c r="M28" s="4"/>
      <c r="N28" s="4"/>
    </row>
    <row r="29" spans="1:14">
      <c r="A29" s="4"/>
      <c r="B29" s="4"/>
      <c r="C29" s="4"/>
      <c r="D29" s="4"/>
      <c r="E29" s="4"/>
      <c r="F29" s="4"/>
      <c r="G29" s="4"/>
      <c r="H29" s="4"/>
      <c r="J29" s="4"/>
      <c r="K29" s="4"/>
      <c r="L29" s="4"/>
      <c r="M29" s="4"/>
      <c r="N29" s="4"/>
    </row>
    <row r="30" spans="1:14">
      <c r="A30" s="4"/>
      <c r="B30" s="4"/>
      <c r="C30" s="4"/>
      <c r="D30" s="4"/>
      <c r="E30" s="4"/>
      <c r="F30" s="4"/>
      <c r="G30" s="4"/>
      <c r="H30" s="4"/>
      <c r="J30" s="4"/>
      <c r="K30" s="4"/>
      <c r="L30" s="4"/>
      <c r="M30" s="4"/>
      <c r="N30" s="4"/>
    </row>
    <row r="31" spans="1:14">
      <c r="A31" s="4"/>
      <c r="B31" s="4"/>
      <c r="C31" s="4"/>
      <c r="D31" s="4"/>
      <c r="E31" s="4"/>
      <c r="F31" s="4"/>
      <c r="G31" s="4"/>
      <c r="H31" s="4"/>
      <c r="J31" s="4"/>
      <c r="K31" s="4"/>
      <c r="L31" s="4"/>
      <c r="M31" s="4"/>
      <c r="N31" s="4"/>
    </row>
    <row r="32" spans="1:14">
      <c r="A32" s="4"/>
      <c r="B32" s="4"/>
      <c r="C32" s="4"/>
      <c r="D32" s="4"/>
      <c r="E32" s="4"/>
      <c r="F32" s="4"/>
      <c r="G32" s="4"/>
      <c r="H32" s="4"/>
      <c r="J32" s="4"/>
      <c r="K32" s="4"/>
      <c r="L32" s="4"/>
      <c r="M32" s="4"/>
      <c r="N32" s="4"/>
    </row>
    <row r="33" spans="1:14">
      <c r="A33" s="4"/>
      <c r="B33" s="4"/>
      <c r="C33" s="4"/>
      <c r="D33" s="4"/>
      <c r="E33" s="4"/>
      <c r="F33" s="4"/>
      <c r="G33" s="4"/>
      <c r="H33" s="4"/>
      <c r="J33" s="4"/>
      <c r="K33" s="4"/>
      <c r="L33" s="4"/>
      <c r="M33" s="4"/>
      <c r="N33" s="4"/>
    </row>
    <row r="34" spans="1:14">
      <c r="A34" s="4"/>
      <c r="B34" s="4"/>
      <c r="C34" s="4"/>
      <c r="D34" s="4"/>
      <c r="E34" s="4"/>
      <c r="F34" s="4"/>
      <c r="G34" s="4"/>
      <c r="H34" s="4"/>
      <c r="J34" s="4"/>
      <c r="K34" s="4"/>
      <c r="L34" s="4"/>
      <c r="M34" s="4"/>
      <c r="N34" s="4"/>
    </row>
    <row r="35" spans="1:14">
      <c r="A35" s="4"/>
      <c r="B35" s="4"/>
      <c r="C35" s="4"/>
      <c r="D35" s="4"/>
      <c r="E35" s="4"/>
      <c r="F35" s="4"/>
      <c r="G35" s="4"/>
      <c r="H35" s="4"/>
      <c r="J35" s="4"/>
      <c r="K35" s="4"/>
      <c r="L35" s="4"/>
      <c r="M35" s="4"/>
      <c r="N35" s="4"/>
    </row>
    <row r="36" spans="1:14">
      <c r="A36" s="4"/>
      <c r="B36" s="4"/>
      <c r="C36" s="4"/>
      <c r="D36" s="4"/>
      <c r="E36" s="4"/>
      <c r="F36" s="4"/>
      <c r="G36" s="4"/>
      <c r="H36" s="4"/>
      <c r="J36" s="4"/>
      <c r="K36" s="4"/>
      <c r="L36" s="4"/>
      <c r="M36" s="4"/>
      <c r="N36" s="4"/>
    </row>
    <row r="37" spans="1:14">
      <c r="A37" s="4"/>
      <c r="B37" s="4"/>
      <c r="C37" s="4"/>
      <c r="D37" s="4"/>
      <c r="E37" s="4"/>
      <c r="F37" s="4"/>
      <c r="G37" s="4"/>
      <c r="H37" s="4"/>
      <c r="J37" s="4"/>
      <c r="K37" s="4"/>
      <c r="L37" s="4"/>
      <c r="M37" s="4"/>
      <c r="N37" s="4"/>
    </row>
    <row r="38" spans="1:14">
      <c r="A38" s="4"/>
      <c r="B38" s="4"/>
      <c r="C38" s="4"/>
      <c r="D38" s="4"/>
      <c r="E38" s="4"/>
      <c r="F38" s="4"/>
      <c r="G38" s="4"/>
      <c r="H38" s="4"/>
      <c r="J38" s="4"/>
      <c r="K38" s="4"/>
      <c r="L38" s="4"/>
      <c r="M38" s="4"/>
      <c r="N38" s="4"/>
    </row>
    <row r="39" spans="1:14">
      <c r="A39" s="4"/>
      <c r="B39" s="4"/>
      <c r="C39" s="4"/>
      <c r="D39" s="4"/>
      <c r="E39" s="4"/>
      <c r="F39" s="4"/>
      <c r="G39" s="4"/>
      <c r="H39" s="4"/>
      <c r="J39" s="4"/>
      <c r="K39" s="4"/>
      <c r="L39" s="4"/>
      <c r="M39" s="4"/>
      <c r="N39" s="4"/>
    </row>
    <row r="40" spans="1:14">
      <c r="A40" s="4"/>
      <c r="B40" s="4"/>
      <c r="C40" s="4"/>
      <c r="D40" s="4"/>
      <c r="E40" s="4"/>
      <c r="F40" s="4"/>
      <c r="G40" s="4"/>
      <c r="H40" s="4"/>
      <c r="J40" s="4"/>
      <c r="K40" s="4"/>
      <c r="L40" s="4"/>
      <c r="M40" s="4"/>
      <c r="N40" s="4"/>
    </row>
    <row r="41" spans="1:14">
      <c r="A41" s="4"/>
      <c r="B41" s="4"/>
      <c r="C41" s="4"/>
      <c r="D41" s="4"/>
      <c r="E41" s="4"/>
      <c r="F41" s="4"/>
      <c r="G41" s="4"/>
      <c r="H41" s="4"/>
      <c r="J41" s="4"/>
      <c r="K41" s="4"/>
      <c r="L41" s="4"/>
      <c r="M41" s="4"/>
      <c r="N41" s="4"/>
    </row>
    <row r="42" spans="1:14">
      <c r="A42" s="4"/>
      <c r="B42" s="4"/>
      <c r="C42" s="4"/>
      <c r="D42" s="4"/>
      <c r="E42" s="4"/>
      <c r="F42" s="4"/>
      <c r="G42" s="4"/>
      <c r="H42" s="4"/>
      <c r="J42" s="4"/>
      <c r="K42" s="4"/>
      <c r="L42" s="4"/>
      <c r="M42" s="4"/>
      <c r="N42" s="4"/>
    </row>
    <row r="43" spans="1:14">
      <c r="A43" s="4"/>
      <c r="B43" s="4"/>
      <c r="C43" s="4"/>
      <c r="D43" s="4"/>
      <c r="E43" s="4"/>
      <c r="F43" s="4"/>
      <c r="G43" s="4"/>
      <c r="H43" s="4"/>
      <c r="J43" s="4"/>
      <c r="K43" s="4"/>
      <c r="L43" s="4"/>
      <c r="M43" s="4"/>
      <c r="N43" s="4"/>
    </row>
    <row r="44" spans="1:14">
      <c r="A44" s="4"/>
      <c r="B44" s="4"/>
      <c r="C44" s="4"/>
      <c r="D44" s="4"/>
      <c r="E44" s="4"/>
      <c r="F44" s="4"/>
      <c r="G44" s="4"/>
      <c r="H44" s="4"/>
      <c r="J44" s="4"/>
      <c r="K44" s="4"/>
      <c r="L44" s="4"/>
      <c r="M44" s="4"/>
      <c r="N44" s="4"/>
    </row>
    <row r="45" spans="1:14">
      <c r="A45" s="4"/>
      <c r="B45" s="4"/>
      <c r="C45" s="4"/>
      <c r="D45" s="4"/>
      <c r="E45" s="4"/>
      <c r="F45" s="4"/>
      <c r="G45" s="4"/>
      <c r="H45" s="4"/>
      <c r="J45" s="4"/>
      <c r="K45" s="4"/>
      <c r="L45" s="4"/>
      <c r="M45" s="4"/>
      <c r="N45" s="4"/>
    </row>
    <row r="46" spans="1:14">
      <c r="A46" s="4"/>
      <c r="B46" s="4"/>
      <c r="C46" s="4"/>
      <c r="D46" s="4"/>
      <c r="E46" s="4"/>
      <c r="F46" s="4"/>
      <c r="G46" s="4"/>
      <c r="H46" s="4"/>
      <c r="J46" s="4"/>
      <c r="K46" s="4"/>
      <c r="L46" s="4"/>
      <c r="M46" s="4"/>
      <c r="N46" s="4"/>
    </row>
    <row r="47" spans="1:14">
      <c r="A47" s="4"/>
      <c r="B47" s="4"/>
      <c r="C47" s="4"/>
      <c r="D47" s="4"/>
      <c r="E47" s="4"/>
      <c r="F47" s="4"/>
      <c r="G47" s="4"/>
      <c r="H47" s="4"/>
      <c r="J47" s="4"/>
      <c r="K47" s="4"/>
      <c r="L47" s="4"/>
      <c r="M47" s="4"/>
      <c r="N47" s="4"/>
    </row>
    <row r="48" spans="1:14">
      <c r="A48" s="4"/>
      <c r="B48" s="4"/>
      <c r="C48" s="4"/>
      <c r="D48" s="4"/>
      <c r="E48" s="4"/>
      <c r="F48" s="4"/>
      <c r="G48" s="4"/>
      <c r="H48" s="4"/>
      <c r="J48" s="4"/>
      <c r="K48" s="4"/>
      <c r="L48" s="4"/>
      <c r="M48" s="4"/>
      <c r="N48" s="4"/>
    </row>
    <row r="49" spans="1:14">
      <c r="A49" s="4"/>
      <c r="B49" s="4"/>
      <c r="C49" s="4"/>
      <c r="D49" s="4"/>
      <c r="E49" s="4"/>
      <c r="F49" s="4"/>
      <c r="G49" s="4"/>
      <c r="H49" s="4"/>
      <c r="J49" s="4"/>
      <c r="K49" s="4"/>
      <c r="L49" s="4"/>
      <c r="M49" s="4"/>
      <c r="N49" s="4"/>
    </row>
    <row r="50" spans="1:14">
      <c r="A50" s="4"/>
      <c r="B50" s="4"/>
      <c r="C50" s="4"/>
      <c r="D50" s="4"/>
      <c r="E50" s="4"/>
      <c r="F50" s="4"/>
      <c r="G50" s="4"/>
      <c r="H50" s="4"/>
      <c r="J50" s="4"/>
      <c r="K50" s="4"/>
      <c r="L50" s="4"/>
      <c r="M50" s="4"/>
      <c r="N50" s="4"/>
    </row>
    <row r="51" spans="1:14">
      <c r="A51" s="4"/>
      <c r="B51" s="4"/>
      <c r="C51" s="4"/>
      <c r="D51" s="4"/>
      <c r="E51" s="4"/>
      <c r="F51" s="4"/>
      <c r="G51" s="4"/>
      <c r="H51" s="4"/>
      <c r="J51" s="4"/>
      <c r="K51" s="4"/>
      <c r="L51" s="4"/>
      <c r="M51" s="4"/>
      <c r="N51" s="4"/>
    </row>
    <row r="52" spans="1:14">
      <c r="A52" s="4"/>
      <c r="B52" s="4"/>
      <c r="C52" s="4"/>
      <c r="D52" s="4"/>
      <c r="E52" s="4"/>
      <c r="F52" s="4"/>
      <c r="G52" s="4"/>
      <c r="H52" s="4"/>
      <c r="J52" s="4"/>
      <c r="K52" s="4"/>
      <c r="L52" s="4"/>
      <c r="M52" s="4"/>
      <c r="N52" s="4"/>
    </row>
    <row r="53" spans="1:14">
      <c r="A53" s="4"/>
      <c r="B53" s="4"/>
      <c r="C53" s="4"/>
      <c r="D53" s="4"/>
      <c r="E53" s="4"/>
      <c r="F53" s="4"/>
      <c r="G53" s="4"/>
      <c r="H53" s="4"/>
      <c r="J53" s="4"/>
      <c r="K53" s="4"/>
      <c r="L53" s="4"/>
      <c r="M53" s="4"/>
      <c r="N53" s="4"/>
    </row>
    <row r="54" spans="1:14">
      <c r="A54" s="4"/>
      <c r="B54" s="4"/>
      <c r="C54" s="4"/>
      <c r="D54" s="4"/>
      <c r="E54" s="4"/>
      <c r="F54" s="4"/>
      <c r="G54" s="4"/>
      <c r="H54" s="4"/>
      <c r="J54" s="4"/>
      <c r="K54" s="4"/>
      <c r="L54" s="4"/>
      <c r="M54" s="4"/>
      <c r="N54" s="4"/>
    </row>
    <row r="55" spans="1:14">
      <c r="A55" s="4"/>
      <c r="B55" s="4"/>
      <c r="C55" s="4"/>
      <c r="D55" s="4"/>
      <c r="E55" s="4"/>
      <c r="F55" s="4"/>
      <c r="G55" s="4"/>
      <c r="H55" s="4"/>
      <c r="J55" s="4"/>
      <c r="K55" s="4"/>
      <c r="L55" s="4"/>
      <c r="M55" s="4"/>
      <c r="N55" s="4"/>
    </row>
    <row r="56" spans="1:14">
      <c r="A56" s="4"/>
      <c r="B56" s="4"/>
      <c r="C56" s="4"/>
      <c r="D56" s="4"/>
      <c r="E56" s="4"/>
      <c r="F56" s="4"/>
      <c r="G56" s="4"/>
      <c r="H56" s="4"/>
      <c r="J56" s="4"/>
      <c r="K56" s="4"/>
      <c r="L56" s="4"/>
      <c r="M56" s="4"/>
      <c r="N56" s="4"/>
    </row>
    <row r="57" spans="1:14">
      <c r="A57" s="4"/>
      <c r="B57" s="4"/>
      <c r="C57" s="4"/>
      <c r="D57" s="4"/>
      <c r="E57" s="4"/>
      <c r="F57" s="4"/>
      <c r="G57" s="4"/>
      <c r="H57" s="4"/>
      <c r="J57" s="4"/>
      <c r="K57" s="4"/>
      <c r="L57" s="4"/>
      <c r="M57" s="4"/>
      <c r="N57" s="4"/>
    </row>
    <row r="58" spans="1:14">
      <c r="A58" s="4"/>
      <c r="B58" s="4"/>
      <c r="C58" s="4"/>
      <c r="D58" s="4"/>
      <c r="E58" s="4"/>
      <c r="F58" s="4"/>
      <c r="G58" s="4"/>
      <c r="H58" s="4"/>
      <c r="J58" s="4"/>
      <c r="K58" s="4"/>
      <c r="L58" s="4"/>
      <c r="M58" s="4"/>
      <c r="N58" s="4"/>
    </row>
    <row r="59" spans="1:14">
      <c r="A59" s="4"/>
      <c r="B59" s="4"/>
      <c r="C59" s="4"/>
      <c r="D59" s="4"/>
      <c r="E59" s="4"/>
      <c r="F59" s="4"/>
      <c r="G59" s="4"/>
      <c r="H59" s="4"/>
      <c r="J59" s="4"/>
      <c r="K59" s="4"/>
      <c r="L59" s="4"/>
      <c r="M59" s="4"/>
      <c r="N59" s="4"/>
    </row>
    <row r="60" spans="1:14">
      <c r="A60" s="4"/>
      <c r="B60" s="4"/>
      <c r="C60" s="4"/>
      <c r="D60" s="4"/>
      <c r="E60" s="4"/>
      <c r="F60" s="4"/>
      <c r="G60" s="4"/>
      <c r="H60" s="4"/>
      <c r="J60" s="4"/>
      <c r="K60" s="4"/>
      <c r="L60" s="4"/>
      <c r="M60" s="4"/>
      <c r="N60" s="4"/>
    </row>
    <row r="61" spans="1:14">
      <c r="A61" s="4"/>
      <c r="B61" s="4"/>
      <c r="C61" s="4"/>
      <c r="D61" s="4"/>
      <c r="E61" s="4"/>
      <c r="F61" s="4"/>
      <c r="G61" s="4"/>
      <c r="H61" s="4"/>
      <c r="J61" s="4"/>
      <c r="K61" s="4"/>
      <c r="L61" s="4"/>
      <c r="M61" s="4"/>
      <c r="N61" s="4"/>
    </row>
    <row r="62" spans="1:14">
      <c r="A62" s="4"/>
      <c r="B62" s="4"/>
      <c r="C62" s="4"/>
      <c r="D62" s="4"/>
      <c r="E62" s="4"/>
      <c r="F62" s="4"/>
      <c r="G62" s="4"/>
      <c r="H62" s="4"/>
      <c r="J62" s="4"/>
      <c r="K62" s="4"/>
      <c r="L62" s="4"/>
      <c r="M62" s="4"/>
      <c r="N62" s="4"/>
    </row>
    <row r="63" spans="1:14">
      <c r="A63" s="4"/>
      <c r="B63" s="4"/>
      <c r="C63" s="4"/>
      <c r="D63" s="4"/>
      <c r="E63" s="4"/>
      <c r="F63" s="4"/>
      <c r="G63" s="4"/>
      <c r="H63" s="4"/>
      <c r="J63" s="4"/>
      <c r="K63" s="4"/>
      <c r="L63" s="4"/>
      <c r="M63" s="4"/>
      <c r="N63" s="4"/>
    </row>
    <row r="64" spans="1:14">
      <c r="A64" s="4"/>
      <c r="B64" s="4"/>
      <c r="C64" s="4"/>
      <c r="D64" s="4"/>
      <c r="E64" s="4"/>
      <c r="F64" s="4"/>
      <c r="G64" s="4"/>
      <c r="H64" s="4"/>
      <c r="J64" s="4"/>
      <c r="K64" s="4"/>
      <c r="L64" s="4"/>
      <c r="M64" s="4"/>
      <c r="N64" s="4"/>
    </row>
    <row r="65" spans="1:14">
      <c r="A65" s="4"/>
      <c r="B65" s="4"/>
      <c r="C65" s="4"/>
      <c r="D65" s="4"/>
      <c r="E65" s="4"/>
      <c r="F65" s="4"/>
      <c r="G65" s="4"/>
      <c r="H65" s="4"/>
      <c r="J65" s="4"/>
      <c r="K65" s="4"/>
      <c r="L65" s="4"/>
      <c r="M65" s="4"/>
      <c r="N65" s="4"/>
    </row>
    <row r="66" spans="1:14">
      <c r="A66" s="4"/>
      <c r="B66" s="4"/>
      <c r="C66" s="4"/>
      <c r="D66" s="4"/>
      <c r="E66" s="4"/>
      <c r="F66" s="4"/>
      <c r="G66" s="4"/>
      <c r="H66" s="4"/>
      <c r="J66" s="4"/>
      <c r="K66" s="4"/>
      <c r="L66" s="4"/>
      <c r="M66" s="4"/>
      <c r="N66" s="4"/>
    </row>
    <row r="67" spans="1:14">
      <c r="A67" s="4"/>
      <c r="B67" s="4"/>
      <c r="C67" s="4"/>
      <c r="D67" s="4"/>
      <c r="E67" s="4"/>
      <c r="F67" s="4"/>
      <c r="G67" s="4"/>
      <c r="H67" s="4"/>
      <c r="J67" s="4"/>
      <c r="K67" s="4"/>
      <c r="L67" s="4"/>
      <c r="M67" s="4"/>
      <c r="N67" s="4"/>
    </row>
    <row r="68" spans="1:14">
      <c r="A68" s="4"/>
      <c r="B68" s="4"/>
      <c r="C68" s="4"/>
      <c r="D68" s="4"/>
      <c r="E68" s="4"/>
      <c r="F68" s="4"/>
      <c r="G68" s="4"/>
      <c r="H68" s="4"/>
      <c r="J68" s="4"/>
      <c r="K68" s="4"/>
      <c r="L68" s="4"/>
      <c r="M68" s="4"/>
      <c r="N68" s="4"/>
    </row>
    <row r="69" spans="1:14">
      <c r="A69" s="4"/>
      <c r="B69" s="4"/>
      <c r="C69" s="4"/>
      <c r="D69" s="4"/>
      <c r="E69" s="4"/>
      <c r="F69" s="4"/>
      <c r="G69" s="4"/>
      <c r="H69" s="4"/>
      <c r="J69" s="4"/>
      <c r="K69" s="4"/>
      <c r="L69" s="4"/>
      <c r="M69" s="4"/>
      <c r="N69" s="4"/>
    </row>
    <row r="70" spans="1:14">
      <c r="A70" s="4"/>
      <c r="B70" s="4"/>
      <c r="C70" s="4"/>
      <c r="D70" s="4"/>
      <c r="E70" s="4"/>
      <c r="F70" s="4"/>
      <c r="G70" s="4"/>
      <c r="H70" s="4"/>
      <c r="J70" s="4"/>
      <c r="K70" s="4"/>
      <c r="L70" s="4"/>
      <c r="M70" s="4"/>
      <c r="N70" s="4"/>
    </row>
    <row r="71" spans="1:14">
      <c r="A71" s="4"/>
      <c r="B71" s="4"/>
      <c r="C71" s="4"/>
      <c r="D71" s="4"/>
      <c r="E71" s="4"/>
      <c r="F71" s="4"/>
      <c r="G71" s="4"/>
      <c r="H71" s="4"/>
      <c r="J71" s="4"/>
      <c r="K71" s="4"/>
      <c r="L71" s="4"/>
      <c r="M71" s="4"/>
      <c r="N71" s="4"/>
    </row>
    <row r="72" spans="1:14">
      <c r="A72" s="4"/>
      <c r="B72" s="4"/>
      <c r="C72" s="4"/>
      <c r="D72" s="4"/>
      <c r="E72" s="4"/>
      <c r="F72" s="4"/>
      <c r="G72" s="4"/>
      <c r="H72" s="4"/>
      <c r="J72" s="4"/>
      <c r="K72" s="4"/>
      <c r="L72" s="4"/>
      <c r="M72" s="4"/>
      <c r="N72" s="4"/>
    </row>
    <row r="73" spans="1:14">
      <c r="A73" s="4"/>
      <c r="B73" s="4"/>
      <c r="C73" s="4"/>
      <c r="D73" s="4"/>
      <c r="E73" s="4"/>
      <c r="F73" s="4"/>
      <c r="G73" s="4"/>
      <c r="H73" s="4"/>
      <c r="J73" s="4"/>
      <c r="K73" s="4"/>
      <c r="L73" s="4"/>
      <c r="M73" s="4"/>
      <c r="N73" s="4"/>
    </row>
    <row r="74" spans="1:14">
      <c r="A74" s="4"/>
      <c r="B74" s="4"/>
      <c r="C74" s="4"/>
      <c r="D74" s="4"/>
      <c r="E74" s="4"/>
      <c r="F74" s="4"/>
      <c r="G74" s="4"/>
      <c r="H74" s="4"/>
      <c r="J74" s="4"/>
      <c r="K74" s="4"/>
      <c r="L74" s="4"/>
      <c r="M74" s="4"/>
      <c r="N74" s="4"/>
    </row>
    <row r="75" spans="1:14">
      <c r="A75" s="4"/>
      <c r="B75" s="4"/>
      <c r="C75" s="4"/>
      <c r="D75" s="4"/>
      <c r="E75" s="4"/>
      <c r="F75" s="4"/>
      <c r="G75" s="4"/>
      <c r="H75" s="4"/>
      <c r="J75" s="4"/>
      <c r="K75" s="4"/>
      <c r="L75" s="4"/>
      <c r="M75" s="4"/>
      <c r="N75" s="4"/>
    </row>
    <row r="76" spans="1:14">
      <c r="A76" s="4"/>
      <c r="B76" s="4"/>
      <c r="C76" s="4"/>
      <c r="D76" s="4"/>
      <c r="E76" s="4"/>
      <c r="F76" s="4"/>
      <c r="G76" s="4"/>
      <c r="H76" s="4"/>
      <c r="J76" s="4"/>
      <c r="K76" s="4"/>
      <c r="L76" s="4"/>
      <c r="M76" s="4"/>
      <c r="N76" s="4"/>
    </row>
    <row r="77" spans="1:14">
      <c r="A77" s="4"/>
      <c r="B77" s="4"/>
      <c r="C77" s="4"/>
      <c r="D77" s="4"/>
      <c r="E77" s="4"/>
      <c r="F77" s="4"/>
      <c r="G77" s="4"/>
      <c r="H77" s="4"/>
      <c r="J77" s="4"/>
      <c r="K77" s="4"/>
      <c r="L77" s="4"/>
      <c r="M77" s="4"/>
      <c r="N77" s="4"/>
    </row>
    <row r="78" spans="1:14">
      <c r="A78" s="4"/>
      <c r="B78" s="4"/>
      <c r="C78" s="4"/>
      <c r="D78" s="4"/>
      <c r="E78" s="4"/>
      <c r="F78" s="4"/>
      <c r="G78" s="4"/>
      <c r="H78" s="4"/>
      <c r="J78" s="4"/>
      <c r="K78" s="4"/>
      <c r="L78" s="4"/>
      <c r="M78" s="4"/>
      <c r="N78" s="4"/>
    </row>
    <row r="79" spans="1:14">
      <c r="A79" s="4"/>
      <c r="B79" s="4"/>
      <c r="C79" s="4"/>
      <c r="D79" s="4"/>
      <c r="E79" s="4"/>
      <c r="F79" s="4"/>
      <c r="G79" s="4"/>
      <c r="H79" s="4"/>
      <c r="J79" s="4"/>
      <c r="K79" s="4"/>
      <c r="L79" s="4"/>
      <c r="M79" s="4"/>
      <c r="N79" s="4"/>
    </row>
    <row r="80" spans="1:14">
      <c r="A80" s="4"/>
      <c r="B80" s="4"/>
      <c r="C80" s="4"/>
      <c r="D80" s="4"/>
      <c r="E80" s="4"/>
      <c r="F80" s="4"/>
      <c r="G80" s="4"/>
      <c r="H80" s="4"/>
      <c r="J80" s="4"/>
      <c r="K80" s="4"/>
      <c r="L80" s="4"/>
      <c r="M80" s="4"/>
      <c r="N80" s="4"/>
    </row>
    <row r="81" spans="1:14">
      <c r="A81" s="4"/>
      <c r="B81" s="4"/>
      <c r="C81" s="4"/>
      <c r="D81" s="4"/>
      <c r="E81" s="4"/>
      <c r="F81" s="4"/>
      <c r="G81" s="4"/>
      <c r="H81" s="4"/>
      <c r="J81" s="4"/>
      <c r="K81" s="4"/>
      <c r="L81" s="4"/>
      <c r="M81" s="4"/>
      <c r="N81" s="4"/>
    </row>
    <row r="82" spans="1:14">
      <c r="A82" s="4"/>
      <c r="B82" s="4"/>
      <c r="C82" s="4"/>
      <c r="D82" s="4"/>
      <c r="E82" s="4"/>
      <c r="F82" s="4"/>
      <c r="G82" s="4"/>
      <c r="H82" s="4"/>
      <c r="J82" s="4"/>
      <c r="K82" s="4"/>
      <c r="L82" s="4"/>
      <c r="M82" s="4"/>
      <c r="N82" s="4"/>
    </row>
    <row r="83" spans="1:14">
      <c r="A83" s="4"/>
      <c r="B83" s="4"/>
      <c r="C83" s="4"/>
      <c r="D83" s="4"/>
      <c r="E83" s="4"/>
      <c r="F83" s="4"/>
      <c r="G83" s="4"/>
      <c r="H83" s="4"/>
      <c r="J83" s="4"/>
      <c r="K83" s="4"/>
      <c r="L83" s="4"/>
      <c r="M83" s="4"/>
      <c r="N83" s="4"/>
    </row>
    <row r="84" spans="1:14">
      <c r="A84" s="4"/>
      <c r="B84" s="4"/>
      <c r="C84" s="4"/>
      <c r="D84" s="4"/>
      <c r="E84" s="4"/>
      <c r="F84" s="4"/>
      <c r="G84" s="4"/>
      <c r="H84" s="4"/>
      <c r="J84" s="4"/>
      <c r="K84" s="4"/>
      <c r="L84" s="4"/>
      <c r="M84" s="4"/>
      <c r="N84" s="4"/>
    </row>
    <row r="85" spans="1:14">
      <c r="A85" s="4"/>
      <c r="B85" s="4"/>
      <c r="C85" s="4"/>
      <c r="D85" s="4"/>
      <c r="E85" s="4"/>
      <c r="F85" s="4"/>
      <c r="G85" s="4"/>
      <c r="H85" s="4"/>
      <c r="J85" s="4"/>
      <c r="K85" s="4"/>
      <c r="L85" s="4"/>
      <c r="M85" s="4"/>
      <c r="N85" s="4"/>
    </row>
    <row r="86" spans="1:14">
      <c r="A86" s="4"/>
      <c r="B86" s="4"/>
      <c r="C86" s="4"/>
      <c r="D86" s="4"/>
      <c r="E86" s="4"/>
      <c r="F86" s="4"/>
      <c r="G86" s="4"/>
      <c r="H86" s="4"/>
      <c r="J86" s="4"/>
      <c r="K86" s="4"/>
      <c r="L86" s="4"/>
      <c r="M86" s="4"/>
      <c r="N86" s="4"/>
    </row>
    <row r="87" spans="1:14">
      <c r="A87" s="4"/>
      <c r="B87" s="4"/>
      <c r="C87" s="4"/>
      <c r="D87" s="4"/>
      <c r="E87" s="4"/>
      <c r="F87" s="4"/>
      <c r="G87" s="4"/>
      <c r="H87" s="4"/>
      <c r="J87" s="4"/>
      <c r="K87" s="4"/>
      <c r="L87" s="4"/>
      <c r="M87" s="4"/>
      <c r="N87" s="4"/>
    </row>
    <row r="88" spans="1:14">
      <c r="A88" s="4"/>
      <c r="B88" s="4"/>
      <c r="C88" s="4"/>
      <c r="D88" s="4"/>
      <c r="E88" s="4"/>
      <c r="F88" s="4"/>
      <c r="G88" s="4"/>
      <c r="H88" s="4"/>
      <c r="J88" s="4"/>
      <c r="K88" s="4"/>
      <c r="L88" s="4"/>
      <c r="M88" s="4"/>
      <c r="N88" s="4"/>
    </row>
    <row r="89" spans="1:14">
      <c r="A89" s="4"/>
      <c r="B89" s="4"/>
      <c r="C89" s="4"/>
      <c r="D89" s="4"/>
      <c r="E89" s="4"/>
      <c r="F89" s="4"/>
      <c r="G89" s="4"/>
      <c r="H89" s="4"/>
      <c r="J89" s="4"/>
      <c r="K89" s="4"/>
      <c r="L89" s="4"/>
      <c r="M89" s="4"/>
      <c r="N89" s="4"/>
    </row>
    <row r="90" spans="1:14">
      <c r="A90" s="4"/>
      <c r="B90" s="4"/>
      <c r="C90" s="4"/>
      <c r="D90" s="4"/>
      <c r="E90" s="4"/>
      <c r="F90" s="4"/>
      <c r="G90" s="4"/>
      <c r="H90" s="4"/>
      <c r="J90" s="4"/>
      <c r="K90" s="4"/>
      <c r="L90" s="4"/>
      <c r="M90" s="4"/>
      <c r="N90" s="4"/>
    </row>
    <row r="91" spans="1:14">
      <c r="A91" s="4"/>
      <c r="B91" s="4"/>
      <c r="C91" s="4"/>
      <c r="D91" s="4"/>
      <c r="E91" s="4"/>
      <c r="F91" s="4"/>
      <c r="G91" s="4"/>
      <c r="H91" s="4"/>
      <c r="J91" s="4"/>
      <c r="K91" s="4"/>
      <c r="L91" s="4"/>
      <c r="M91" s="4"/>
      <c r="N91" s="4"/>
    </row>
    <row r="92" spans="1:14">
      <c r="A92" s="4"/>
      <c r="B92" s="4"/>
      <c r="C92" s="4"/>
      <c r="D92" s="4"/>
      <c r="E92" s="4"/>
      <c r="F92" s="4"/>
      <c r="G92" s="4"/>
      <c r="H92" s="4"/>
      <c r="J92" s="4"/>
      <c r="K92" s="4"/>
      <c r="L92" s="4"/>
      <c r="M92" s="4"/>
      <c r="N92" s="4"/>
    </row>
    <row r="93" spans="1:14">
      <c r="A93" s="4"/>
      <c r="B93" s="4"/>
      <c r="C93" s="4"/>
      <c r="D93" s="4"/>
      <c r="E93" s="4"/>
      <c r="F93" s="4"/>
      <c r="G93" s="4"/>
      <c r="H93" s="4"/>
      <c r="J93" s="4"/>
      <c r="K93" s="4"/>
      <c r="L93" s="4"/>
      <c r="M93" s="4"/>
      <c r="N93" s="4"/>
    </row>
    <row r="94" spans="1:14">
      <c r="A94" s="4"/>
      <c r="B94" s="4"/>
      <c r="C94" s="4"/>
      <c r="D94" s="4"/>
      <c r="E94" s="4"/>
      <c r="F94" s="4"/>
      <c r="G94" s="4"/>
      <c r="H94" s="4"/>
      <c r="J94" s="4"/>
      <c r="K94" s="4"/>
      <c r="L94" s="4"/>
      <c r="M94" s="4"/>
      <c r="N94" s="4"/>
    </row>
    <row r="95" spans="1:14">
      <c r="A95" s="4"/>
      <c r="B95" s="4"/>
      <c r="C95" s="4"/>
      <c r="D95" s="4"/>
      <c r="E95" s="4"/>
      <c r="F95" s="4"/>
      <c r="G95" s="4"/>
      <c r="H95" s="4"/>
      <c r="J95" s="4"/>
      <c r="K95" s="4"/>
      <c r="L95" s="4"/>
      <c r="M95" s="4"/>
      <c r="N95" s="4"/>
    </row>
    <row r="96" spans="1:14">
      <c r="A96" s="4"/>
      <c r="B96" s="4"/>
      <c r="C96" s="4"/>
      <c r="D96" s="4"/>
      <c r="E96" s="4"/>
      <c r="F96" s="4"/>
      <c r="G96" s="4"/>
      <c r="H96" s="4"/>
      <c r="J96" s="4"/>
      <c r="K96" s="4"/>
      <c r="L96" s="4"/>
      <c r="M96" s="4"/>
      <c r="N96" s="4"/>
    </row>
    <row r="97" spans="1:14">
      <c r="A97" s="4"/>
      <c r="B97" s="4"/>
      <c r="C97" s="4"/>
      <c r="D97" s="4"/>
      <c r="E97" s="4"/>
      <c r="F97" s="4"/>
      <c r="G97" s="4"/>
      <c r="H97" s="4"/>
      <c r="J97" s="4"/>
      <c r="K97" s="4"/>
      <c r="L97" s="4"/>
      <c r="M97" s="4"/>
      <c r="N97" s="4"/>
    </row>
    <row r="98" spans="1:14">
      <c r="A98" s="4"/>
      <c r="B98" s="4"/>
      <c r="C98" s="4"/>
      <c r="D98" s="4"/>
      <c r="E98" s="4"/>
      <c r="F98" s="4"/>
      <c r="G98" s="4"/>
      <c r="H98" s="4"/>
      <c r="J98" s="4"/>
      <c r="K98" s="4"/>
      <c r="L98" s="4"/>
      <c r="M98" s="4"/>
      <c r="N98" s="4"/>
    </row>
    <row r="99" spans="1:14">
      <c r="A99" s="4"/>
      <c r="B99" s="4"/>
      <c r="C99" s="4"/>
      <c r="D99" s="4"/>
      <c r="E99" s="4"/>
      <c r="F99" s="4"/>
      <c r="G99" s="4"/>
      <c r="H99" s="4"/>
      <c r="J99" s="4"/>
      <c r="K99" s="4"/>
      <c r="L99" s="4"/>
      <c r="M99" s="4"/>
      <c r="N99" s="4"/>
    </row>
    <row r="100" spans="1:14">
      <c r="A100" s="4"/>
      <c r="B100" s="4"/>
      <c r="C100" s="4"/>
      <c r="D100" s="4"/>
      <c r="E100" s="4"/>
      <c r="F100" s="4"/>
      <c r="G100" s="4"/>
      <c r="H100" s="4"/>
      <c r="J100" s="4"/>
      <c r="K100" s="4"/>
      <c r="L100" s="4"/>
      <c r="M100" s="4"/>
      <c r="N100" s="4"/>
    </row>
    <row r="101" spans="1:14">
      <c r="A101" s="4"/>
      <c r="B101" s="4"/>
      <c r="C101" s="4"/>
      <c r="D101" s="4"/>
      <c r="E101" s="4"/>
      <c r="F101" s="4"/>
      <c r="G101" s="4"/>
      <c r="H101" s="4"/>
      <c r="J101" s="4"/>
      <c r="K101" s="4"/>
      <c r="L101" s="4"/>
      <c r="M101" s="4"/>
      <c r="N101" s="4"/>
    </row>
    <row r="102" spans="1:14">
      <c r="A102" s="4"/>
      <c r="B102" s="4"/>
      <c r="C102" s="4"/>
      <c r="D102" s="4"/>
      <c r="E102" s="4"/>
      <c r="F102" s="4"/>
      <c r="G102" s="4"/>
      <c r="H102" s="4"/>
      <c r="J102" s="4"/>
      <c r="K102" s="4"/>
      <c r="L102" s="4"/>
      <c r="M102" s="4"/>
      <c r="N102" s="4"/>
    </row>
    <row r="103" spans="1:14">
      <c r="A103" s="4"/>
      <c r="B103" s="4"/>
      <c r="C103" s="4"/>
      <c r="D103" s="4"/>
      <c r="E103" s="4"/>
      <c r="F103" s="4"/>
      <c r="G103" s="4"/>
      <c r="H103" s="4"/>
      <c r="J103" s="4"/>
      <c r="K103" s="4"/>
      <c r="L103" s="4"/>
      <c r="M103" s="4"/>
      <c r="N103" s="4"/>
    </row>
    <row r="104" spans="1:14">
      <c r="A104" s="4"/>
      <c r="B104" s="4"/>
      <c r="C104" s="4"/>
      <c r="D104" s="4"/>
      <c r="E104" s="4"/>
      <c r="F104" s="4"/>
      <c r="G104" s="4"/>
      <c r="H104" s="4"/>
      <c r="J104" s="4"/>
      <c r="K104" s="4"/>
      <c r="L104" s="4"/>
      <c r="M104" s="4"/>
      <c r="N104" s="4"/>
    </row>
    <row r="105" spans="1:14">
      <c r="A105" s="4"/>
      <c r="B105" s="4"/>
      <c r="C105" s="4"/>
      <c r="D105" s="4"/>
      <c r="E105" s="4"/>
      <c r="F105" s="4"/>
      <c r="G105" s="4"/>
      <c r="H105" s="4"/>
      <c r="J105" s="4"/>
      <c r="K105" s="4"/>
      <c r="L105" s="4"/>
      <c r="M105" s="4"/>
      <c r="N105" s="4"/>
    </row>
    <row r="106" spans="1:14">
      <c r="A106" s="4"/>
      <c r="B106" s="4"/>
      <c r="C106" s="4"/>
      <c r="D106" s="4"/>
      <c r="E106" s="4"/>
      <c r="F106" s="4"/>
      <c r="G106" s="4"/>
      <c r="H106" s="4"/>
      <c r="J106" s="4"/>
      <c r="K106" s="4"/>
      <c r="L106" s="4"/>
      <c r="M106" s="4"/>
      <c r="N106" s="4"/>
    </row>
    <row r="107" spans="1:14">
      <c r="A107" s="4"/>
      <c r="B107" s="4"/>
      <c r="C107" s="4"/>
      <c r="D107" s="4"/>
      <c r="E107" s="4"/>
      <c r="F107" s="4"/>
      <c r="G107" s="4"/>
      <c r="H107" s="4"/>
      <c r="J107" s="4"/>
      <c r="K107" s="4"/>
      <c r="L107" s="4"/>
      <c r="M107" s="4"/>
      <c r="N107" s="4"/>
    </row>
    <row r="108" spans="1:14">
      <c r="A108" s="4"/>
      <c r="B108" s="4"/>
      <c r="C108" s="4"/>
      <c r="D108" s="4"/>
      <c r="E108" s="4"/>
      <c r="F108" s="4"/>
      <c r="G108" s="4"/>
      <c r="H108" s="4"/>
      <c r="J108" s="4"/>
      <c r="K108" s="4"/>
      <c r="L108" s="4"/>
      <c r="M108" s="4"/>
      <c r="N108" s="4"/>
    </row>
    <row r="109" spans="1:14">
      <c r="A109" s="4"/>
      <c r="B109" s="4"/>
      <c r="C109" s="4"/>
      <c r="D109" s="4"/>
      <c r="E109" s="4"/>
      <c r="F109" s="4"/>
      <c r="G109" s="4"/>
      <c r="H109" s="4"/>
      <c r="J109" s="4"/>
      <c r="K109" s="4"/>
      <c r="L109" s="4"/>
      <c r="M109" s="4"/>
      <c r="N109" s="4"/>
    </row>
    <row r="110" spans="1:14">
      <c r="A110" s="4"/>
      <c r="B110" s="4"/>
      <c r="C110" s="4"/>
      <c r="D110" s="4"/>
      <c r="E110" s="4"/>
      <c r="F110" s="4"/>
      <c r="G110" s="4"/>
      <c r="H110" s="4"/>
      <c r="J110" s="4"/>
      <c r="K110" s="4"/>
      <c r="L110" s="4"/>
      <c r="M110" s="4"/>
      <c r="N110" s="4"/>
    </row>
    <row r="111" spans="1:14">
      <c r="A111" s="4"/>
      <c r="B111" s="4"/>
      <c r="C111" s="4"/>
      <c r="D111" s="4"/>
      <c r="E111" s="4"/>
      <c r="F111" s="4"/>
      <c r="G111" s="4"/>
      <c r="H111" s="4"/>
      <c r="J111" s="4"/>
      <c r="K111" s="4"/>
      <c r="L111" s="4"/>
      <c r="M111" s="4"/>
      <c r="N111" s="4"/>
    </row>
    <row r="112" spans="1:14">
      <c r="A112" s="4"/>
      <c r="B112" s="4"/>
      <c r="C112" s="4"/>
      <c r="D112" s="4"/>
      <c r="E112" s="4"/>
      <c r="F112" s="4"/>
      <c r="G112" s="4"/>
      <c r="H112" s="4"/>
      <c r="J112" s="4"/>
      <c r="K112" s="4"/>
      <c r="L112" s="4"/>
      <c r="M112" s="4"/>
      <c r="N112" s="4"/>
    </row>
    <row r="113" spans="1:14">
      <c r="A113" s="4"/>
      <c r="B113" s="4"/>
      <c r="C113" s="4"/>
      <c r="D113" s="4"/>
      <c r="E113" s="4"/>
      <c r="F113" s="4"/>
      <c r="G113" s="4"/>
      <c r="H113" s="4"/>
      <c r="J113" s="4"/>
      <c r="K113" s="4"/>
      <c r="L113" s="4"/>
      <c r="M113" s="4"/>
      <c r="N113" s="4"/>
    </row>
    <row r="114" spans="1:14">
      <c r="A114" s="4"/>
      <c r="B114" s="4"/>
      <c r="C114" s="4"/>
      <c r="D114" s="4"/>
      <c r="E114" s="4"/>
      <c r="F114" s="4"/>
      <c r="G114" s="4"/>
      <c r="H114" s="4"/>
      <c r="J114" s="4"/>
      <c r="K114" s="4"/>
      <c r="L114" s="4"/>
      <c r="M114" s="4"/>
      <c r="N114" s="4"/>
    </row>
    <row r="115" spans="1:14">
      <c r="A115" s="4"/>
      <c r="B115" s="4"/>
      <c r="C115" s="4"/>
      <c r="D115" s="4"/>
      <c r="E115" s="4"/>
      <c r="F115" s="4"/>
      <c r="G115" s="4"/>
      <c r="H115" s="4"/>
      <c r="J115" s="4"/>
      <c r="K115" s="4"/>
      <c r="L115" s="4"/>
      <c r="M115" s="4"/>
      <c r="N115" s="4"/>
    </row>
    <row r="116" spans="1:14">
      <c r="A116" s="4"/>
      <c r="B116" s="4"/>
      <c r="C116" s="4"/>
      <c r="D116" s="4"/>
      <c r="E116" s="4"/>
      <c r="F116" s="4"/>
      <c r="G116" s="4"/>
      <c r="H116" s="4"/>
      <c r="J116" s="4"/>
      <c r="K116" s="4"/>
      <c r="L116" s="4"/>
      <c r="M116" s="4"/>
      <c r="N116" s="4"/>
    </row>
    <row r="117" spans="1:14">
      <c r="A117" s="4"/>
      <c r="B117" s="4"/>
      <c r="C117" s="4"/>
      <c r="D117" s="4"/>
      <c r="E117" s="4"/>
      <c r="F117" s="4"/>
      <c r="G117" s="4"/>
      <c r="H117" s="4"/>
      <c r="J117" s="4"/>
      <c r="K117" s="4"/>
      <c r="L117" s="4"/>
      <c r="M117" s="4"/>
      <c r="N117" s="4"/>
    </row>
    <row r="118" spans="1:14">
      <c r="A118" s="4"/>
      <c r="B118" s="4"/>
      <c r="C118" s="4"/>
      <c r="D118" s="4"/>
      <c r="E118" s="4"/>
      <c r="F118" s="4"/>
      <c r="G118" s="4"/>
      <c r="H118" s="4"/>
      <c r="J118" s="4"/>
      <c r="K118" s="4"/>
      <c r="L118" s="4"/>
      <c r="M118" s="4"/>
      <c r="N118" s="4"/>
    </row>
    <row r="119" spans="1:14">
      <c r="A119" s="4"/>
      <c r="B119" s="4"/>
      <c r="C119" s="4"/>
      <c r="D119" s="4"/>
      <c r="E119" s="4"/>
      <c r="F119" s="4"/>
      <c r="G119" s="4"/>
      <c r="H119" s="4"/>
      <c r="J119" s="4"/>
      <c r="K119" s="4"/>
      <c r="L119" s="4"/>
      <c r="M119" s="4"/>
      <c r="N119" s="4"/>
    </row>
    <row r="120" spans="1:14">
      <c r="A120" s="4"/>
      <c r="B120" s="4"/>
      <c r="C120" s="4"/>
      <c r="D120" s="4"/>
      <c r="E120" s="4"/>
      <c r="F120" s="4"/>
      <c r="G120" s="4"/>
      <c r="H120" s="4"/>
      <c r="J120" s="4"/>
      <c r="K120" s="4"/>
      <c r="L120" s="4"/>
      <c r="M120" s="4"/>
      <c r="N120" s="4"/>
    </row>
    <row r="121" spans="1:14">
      <c r="A121" s="4"/>
      <c r="B121" s="4"/>
      <c r="C121" s="4"/>
      <c r="D121" s="4"/>
      <c r="E121" s="4"/>
      <c r="F121" s="4"/>
      <c r="G121" s="4"/>
      <c r="H121" s="4"/>
      <c r="J121" s="4"/>
      <c r="K121" s="4"/>
      <c r="L121" s="4"/>
      <c r="M121" s="4"/>
      <c r="N121" s="4"/>
    </row>
    <row r="122" spans="1:14">
      <c r="A122" s="4"/>
      <c r="B122" s="4"/>
      <c r="C122" s="4"/>
      <c r="D122" s="4"/>
      <c r="E122" s="4"/>
      <c r="F122" s="4"/>
      <c r="G122" s="4"/>
      <c r="H122" s="4"/>
      <c r="J122" s="4"/>
      <c r="K122" s="4"/>
      <c r="L122" s="4"/>
      <c r="M122" s="4"/>
      <c r="N122" s="4"/>
    </row>
    <row r="123" spans="1:14">
      <c r="A123" s="4"/>
      <c r="B123" s="4"/>
      <c r="C123" s="4"/>
      <c r="D123" s="4"/>
      <c r="E123" s="4"/>
      <c r="F123" s="4"/>
      <c r="G123" s="4"/>
      <c r="H123" s="4"/>
      <c r="J123" s="4"/>
      <c r="K123" s="4"/>
      <c r="L123" s="4"/>
      <c r="M123" s="4"/>
      <c r="N123" s="4"/>
    </row>
    <row r="124" spans="1:14">
      <c r="A124" s="4"/>
      <c r="B124" s="4"/>
      <c r="C124" s="4"/>
      <c r="D124" s="4"/>
      <c r="E124" s="4"/>
      <c r="F124" s="4"/>
      <c r="G124" s="4"/>
      <c r="H124" s="4"/>
      <c r="J124" s="4"/>
      <c r="K124" s="4"/>
      <c r="L124" s="4"/>
      <c r="M124" s="4"/>
      <c r="N124" s="4"/>
    </row>
    <row r="125" spans="1:14">
      <c r="A125" s="4"/>
      <c r="B125" s="4"/>
      <c r="C125" s="4"/>
      <c r="D125" s="4"/>
      <c r="E125" s="4"/>
      <c r="F125" s="4"/>
      <c r="G125" s="4"/>
      <c r="H125" s="4"/>
      <c r="J125" s="4"/>
      <c r="K125" s="4"/>
      <c r="L125" s="4"/>
      <c r="M125" s="4"/>
      <c r="N125" s="4"/>
    </row>
    <row r="126" spans="1:14">
      <c r="A126" s="4"/>
      <c r="B126" s="4"/>
      <c r="C126" s="4"/>
      <c r="D126" s="4"/>
      <c r="E126" s="4"/>
      <c r="F126" s="4"/>
      <c r="G126" s="4"/>
      <c r="H126" s="4"/>
      <c r="J126" s="4"/>
      <c r="K126" s="4"/>
      <c r="L126" s="4"/>
      <c r="M126" s="4"/>
      <c r="N126" s="4"/>
    </row>
    <row r="127" spans="1:14">
      <c r="A127" s="4"/>
      <c r="B127" s="4"/>
      <c r="C127" s="4"/>
      <c r="D127" s="4"/>
      <c r="E127" s="4"/>
      <c r="F127" s="4"/>
      <c r="G127" s="4"/>
      <c r="H127" s="4"/>
      <c r="J127" s="4"/>
      <c r="K127" s="4"/>
      <c r="L127" s="4"/>
      <c r="M127" s="4"/>
      <c r="N127" s="4"/>
    </row>
    <row r="128" spans="1:14">
      <c r="A128" s="4"/>
      <c r="B128" s="4"/>
      <c r="C128" s="4"/>
      <c r="D128" s="4"/>
      <c r="E128" s="4"/>
      <c r="F128" s="4"/>
      <c r="G128" s="4"/>
      <c r="H128" s="4"/>
      <c r="J128" s="4"/>
      <c r="K128" s="4"/>
      <c r="L128" s="4"/>
      <c r="M128" s="4"/>
      <c r="N128" s="4"/>
    </row>
    <row r="129" spans="1:14">
      <c r="A129" s="4"/>
      <c r="B129" s="4"/>
      <c r="C129" s="4"/>
      <c r="D129" s="4"/>
      <c r="E129" s="4"/>
      <c r="F129" s="4"/>
      <c r="G129" s="4"/>
      <c r="H129" s="4"/>
      <c r="J129" s="4"/>
      <c r="K129" s="4"/>
      <c r="L129" s="4"/>
      <c r="M129" s="4"/>
      <c r="N129" s="4"/>
    </row>
    <row r="130" spans="1:14">
      <c r="A130" s="4"/>
      <c r="B130" s="4"/>
      <c r="C130" s="4"/>
      <c r="D130" s="4"/>
      <c r="E130" s="4"/>
      <c r="F130" s="4"/>
      <c r="G130" s="4"/>
      <c r="H130" s="4"/>
      <c r="J130" s="4"/>
      <c r="K130" s="4"/>
      <c r="L130" s="4"/>
      <c r="M130" s="4"/>
      <c r="N130" s="4"/>
    </row>
    <row r="131" spans="1:14">
      <c r="A131" s="4"/>
      <c r="B131" s="4"/>
      <c r="C131" s="4"/>
      <c r="D131" s="4"/>
      <c r="E131" s="4"/>
      <c r="F131" s="4"/>
      <c r="G131" s="4"/>
      <c r="H131" s="4"/>
      <c r="J131" s="4"/>
      <c r="K131" s="4"/>
      <c r="L131" s="4"/>
      <c r="M131" s="4"/>
      <c r="N131" s="4"/>
    </row>
    <row r="132" spans="1:14">
      <c r="A132" s="4"/>
      <c r="B132" s="4"/>
      <c r="C132" s="4"/>
      <c r="D132" s="4"/>
      <c r="E132" s="4"/>
      <c r="F132" s="4"/>
      <c r="G132" s="4"/>
      <c r="H132" s="4"/>
      <c r="J132" s="4"/>
      <c r="K132" s="4"/>
      <c r="L132" s="4"/>
      <c r="M132" s="4"/>
      <c r="N132" s="4"/>
    </row>
    <row r="133" spans="1:14">
      <c r="A133" s="4"/>
      <c r="B133" s="4"/>
      <c r="C133" s="4"/>
      <c r="D133" s="4"/>
      <c r="E133" s="4"/>
      <c r="F133" s="4"/>
      <c r="G133" s="4"/>
      <c r="H133" s="4"/>
      <c r="J133" s="4"/>
      <c r="K133" s="4"/>
      <c r="L133" s="4"/>
      <c r="M133" s="4"/>
      <c r="N133" s="4"/>
    </row>
    <row r="134" spans="1:14">
      <c r="A134" s="4"/>
      <c r="B134" s="4"/>
      <c r="C134" s="4"/>
      <c r="D134" s="4"/>
      <c r="E134" s="4"/>
      <c r="F134" s="4"/>
      <c r="G134" s="4"/>
      <c r="H134" s="4"/>
      <c r="J134" s="4"/>
      <c r="K134" s="4"/>
      <c r="L134" s="4"/>
      <c r="M134" s="4"/>
      <c r="N134" s="4"/>
    </row>
    <row r="135" spans="1:14">
      <c r="A135" s="4"/>
      <c r="B135" s="4"/>
      <c r="C135" s="4"/>
      <c r="D135" s="4"/>
      <c r="E135" s="4"/>
      <c r="F135" s="4"/>
      <c r="G135" s="4"/>
      <c r="H135" s="4"/>
      <c r="J135" s="4"/>
      <c r="K135" s="4"/>
      <c r="L135" s="4"/>
      <c r="M135" s="4"/>
      <c r="N135" s="4"/>
    </row>
    <row r="136" spans="1:14">
      <c r="A136" s="4"/>
      <c r="B136" s="4"/>
      <c r="C136" s="4"/>
      <c r="D136" s="4"/>
      <c r="E136" s="4"/>
      <c r="F136" s="4"/>
      <c r="G136" s="4"/>
      <c r="H136" s="4"/>
      <c r="J136" s="4"/>
      <c r="K136" s="4"/>
      <c r="L136" s="4"/>
      <c r="M136" s="4"/>
      <c r="N136" s="4"/>
    </row>
    <row r="137" spans="1:14">
      <c r="A137" s="4"/>
      <c r="B137" s="4"/>
      <c r="C137" s="4"/>
      <c r="D137" s="4"/>
      <c r="E137" s="4"/>
      <c r="F137" s="4"/>
      <c r="G137" s="4"/>
      <c r="H137" s="4"/>
      <c r="J137" s="4"/>
      <c r="K137" s="4"/>
      <c r="L137" s="4"/>
      <c r="M137" s="4"/>
      <c r="N137" s="4"/>
    </row>
    <row r="138" spans="1:14">
      <c r="A138" s="4"/>
      <c r="B138" s="4"/>
      <c r="C138" s="4"/>
      <c r="D138" s="4"/>
      <c r="E138" s="4"/>
      <c r="F138" s="4"/>
      <c r="G138" s="4"/>
      <c r="H138" s="4"/>
      <c r="J138" s="4"/>
      <c r="K138" s="4"/>
      <c r="L138" s="4"/>
      <c r="M138" s="4"/>
      <c r="N138" s="4"/>
    </row>
    <row r="139" spans="1:14">
      <c r="A139" s="4"/>
      <c r="B139" s="4"/>
      <c r="C139" s="4"/>
      <c r="D139" s="4"/>
      <c r="E139" s="4"/>
      <c r="F139" s="4"/>
      <c r="G139" s="4"/>
      <c r="H139" s="4"/>
      <c r="J139" s="4"/>
      <c r="K139" s="4"/>
      <c r="L139" s="4"/>
      <c r="M139" s="4"/>
      <c r="N139" s="4"/>
    </row>
    <row r="140" spans="1:14">
      <c r="A140" s="4"/>
      <c r="B140" s="4"/>
      <c r="C140" s="4"/>
      <c r="D140" s="4"/>
      <c r="E140" s="4"/>
      <c r="F140" s="4"/>
      <c r="G140" s="4"/>
      <c r="H140" s="4"/>
      <c r="J140" s="4"/>
      <c r="K140" s="4"/>
      <c r="L140" s="4"/>
      <c r="M140" s="4"/>
      <c r="N140" s="4"/>
    </row>
    <row r="141" spans="1:14">
      <c r="A141" s="4"/>
      <c r="B141" s="4"/>
      <c r="C141" s="4"/>
      <c r="D141" s="4"/>
      <c r="E141" s="4"/>
      <c r="F141" s="4"/>
      <c r="G141" s="4"/>
      <c r="H141" s="4"/>
      <c r="J141" s="4"/>
      <c r="K141" s="4"/>
      <c r="L141" s="4"/>
      <c r="M141" s="4"/>
      <c r="N141" s="4"/>
    </row>
    <row r="142" spans="1:14">
      <c r="A142" s="4"/>
      <c r="B142" s="4"/>
      <c r="C142" s="4"/>
      <c r="D142" s="4"/>
      <c r="E142" s="4"/>
      <c r="F142" s="4"/>
      <c r="G142" s="4"/>
      <c r="H142" s="4"/>
      <c r="J142" s="4"/>
      <c r="K142" s="4"/>
      <c r="L142" s="4"/>
      <c r="M142" s="4"/>
      <c r="N142" s="4"/>
    </row>
    <row r="143" spans="1:14">
      <c r="A143" s="4"/>
      <c r="B143" s="4"/>
      <c r="C143" s="4"/>
      <c r="D143" s="4"/>
      <c r="E143" s="4"/>
      <c r="F143" s="4"/>
      <c r="G143" s="4"/>
      <c r="H143" s="4"/>
      <c r="J143" s="4"/>
      <c r="K143" s="4"/>
      <c r="L143" s="4"/>
      <c r="M143" s="4"/>
      <c r="N143" s="4"/>
    </row>
    <row r="144" spans="1:14">
      <c r="A144" s="4"/>
      <c r="B144" s="4"/>
      <c r="C144" s="4"/>
      <c r="D144" s="4"/>
      <c r="E144" s="4"/>
      <c r="F144" s="4"/>
      <c r="G144" s="4"/>
      <c r="H144" s="4"/>
      <c r="J144" s="4"/>
      <c r="K144" s="4"/>
      <c r="L144" s="4"/>
      <c r="M144" s="4"/>
      <c r="N144" s="4"/>
    </row>
    <row r="145" spans="1:14">
      <c r="A145" s="4"/>
      <c r="B145" s="4"/>
      <c r="C145" s="4"/>
      <c r="D145" s="4"/>
      <c r="E145" s="4"/>
      <c r="F145" s="4"/>
      <c r="G145" s="4"/>
      <c r="H145" s="4"/>
      <c r="J145" s="4"/>
      <c r="K145" s="4"/>
      <c r="L145" s="4"/>
      <c r="M145" s="4"/>
      <c r="N145" s="4"/>
    </row>
    <row r="146" spans="1:14">
      <c r="A146" s="4"/>
      <c r="B146" s="4"/>
      <c r="C146" s="4"/>
      <c r="D146" s="4"/>
      <c r="E146" s="4"/>
      <c r="F146" s="4"/>
      <c r="G146" s="4"/>
      <c r="H146" s="4"/>
      <c r="J146" s="4"/>
      <c r="K146" s="4"/>
      <c r="L146" s="4"/>
      <c r="M146" s="4"/>
      <c r="N146" s="4"/>
    </row>
    <row r="147" spans="1:14">
      <c r="A147" s="4"/>
      <c r="B147" s="4"/>
      <c r="C147" s="4"/>
      <c r="D147" s="4"/>
      <c r="E147" s="4"/>
      <c r="F147" s="4"/>
      <c r="G147" s="4"/>
      <c r="H147" s="4"/>
      <c r="J147" s="4"/>
      <c r="K147" s="4"/>
      <c r="L147" s="4"/>
      <c r="M147" s="4"/>
      <c r="N147" s="4"/>
    </row>
    <row r="148" spans="1:14">
      <c r="A148" s="4"/>
      <c r="B148" s="4"/>
      <c r="C148" s="4"/>
      <c r="D148" s="4"/>
      <c r="E148" s="4"/>
      <c r="F148" s="4"/>
      <c r="G148" s="4"/>
      <c r="H148" s="4"/>
      <c r="J148" s="4"/>
      <c r="K148" s="4"/>
      <c r="L148" s="4"/>
      <c r="M148" s="4"/>
      <c r="N148" s="4"/>
    </row>
    <row r="149" spans="1:14">
      <c r="A149" s="4"/>
      <c r="B149" s="4"/>
      <c r="C149" s="4"/>
      <c r="D149" s="4"/>
      <c r="E149" s="4"/>
      <c r="F149" s="4"/>
      <c r="G149" s="4"/>
      <c r="H149" s="4"/>
      <c r="J149" s="4"/>
      <c r="K149" s="4"/>
      <c r="L149" s="4"/>
      <c r="M149" s="4"/>
      <c r="N149" s="4"/>
    </row>
    <row r="150" spans="1:14">
      <c r="A150" s="4"/>
      <c r="B150" s="4"/>
      <c r="C150" s="4"/>
      <c r="D150" s="4"/>
      <c r="E150" s="4"/>
      <c r="F150" s="4"/>
      <c r="G150" s="4"/>
      <c r="H150" s="4"/>
      <c r="J150" s="4"/>
      <c r="K150" s="4"/>
      <c r="L150" s="4"/>
      <c r="M150" s="4"/>
      <c r="N150" s="4"/>
    </row>
    <row r="151" spans="1:14">
      <c r="A151" s="4"/>
      <c r="B151" s="4"/>
      <c r="C151" s="4"/>
      <c r="D151" s="4"/>
      <c r="E151" s="4"/>
      <c r="F151" s="4"/>
      <c r="G151" s="4"/>
      <c r="H151" s="4"/>
      <c r="J151" s="4"/>
      <c r="K151" s="4"/>
      <c r="L151" s="4"/>
      <c r="M151" s="4"/>
      <c r="N151" s="4"/>
    </row>
    <row r="152" spans="1:14">
      <c r="A152" s="4"/>
      <c r="B152" s="4"/>
      <c r="C152" s="4"/>
      <c r="D152" s="4"/>
      <c r="E152" s="4"/>
      <c r="F152" s="4"/>
      <c r="G152" s="4"/>
      <c r="H152" s="4"/>
      <c r="J152" s="4"/>
      <c r="K152" s="4"/>
      <c r="L152" s="4"/>
      <c r="M152" s="4"/>
      <c r="N152" s="4"/>
    </row>
    <row r="153" spans="1:14">
      <c r="A153" s="4"/>
      <c r="B153" s="4"/>
      <c r="C153" s="4"/>
      <c r="D153" s="4"/>
      <c r="E153" s="4"/>
      <c r="F153" s="4"/>
      <c r="G153" s="4"/>
      <c r="H153" s="4"/>
      <c r="J153" s="4"/>
      <c r="K153" s="4"/>
      <c r="L153" s="4"/>
      <c r="M153" s="4"/>
      <c r="N153" s="4"/>
    </row>
    <row r="154" spans="1:14">
      <c r="A154" s="4"/>
      <c r="B154" s="4"/>
      <c r="C154" s="4"/>
      <c r="D154" s="4"/>
      <c r="E154" s="4"/>
      <c r="F154" s="4"/>
      <c r="G154" s="4"/>
      <c r="H154" s="4"/>
      <c r="J154" s="4"/>
      <c r="K154" s="4"/>
      <c r="L154" s="4"/>
      <c r="M154" s="4"/>
      <c r="N154" s="4"/>
    </row>
    <row r="155" spans="1:14">
      <c r="A155" s="4"/>
      <c r="B155" s="4"/>
      <c r="C155" s="4"/>
      <c r="D155" s="4"/>
      <c r="E155" s="4"/>
      <c r="F155" s="4"/>
      <c r="G155" s="4"/>
      <c r="H155" s="4"/>
      <c r="J155" s="4"/>
      <c r="K155" s="4"/>
      <c r="L155" s="4"/>
      <c r="M155" s="4"/>
      <c r="N155" s="4"/>
    </row>
    <row r="156" spans="1:14">
      <c r="A156" s="4"/>
      <c r="B156" s="4"/>
      <c r="C156" s="4"/>
      <c r="D156" s="4"/>
      <c r="E156" s="4"/>
      <c r="F156" s="4"/>
      <c r="G156" s="4"/>
      <c r="H156" s="4"/>
      <c r="J156" s="4"/>
      <c r="K156" s="4"/>
      <c r="L156" s="4"/>
      <c r="M156" s="4"/>
      <c r="N156" s="4"/>
    </row>
    <row r="157" spans="1:14">
      <c r="A157" s="4"/>
      <c r="B157" s="4"/>
      <c r="C157" s="4"/>
      <c r="D157" s="4"/>
      <c r="E157" s="4"/>
      <c r="F157" s="4"/>
      <c r="G157" s="4"/>
      <c r="H157" s="4"/>
      <c r="J157" s="4"/>
      <c r="K157" s="4"/>
      <c r="L157" s="4"/>
      <c r="M157" s="4"/>
      <c r="N157" s="4"/>
    </row>
    <row r="158" spans="1:14">
      <c r="A158" s="4"/>
      <c r="B158" s="4"/>
      <c r="C158" s="4"/>
      <c r="D158" s="4"/>
      <c r="E158" s="4"/>
      <c r="F158" s="4"/>
      <c r="G158" s="4"/>
      <c r="H158" s="4"/>
      <c r="J158" s="4"/>
      <c r="K158" s="4"/>
      <c r="L158" s="4"/>
      <c r="M158" s="4"/>
      <c r="N158" s="4"/>
    </row>
    <row r="159" spans="1:14">
      <c r="A159" s="4"/>
      <c r="B159" s="4"/>
      <c r="C159" s="4"/>
      <c r="D159" s="4"/>
      <c r="E159" s="4"/>
      <c r="F159" s="4"/>
      <c r="G159" s="4"/>
      <c r="H159" s="4"/>
      <c r="J159" s="4"/>
      <c r="K159" s="4"/>
      <c r="L159" s="4"/>
      <c r="M159" s="4"/>
      <c r="N159" s="4"/>
    </row>
    <row r="160" spans="1:14">
      <c r="A160" s="4"/>
      <c r="B160" s="4"/>
      <c r="C160" s="4"/>
      <c r="D160" s="4"/>
      <c r="E160" s="4"/>
      <c r="F160" s="4"/>
      <c r="G160" s="4"/>
      <c r="H160" s="4"/>
      <c r="J160" s="4"/>
      <c r="K160" s="4"/>
      <c r="L160" s="4"/>
      <c r="M160" s="4"/>
      <c r="N160" s="4"/>
    </row>
    <row r="161" spans="1:14">
      <c r="A161" s="4"/>
      <c r="B161" s="4"/>
      <c r="C161" s="4"/>
      <c r="D161" s="4"/>
      <c r="E161" s="4"/>
      <c r="F161" s="4"/>
      <c r="G161" s="4"/>
      <c r="H161" s="4"/>
      <c r="J161" s="4"/>
      <c r="K161" s="4"/>
      <c r="L161" s="4"/>
      <c r="M161" s="4"/>
      <c r="N161" s="4"/>
    </row>
    <row r="162" spans="1:14">
      <c r="A162" s="4"/>
      <c r="B162" s="4"/>
      <c r="C162" s="4"/>
      <c r="D162" s="4"/>
      <c r="E162" s="4"/>
      <c r="F162" s="4"/>
      <c r="G162" s="4"/>
      <c r="H162" s="4"/>
      <c r="J162" s="4"/>
      <c r="K162" s="4"/>
      <c r="L162" s="4"/>
      <c r="M162" s="4"/>
      <c r="N162" s="4"/>
    </row>
    <row r="163" spans="1:14">
      <c r="A163" s="4"/>
      <c r="B163" s="4"/>
      <c r="C163" s="4"/>
      <c r="D163" s="4"/>
      <c r="E163" s="4"/>
      <c r="F163" s="4"/>
      <c r="G163" s="4"/>
      <c r="H163" s="4"/>
      <c r="J163" s="4"/>
      <c r="K163" s="4"/>
      <c r="L163" s="4"/>
      <c r="M163" s="4"/>
      <c r="N163" s="4"/>
    </row>
    <row r="164" spans="1:14">
      <c r="A164" s="4"/>
      <c r="B164" s="4"/>
      <c r="C164" s="4"/>
      <c r="D164" s="4"/>
      <c r="E164" s="4"/>
      <c r="F164" s="4"/>
      <c r="G164" s="4"/>
      <c r="H164" s="4"/>
      <c r="J164" s="4"/>
      <c r="K164" s="4"/>
      <c r="L164" s="4"/>
      <c r="M164" s="4"/>
      <c r="N164" s="4"/>
    </row>
    <row r="165" spans="1:14">
      <c r="A165" s="4"/>
      <c r="B165" s="4"/>
      <c r="C165" s="4"/>
      <c r="D165" s="4"/>
      <c r="E165" s="4"/>
      <c r="F165" s="4"/>
      <c r="G165" s="4"/>
      <c r="H165" s="4"/>
      <c r="J165" s="4"/>
      <c r="K165" s="4"/>
      <c r="L165" s="4"/>
      <c r="M165" s="4"/>
      <c r="N165" s="4"/>
    </row>
    <row r="166" spans="1:14">
      <c r="A166" s="4"/>
      <c r="B166" s="4"/>
      <c r="C166" s="4"/>
      <c r="D166" s="4"/>
      <c r="E166" s="4"/>
      <c r="F166" s="4"/>
      <c r="G166" s="4"/>
      <c r="H166" s="4"/>
      <c r="J166" s="4"/>
      <c r="K166" s="4"/>
      <c r="L166" s="4"/>
      <c r="M166" s="4"/>
      <c r="N166" s="4"/>
    </row>
    <row r="167" spans="1:14">
      <c r="A167" s="4"/>
      <c r="B167" s="4"/>
      <c r="C167" s="4"/>
      <c r="D167" s="4"/>
      <c r="E167" s="4"/>
      <c r="F167" s="4"/>
      <c r="G167" s="4"/>
      <c r="H167" s="4"/>
      <c r="J167" s="4"/>
      <c r="K167" s="4"/>
      <c r="L167" s="4"/>
      <c r="M167" s="4"/>
      <c r="N167" s="4"/>
    </row>
    <row r="168" spans="1:14">
      <c r="A168" s="4"/>
      <c r="B168" s="4"/>
      <c r="C168" s="4"/>
      <c r="D168" s="4"/>
      <c r="E168" s="4"/>
      <c r="F168" s="4"/>
      <c r="G168" s="4"/>
      <c r="H168" s="4"/>
      <c r="J168" s="4"/>
      <c r="K168" s="4"/>
      <c r="L168" s="4"/>
      <c r="M168" s="4"/>
      <c r="N168" s="4"/>
    </row>
    <row r="169" spans="1:14">
      <c r="A169" s="4"/>
      <c r="B169" s="4"/>
      <c r="C169" s="4"/>
      <c r="D169" s="4"/>
      <c r="E169" s="4"/>
      <c r="F169" s="4"/>
      <c r="G169" s="4"/>
      <c r="H169" s="4"/>
      <c r="J169" s="4"/>
      <c r="K169" s="4"/>
      <c r="L169" s="4"/>
      <c r="M169" s="4"/>
      <c r="N169" s="4"/>
    </row>
    <row r="170" spans="1:14">
      <c r="A170" s="4"/>
      <c r="B170" s="4"/>
      <c r="C170" s="4"/>
      <c r="D170" s="4"/>
      <c r="E170" s="4"/>
      <c r="F170" s="4"/>
      <c r="G170" s="4"/>
      <c r="H170" s="4"/>
      <c r="J170" s="4"/>
      <c r="K170" s="4"/>
      <c r="L170" s="4"/>
      <c r="M170" s="4"/>
      <c r="N170" s="4"/>
    </row>
    <row r="171" spans="1:14">
      <c r="A171" s="4"/>
      <c r="B171" s="4"/>
      <c r="C171" s="4"/>
      <c r="D171" s="4"/>
      <c r="E171" s="4"/>
      <c r="F171" s="4"/>
      <c r="G171" s="4"/>
      <c r="H171" s="4"/>
      <c r="J171" s="4"/>
      <c r="K171" s="4"/>
      <c r="L171" s="4"/>
      <c r="M171" s="4"/>
      <c r="N171" s="4"/>
    </row>
    <row r="172" spans="1:14">
      <c r="A172" s="4"/>
      <c r="B172" s="4"/>
      <c r="C172" s="4"/>
      <c r="D172" s="4"/>
      <c r="E172" s="4"/>
      <c r="F172" s="4"/>
      <c r="G172" s="4"/>
      <c r="H172" s="4"/>
      <c r="J172" s="4"/>
      <c r="K172" s="4"/>
      <c r="L172" s="4"/>
      <c r="M172" s="4"/>
      <c r="N172" s="4"/>
    </row>
    <row r="173" spans="1:14">
      <c r="A173" s="4"/>
      <c r="B173" s="4"/>
      <c r="C173" s="4"/>
      <c r="D173" s="4"/>
      <c r="E173" s="4"/>
      <c r="F173" s="4"/>
      <c r="G173" s="4"/>
      <c r="H173" s="4"/>
      <c r="J173" s="4"/>
      <c r="K173" s="4"/>
      <c r="L173" s="4"/>
      <c r="M173" s="4"/>
      <c r="N173" s="4"/>
    </row>
    <row r="174" spans="1:14">
      <c r="A174" s="4"/>
      <c r="B174" s="4"/>
      <c r="C174" s="4"/>
      <c r="D174" s="4"/>
      <c r="E174" s="4"/>
      <c r="F174" s="4"/>
      <c r="G174" s="4"/>
      <c r="H174" s="4"/>
      <c r="J174" s="4"/>
      <c r="K174" s="4"/>
      <c r="L174" s="4"/>
      <c r="M174" s="4"/>
      <c r="N174" s="4"/>
    </row>
    <row r="175" spans="1:14">
      <c r="A175" s="4"/>
      <c r="B175" s="4"/>
      <c r="C175" s="4"/>
      <c r="D175" s="4"/>
      <c r="E175" s="4"/>
      <c r="F175" s="4"/>
      <c r="G175" s="4"/>
      <c r="H175" s="4"/>
      <c r="J175" s="4"/>
      <c r="K175" s="4"/>
      <c r="L175" s="4"/>
      <c r="M175" s="4"/>
      <c r="N175" s="4"/>
    </row>
    <row r="176" spans="1:14">
      <c r="A176" s="4"/>
      <c r="B176" s="4"/>
      <c r="C176" s="4"/>
      <c r="D176" s="4"/>
      <c r="E176" s="4"/>
      <c r="F176" s="4"/>
      <c r="G176" s="4"/>
      <c r="H176" s="4"/>
      <c r="J176" s="4"/>
      <c r="K176" s="4"/>
      <c r="L176" s="4"/>
      <c r="M176" s="4"/>
      <c r="N176" s="4"/>
    </row>
    <row r="177" spans="1:14">
      <c r="A177" s="4"/>
      <c r="B177" s="4"/>
      <c r="C177" s="4"/>
      <c r="D177" s="4"/>
      <c r="E177" s="4"/>
      <c r="F177" s="4"/>
      <c r="G177" s="4"/>
      <c r="H177" s="4"/>
      <c r="J177" s="4"/>
      <c r="K177" s="4"/>
      <c r="L177" s="4"/>
      <c r="M177" s="4"/>
      <c r="N177" s="4"/>
    </row>
    <row r="178" spans="1:14">
      <c r="A178" s="4"/>
      <c r="B178" s="4"/>
      <c r="C178" s="4"/>
      <c r="D178" s="4"/>
      <c r="E178" s="4"/>
      <c r="F178" s="4"/>
      <c r="G178" s="4"/>
      <c r="H178" s="4"/>
      <c r="J178" s="4"/>
      <c r="K178" s="4"/>
      <c r="L178" s="4"/>
      <c r="M178" s="4"/>
      <c r="N178" s="4"/>
    </row>
    <row r="179" spans="1:14">
      <c r="A179" s="4"/>
      <c r="B179" s="4"/>
      <c r="C179" s="4"/>
      <c r="D179" s="4"/>
      <c r="E179" s="4"/>
      <c r="F179" s="4"/>
      <c r="G179" s="4"/>
      <c r="H179" s="4"/>
      <c r="J179" s="4"/>
      <c r="K179" s="4"/>
      <c r="L179" s="4"/>
      <c r="M179" s="4"/>
      <c r="N179" s="4"/>
    </row>
    <row r="180" spans="1:14">
      <c r="A180" s="4"/>
      <c r="B180" s="4"/>
      <c r="C180" s="4"/>
      <c r="D180" s="4"/>
      <c r="E180" s="4"/>
      <c r="F180" s="4"/>
      <c r="G180" s="4"/>
      <c r="H180" s="4"/>
      <c r="J180" s="4"/>
      <c r="K180" s="4"/>
      <c r="L180" s="4"/>
      <c r="M180" s="4"/>
      <c r="N180" s="4"/>
    </row>
    <row r="181" spans="1:14">
      <c r="A181" s="4"/>
      <c r="B181" s="4"/>
      <c r="C181" s="4"/>
      <c r="D181" s="4"/>
      <c r="E181" s="4"/>
      <c r="F181" s="4"/>
      <c r="G181" s="4"/>
      <c r="H181" s="4"/>
      <c r="J181" s="4"/>
      <c r="K181" s="4"/>
      <c r="L181" s="4"/>
      <c r="M181" s="4"/>
      <c r="N181" s="4"/>
    </row>
    <row r="182" spans="1:14">
      <c r="A182" s="4"/>
      <c r="B182" s="4"/>
      <c r="C182" s="4"/>
      <c r="D182" s="4"/>
      <c r="E182" s="4"/>
      <c r="F182" s="4"/>
      <c r="G182" s="4"/>
      <c r="H182" s="4"/>
      <c r="J182" s="4"/>
      <c r="K182" s="4"/>
      <c r="L182" s="4"/>
      <c r="M182" s="4"/>
      <c r="N182" s="4"/>
    </row>
    <row r="183" spans="1:14">
      <c r="A183" s="4"/>
      <c r="B183" s="4"/>
      <c r="C183" s="4"/>
      <c r="D183" s="4"/>
      <c r="E183" s="4"/>
      <c r="F183" s="4"/>
      <c r="G183" s="4"/>
      <c r="H183" s="4"/>
      <c r="J183" s="4"/>
      <c r="K183" s="4"/>
      <c r="L183" s="4"/>
      <c r="M183" s="4"/>
      <c r="N183" s="4"/>
    </row>
    <row r="184" spans="1:14">
      <c r="A184" s="4"/>
      <c r="B184" s="4"/>
      <c r="C184" s="4"/>
      <c r="D184" s="4"/>
      <c r="E184" s="4"/>
      <c r="F184" s="4"/>
      <c r="G184" s="4"/>
      <c r="H184" s="4"/>
      <c r="J184" s="4"/>
      <c r="K184" s="4"/>
      <c r="L184" s="4"/>
      <c r="M184" s="4"/>
      <c r="N184" s="4"/>
    </row>
    <row r="185" spans="1:14">
      <c r="A185" s="4"/>
      <c r="B185" s="4"/>
      <c r="C185" s="4"/>
      <c r="D185" s="4"/>
      <c r="E185" s="4"/>
      <c r="F185" s="4"/>
      <c r="G185" s="4"/>
      <c r="H185" s="4"/>
      <c r="J185" s="4"/>
      <c r="K185" s="4"/>
      <c r="L185" s="4"/>
      <c r="M185" s="4"/>
      <c r="N185" s="4"/>
    </row>
    <row r="186" spans="1:14">
      <c r="A186" s="4"/>
      <c r="B186" s="4"/>
      <c r="C186" s="4"/>
      <c r="D186" s="4"/>
      <c r="E186" s="4"/>
      <c r="F186" s="4"/>
      <c r="G186" s="4"/>
      <c r="H186" s="4"/>
      <c r="J186" s="4"/>
      <c r="K186" s="4"/>
      <c r="L186" s="4"/>
      <c r="M186" s="4"/>
      <c r="N186" s="4"/>
    </row>
    <row r="187" spans="1:14">
      <c r="A187" s="4"/>
      <c r="B187" s="4"/>
      <c r="C187" s="4"/>
      <c r="D187" s="4"/>
      <c r="E187" s="4"/>
      <c r="F187" s="4"/>
      <c r="G187" s="4"/>
      <c r="H187" s="4"/>
      <c r="J187" s="4"/>
      <c r="K187" s="4"/>
      <c r="L187" s="4"/>
      <c r="M187" s="4"/>
      <c r="N187" s="4"/>
    </row>
    <row r="188" spans="1:14">
      <c r="A188" s="4"/>
      <c r="B188" s="4"/>
      <c r="C188" s="4"/>
      <c r="D188" s="4"/>
      <c r="E188" s="4"/>
      <c r="F188" s="4"/>
      <c r="G188" s="4"/>
      <c r="H188" s="4"/>
      <c r="J188" s="4"/>
      <c r="K188" s="4"/>
      <c r="L188" s="4"/>
      <c r="M188" s="4"/>
      <c r="N188" s="4"/>
    </row>
    <row r="189" spans="1:14">
      <c r="A189" s="4"/>
      <c r="B189" s="4"/>
      <c r="C189" s="4"/>
      <c r="D189" s="4"/>
      <c r="E189" s="4"/>
      <c r="F189" s="4"/>
      <c r="G189" s="4"/>
      <c r="H189" s="4"/>
      <c r="J189" s="4"/>
      <c r="K189" s="4"/>
      <c r="L189" s="4"/>
      <c r="M189" s="4"/>
      <c r="N189" s="4"/>
    </row>
    <row r="190" spans="1:14">
      <c r="A190" s="4"/>
      <c r="B190" s="4"/>
      <c r="C190" s="4"/>
      <c r="D190" s="4"/>
      <c r="E190" s="4"/>
      <c r="F190" s="4"/>
      <c r="G190" s="4"/>
      <c r="H190" s="4"/>
      <c r="J190" s="4"/>
      <c r="K190" s="4"/>
      <c r="L190" s="4"/>
      <c r="M190" s="4"/>
      <c r="N190" s="4"/>
    </row>
    <row r="191" spans="1:14">
      <c r="A191" s="4"/>
      <c r="B191" s="4"/>
      <c r="C191" s="4"/>
      <c r="D191" s="4"/>
      <c r="E191" s="4"/>
      <c r="F191" s="4"/>
      <c r="G191" s="4"/>
      <c r="H191" s="4"/>
      <c r="J191" s="4"/>
      <c r="K191" s="4"/>
      <c r="L191" s="4"/>
      <c r="M191" s="4"/>
      <c r="N191" s="4"/>
    </row>
    <row r="192" spans="1:14">
      <c r="A192" s="4"/>
      <c r="B192" s="4"/>
      <c r="C192" s="4"/>
      <c r="D192" s="4"/>
      <c r="E192" s="4"/>
      <c r="F192" s="4"/>
      <c r="G192" s="4"/>
      <c r="H192" s="4"/>
      <c r="J192" s="4"/>
      <c r="K192" s="4"/>
      <c r="L192" s="4"/>
      <c r="M192" s="4"/>
      <c r="N192" s="4"/>
    </row>
    <row r="193" spans="1:14">
      <c r="A193" s="4"/>
      <c r="B193" s="4"/>
      <c r="C193" s="4"/>
      <c r="D193" s="4"/>
      <c r="E193" s="4"/>
      <c r="F193" s="4"/>
      <c r="G193" s="4"/>
      <c r="H193" s="4"/>
      <c r="J193" s="4"/>
      <c r="K193" s="4"/>
      <c r="L193" s="4"/>
      <c r="M193" s="4"/>
      <c r="N193" s="4"/>
    </row>
    <row r="194" spans="1:14">
      <c r="A194" s="4"/>
      <c r="B194" s="4"/>
      <c r="C194" s="4"/>
      <c r="D194" s="4"/>
      <c r="E194" s="4"/>
      <c r="F194" s="4"/>
      <c r="G194" s="4"/>
      <c r="H194" s="4"/>
      <c r="J194" s="4"/>
      <c r="K194" s="4"/>
      <c r="L194" s="4"/>
      <c r="M194" s="4"/>
      <c r="N194" s="4"/>
    </row>
    <row r="195" spans="1:14">
      <c r="A195" s="4"/>
      <c r="B195" s="4"/>
      <c r="C195" s="4"/>
      <c r="D195" s="4"/>
      <c r="E195" s="4"/>
      <c r="F195" s="4"/>
      <c r="G195" s="4"/>
      <c r="H195" s="4"/>
      <c r="J195" s="4"/>
      <c r="K195" s="4"/>
      <c r="L195" s="4"/>
      <c r="M195" s="4"/>
      <c r="N195" s="4"/>
    </row>
    <row r="196" spans="1:14">
      <c r="A196" s="4"/>
      <c r="B196" s="4"/>
      <c r="C196" s="4"/>
      <c r="D196" s="4"/>
      <c r="E196" s="4"/>
      <c r="F196" s="4"/>
      <c r="G196" s="4"/>
      <c r="H196" s="4"/>
      <c r="J196" s="4"/>
      <c r="K196" s="4"/>
      <c r="L196" s="4"/>
      <c r="M196" s="4"/>
      <c r="N196" s="4"/>
    </row>
    <row r="197" spans="1:14">
      <c r="A197" s="4"/>
      <c r="B197" s="4"/>
      <c r="C197" s="4"/>
      <c r="D197" s="4"/>
      <c r="E197" s="4"/>
      <c r="F197" s="4"/>
      <c r="G197" s="4"/>
      <c r="H197" s="4"/>
      <c r="J197" s="4"/>
      <c r="K197" s="4"/>
      <c r="L197" s="4"/>
      <c r="M197" s="4"/>
      <c r="N197" s="4"/>
    </row>
    <row r="198" spans="1:14">
      <c r="A198" s="4"/>
      <c r="B198" s="4"/>
      <c r="C198" s="4"/>
      <c r="D198" s="4"/>
      <c r="E198" s="4"/>
      <c r="F198" s="4"/>
      <c r="G198" s="4"/>
      <c r="H198" s="4"/>
      <c r="J198" s="4"/>
      <c r="K198" s="4"/>
      <c r="L198" s="4"/>
      <c r="M198" s="4"/>
      <c r="N198" s="4"/>
    </row>
    <row r="199" spans="1:14">
      <c r="A199" s="4"/>
      <c r="B199" s="4"/>
      <c r="C199" s="4"/>
      <c r="D199" s="4"/>
      <c r="E199" s="4"/>
      <c r="F199" s="4"/>
      <c r="G199" s="4"/>
      <c r="H199" s="4"/>
      <c r="J199" s="4"/>
      <c r="K199" s="4"/>
      <c r="L199" s="4"/>
      <c r="M199" s="4"/>
      <c r="N199" s="4"/>
    </row>
    <row r="200" spans="1:14">
      <c r="A200" s="4"/>
      <c r="B200" s="4"/>
      <c r="C200" s="4"/>
      <c r="D200" s="4"/>
      <c r="E200" s="4"/>
      <c r="F200" s="4"/>
      <c r="G200" s="4"/>
      <c r="H200" s="4"/>
      <c r="J200" s="4"/>
      <c r="K200" s="4"/>
      <c r="L200" s="4"/>
      <c r="M200" s="4"/>
      <c r="N200" s="4"/>
    </row>
    <row r="201" spans="1:14">
      <c r="A201" s="4"/>
      <c r="B201" s="4"/>
      <c r="C201" s="4"/>
      <c r="D201" s="4"/>
      <c r="E201" s="4"/>
      <c r="F201" s="4"/>
      <c r="G201" s="4"/>
      <c r="H201" s="4"/>
      <c r="J201" s="4"/>
      <c r="K201" s="4"/>
      <c r="L201" s="4"/>
      <c r="M201" s="4"/>
      <c r="N201" s="4"/>
    </row>
    <row r="202" spans="1:14">
      <c r="A202" s="4"/>
      <c r="B202" s="4"/>
      <c r="C202" s="4"/>
      <c r="D202" s="4"/>
      <c r="E202" s="4"/>
      <c r="F202" s="4"/>
      <c r="G202" s="4"/>
      <c r="H202" s="4"/>
      <c r="J202" s="4"/>
      <c r="K202" s="4"/>
      <c r="L202" s="4"/>
      <c r="M202" s="4"/>
      <c r="N202" s="4"/>
    </row>
    <row r="203" spans="1:14">
      <c r="A203" s="4"/>
      <c r="B203" s="4"/>
      <c r="C203" s="4"/>
      <c r="D203" s="4"/>
      <c r="E203" s="4"/>
      <c r="F203" s="4"/>
      <c r="G203" s="4"/>
      <c r="H203" s="4"/>
      <c r="J203" s="4"/>
      <c r="K203" s="4"/>
      <c r="L203" s="4"/>
      <c r="M203" s="4"/>
      <c r="N203" s="4"/>
    </row>
    <row r="204" spans="1:14">
      <c r="A204" s="4"/>
      <c r="B204" s="4"/>
      <c r="C204" s="4"/>
      <c r="D204" s="4"/>
      <c r="E204" s="4"/>
      <c r="F204" s="4"/>
      <c r="G204" s="4"/>
      <c r="H204" s="4"/>
      <c r="J204" s="4"/>
      <c r="K204" s="4"/>
      <c r="L204" s="4"/>
      <c r="M204" s="4"/>
      <c r="N204" s="4"/>
    </row>
    <row r="205" spans="1:14">
      <c r="A205" s="4"/>
      <c r="B205" s="4"/>
      <c r="C205" s="4"/>
      <c r="D205" s="4"/>
      <c r="E205" s="4"/>
      <c r="F205" s="4"/>
      <c r="G205" s="4"/>
      <c r="H205" s="4"/>
      <c r="J205" s="4"/>
      <c r="K205" s="4"/>
      <c r="L205" s="4"/>
      <c r="M205" s="4"/>
      <c r="N205" s="4"/>
    </row>
    <row r="206" spans="1:14">
      <c r="A206" s="4"/>
      <c r="B206" s="4"/>
      <c r="C206" s="4"/>
      <c r="D206" s="4"/>
      <c r="E206" s="4"/>
      <c r="F206" s="4"/>
      <c r="G206" s="4"/>
      <c r="H206" s="4"/>
      <c r="J206" s="4"/>
      <c r="K206" s="4"/>
      <c r="L206" s="4"/>
      <c r="M206" s="4"/>
      <c r="N206" s="4"/>
    </row>
    <row r="207" spans="1:14">
      <c r="A207" s="4"/>
      <c r="B207" s="4"/>
      <c r="C207" s="4"/>
      <c r="D207" s="4"/>
      <c r="E207" s="4"/>
      <c r="F207" s="4"/>
      <c r="G207" s="4"/>
      <c r="H207" s="4"/>
      <c r="J207" s="4"/>
      <c r="K207" s="4"/>
      <c r="L207" s="4"/>
      <c r="M207" s="4"/>
      <c r="N207" s="4"/>
    </row>
    <row r="208" spans="1:14">
      <c r="A208" s="4"/>
      <c r="B208" s="4"/>
      <c r="C208" s="4"/>
      <c r="D208" s="4"/>
      <c r="E208" s="4"/>
      <c r="F208" s="4"/>
      <c r="G208" s="4"/>
      <c r="H208" s="4"/>
      <c r="J208" s="4"/>
      <c r="K208" s="4"/>
      <c r="L208" s="4"/>
      <c r="M208" s="4"/>
      <c r="N208" s="4"/>
    </row>
    <row r="209" spans="1:14">
      <c r="A209" s="4"/>
      <c r="B209" s="4"/>
      <c r="C209" s="4"/>
      <c r="D209" s="4"/>
      <c r="E209" s="4"/>
      <c r="F209" s="4"/>
      <c r="G209" s="4"/>
      <c r="H209" s="4"/>
      <c r="J209" s="4"/>
      <c r="K209" s="4"/>
      <c r="L209" s="4"/>
      <c r="M209" s="4"/>
      <c r="N209" s="4"/>
    </row>
    <row r="210" spans="1:14">
      <c r="A210" s="4"/>
      <c r="B210" s="4"/>
      <c r="C210" s="4"/>
      <c r="D210" s="4"/>
      <c r="E210" s="4"/>
      <c r="F210" s="4"/>
      <c r="G210" s="4"/>
      <c r="H210" s="4"/>
      <c r="J210" s="4"/>
      <c r="K210" s="4"/>
      <c r="L210" s="4"/>
      <c r="M210" s="4"/>
      <c r="N210" s="4"/>
    </row>
    <row r="211" spans="1:14">
      <c r="A211" s="4"/>
      <c r="B211" s="4"/>
      <c r="C211" s="4"/>
      <c r="D211" s="4"/>
      <c r="E211" s="4"/>
      <c r="F211" s="4"/>
      <c r="G211" s="4"/>
      <c r="H211" s="4"/>
      <c r="J211" s="4"/>
      <c r="K211" s="4"/>
      <c r="L211" s="4"/>
      <c r="M211" s="4"/>
      <c r="N211" s="4"/>
    </row>
    <row r="212" spans="1:14">
      <c r="A212" s="4"/>
      <c r="B212" s="4"/>
      <c r="C212" s="4"/>
      <c r="D212" s="4"/>
      <c r="E212" s="4"/>
      <c r="F212" s="4"/>
      <c r="G212" s="4"/>
      <c r="H212" s="4"/>
      <c r="J212" s="4"/>
      <c r="K212" s="4"/>
      <c r="L212" s="4"/>
      <c r="M212" s="4"/>
      <c r="N212" s="4"/>
    </row>
    <row r="213" spans="1:14">
      <c r="A213" s="4"/>
      <c r="B213" s="4"/>
      <c r="C213" s="4"/>
      <c r="D213" s="4"/>
      <c r="E213" s="4"/>
      <c r="F213" s="4"/>
      <c r="G213" s="4"/>
      <c r="H213" s="4"/>
      <c r="J213" s="4"/>
      <c r="K213" s="4"/>
      <c r="L213" s="4"/>
      <c r="M213" s="4"/>
      <c r="N213" s="4"/>
    </row>
    <row r="214" spans="1:14">
      <c r="A214" s="4"/>
      <c r="B214" s="4"/>
      <c r="C214" s="4"/>
      <c r="D214" s="4"/>
      <c r="E214" s="4"/>
      <c r="F214" s="4"/>
      <c r="G214" s="4"/>
      <c r="H214" s="4"/>
      <c r="J214" s="4"/>
      <c r="K214" s="4"/>
      <c r="L214" s="4"/>
      <c r="M214" s="4"/>
      <c r="N214" s="4"/>
    </row>
    <row r="215" spans="1:14">
      <c r="A215" s="4"/>
      <c r="B215" s="4"/>
      <c r="C215" s="4"/>
      <c r="D215" s="4"/>
      <c r="E215" s="4"/>
      <c r="F215" s="4"/>
      <c r="G215" s="4"/>
      <c r="H215" s="4"/>
      <c r="J215" s="4"/>
      <c r="K215" s="4"/>
      <c r="L215" s="4"/>
      <c r="M215" s="4"/>
      <c r="N215" s="4"/>
    </row>
    <row r="216" spans="1:14">
      <c r="A216" s="4"/>
      <c r="B216" s="4"/>
      <c r="C216" s="4"/>
      <c r="D216" s="4"/>
      <c r="E216" s="4"/>
      <c r="F216" s="4"/>
      <c r="G216" s="4"/>
      <c r="H216" s="4"/>
      <c r="J216" s="4"/>
      <c r="K216" s="4"/>
      <c r="L216" s="4"/>
      <c r="M216" s="4"/>
      <c r="N216" s="4"/>
    </row>
    <row r="217" spans="1:14">
      <c r="A217" s="4"/>
      <c r="B217" s="4"/>
      <c r="C217" s="4"/>
      <c r="D217" s="4"/>
      <c r="E217" s="4"/>
      <c r="F217" s="4"/>
      <c r="G217" s="4"/>
      <c r="H217" s="4"/>
      <c r="J217" s="4"/>
      <c r="K217" s="4"/>
      <c r="L217" s="4"/>
      <c r="M217" s="4"/>
      <c r="N217" s="4"/>
    </row>
    <row r="218" spans="1:14">
      <c r="A218" s="4"/>
      <c r="B218" s="4"/>
      <c r="C218" s="4"/>
      <c r="D218" s="4"/>
      <c r="E218" s="4"/>
      <c r="F218" s="4"/>
      <c r="G218" s="4"/>
      <c r="H218" s="4"/>
      <c r="J218" s="4"/>
      <c r="K218" s="4"/>
      <c r="L218" s="4"/>
      <c r="M218" s="4"/>
      <c r="N218" s="4"/>
    </row>
    <row r="219" spans="1:14">
      <c r="A219" s="4"/>
      <c r="B219" s="4"/>
      <c r="C219" s="4"/>
      <c r="D219" s="4"/>
      <c r="E219" s="4"/>
      <c r="F219" s="4"/>
      <c r="G219" s="4"/>
      <c r="H219" s="4"/>
      <c r="J219" s="4"/>
      <c r="K219" s="4"/>
      <c r="L219" s="4"/>
      <c r="M219" s="4"/>
      <c r="N219" s="4"/>
    </row>
    <row r="220" spans="1:14">
      <c r="A220" s="4"/>
      <c r="B220" s="4"/>
      <c r="C220" s="4"/>
      <c r="D220" s="4"/>
      <c r="E220" s="4"/>
      <c r="F220" s="4"/>
      <c r="G220" s="4"/>
      <c r="H220" s="4"/>
      <c r="J220" s="4"/>
      <c r="K220" s="4"/>
      <c r="L220" s="4"/>
      <c r="M220" s="4"/>
      <c r="N220" s="4"/>
    </row>
    <row r="221" spans="1:14">
      <c r="A221" s="4"/>
      <c r="B221" s="4"/>
      <c r="C221" s="4"/>
      <c r="D221" s="4"/>
      <c r="E221" s="4"/>
      <c r="F221" s="4"/>
      <c r="G221" s="4"/>
      <c r="H221" s="4"/>
      <c r="J221" s="4"/>
      <c r="K221" s="4"/>
      <c r="L221" s="4"/>
      <c r="M221" s="4"/>
      <c r="N221" s="4"/>
    </row>
    <row r="222" spans="1:14">
      <c r="A222" s="4"/>
      <c r="B222" s="4"/>
      <c r="C222" s="4"/>
      <c r="D222" s="4"/>
      <c r="E222" s="4"/>
      <c r="F222" s="4"/>
      <c r="G222" s="4"/>
      <c r="H222" s="4"/>
      <c r="J222" s="4"/>
      <c r="K222" s="4"/>
      <c r="L222" s="4"/>
      <c r="M222" s="4"/>
      <c r="N222" s="4"/>
    </row>
    <row r="223" spans="1:14">
      <c r="A223" s="4"/>
      <c r="B223" s="4"/>
      <c r="C223" s="4"/>
      <c r="D223" s="4"/>
      <c r="E223" s="4"/>
      <c r="F223" s="4"/>
      <c r="G223" s="4"/>
      <c r="H223" s="4"/>
      <c r="J223" s="4"/>
      <c r="K223" s="4"/>
      <c r="L223" s="4"/>
      <c r="M223" s="4"/>
      <c r="N223" s="4"/>
    </row>
    <row r="224" spans="1:14">
      <c r="A224" s="4"/>
      <c r="B224" s="4"/>
      <c r="C224" s="4"/>
      <c r="D224" s="4"/>
      <c r="E224" s="4"/>
      <c r="F224" s="4"/>
      <c r="G224" s="4"/>
      <c r="H224" s="4"/>
      <c r="J224" s="4"/>
      <c r="K224" s="4"/>
      <c r="L224" s="4"/>
      <c r="M224" s="4"/>
      <c r="N224" s="4"/>
    </row>
    <row r="225" spans="1:14">
      <c r="A225" s="4"/>
      <c r="B225" s="4"/>
      <c r="C225" s="4"/>
      <c r="D225" s="4"/>
      <c r="E225" s="4"/>
      <c r="F225" s="4"/>
      <c r="G225" s="4"/>
      <c r="H225" s="4"/>
      <c r="J225" s="4"/>
      <c r="K225" s="4"/>
      <c r="L225" s="4"/>
      <c r="M225" s="4"/>
      <c r="N225" s="4"/>
    </row>
    <row r="226" spans="1:14">
      <c r="A226" s="4"/>
      <c r="B226" s="4"/>
      <c r="C226" s="4"/>
      <c r="D226" s="4"/>
      <c r="E226" s="4"/>
      <c r="F226" s="4"/>
      <c r="G226" s="4"/>
      <c r="H226" s="4"/>
      <c r="J226" s="4"/>
      <c r="K226" s="4"/>
      <c r="L226" s="4"/>
      <c r="M226" s="4"/>
      <c r="N226" s="4"/>
    </row>
    <row r="227" spans="1:14">
      <c r="A227" s="4"/>
      <c r="B227" s="4"/>
      <c r="C227" s="4"/>
      <c r="D227" s="4"/>
      <c r="E227" s="4"/>
      <c r="F227" s="4"/>
      <c r="G227" s="4"/>
      <c r="H227" s="4"/>
      <c r="J227" s="4"/>
      <c r="K227" s="4"/>
      <c r="L227" s="4"/>
      <c r="M227" s="4"/>
      <c r="N227" s="4"/>
    </row>
    <row r="228" spans="1:14">
      <c r="A228" s="4"/>
      <c r="B228" s="4"/>
      <c r="C228" s="4"/>
      <c r="D228" s="4"/>
      <c r="E228" s="4"/>
      <c r="F228" s="4"/>
      <c r="G228" s="4"/>
      <c r="H228" s="4"/>
      <c r="J228" s="4"/>
      <c r="K228" s="4"/>
      <c r="L228" s="4"/>
      <c r="M228" s="4"/>
      <c r="N228" s="4"/>
    </row>
    <row r="229" spans="1:14">
      <c r="A229" s="4"/>
      <c r="B229" s="4"/>
      <c r="C229" s="4"/>
      <c r="D229" s="4"/>
      <c r="E229" s="4"/>
      <c r="F229" s="4"/>
      <c r="G229" s="4"/>
      <c r="H229" s="4"/>
      <c r="J229" s="4"/>
      <c r="K229" s="4"/>
      <c r="L229" s="4"/>
      <c r="M229" s="4"/>
      <c r="N229" s="4"/>
    </row>
    <row r="230" spans="1:14">
      <c r="A230" s="4"/>
      <c r="B230" s="4"/>
      <c r="C230" s="4"/>
      <c r="D230" s="4"/>
      <c r="E230" s="4"/>
      <c r="F230" s="4"/>
      <c r="G230" s="4"/>
      <c r="H230" s="4"/>
      <c r="J230" s="4"/>
      <c r="K230" s="4"/>
      <c r="L230" s="4"/>
      <c r="M230" s="4"/>
      <c r="N230" s="4"/>
    </row>
    <row r="231" spans="1:14">
      <c r="A231" s="4"/>
      <c r="B231" s="4"/>
      <c r="C231" s="4"/>
      <c r="D231" s="4"/>
      <c r="E231" s="4"/>
      <c r="F231" s="4"/>
      <c r="G231" s="4"/>
      <c r="H231" s="4"/>
      <c r="J231" s="4"/>
      <c r="K231" s="4"/>
      <c r="L231" s="4"/>
      <c r="M231" s="4"/>
      <c r="N231" s="4"/>
    </row>
    <row r="232" spans="1:14">
      <c r="A232" s="4"/>
      <c r="B232" s="4"/>
      <c r="C232" s="4"/>
      <c r="D232" s="4"/>
      <c r="E232" s="4"/>
      <c r="F232" s="4"/>
      <c r="G232" s="4"/>
      <c r="H232" s="4"/>
      <c r="J232" s="4"/>
      <c r="K232" s="4"/>
      <c r="L232" s="4"/>
      <c r="M232" s="4"/>
      <c r="N232" s="4"/>
    </row>
    <row r="233" spans="1:14">
      <c r="A233" s="4"/>
      <c r="B233" s="4"/>
      <c r="C233" s="4"/>
      <c r="D233" s="4"/>
      <c r="E233" s="4"/>
      <c r="F233" s="4"/>
      <c r="G233" s="4"/>
      <c r="H233" s="4"/>
      <c r="J233" s="4"/>
      <c r="K233" s="4"/>
      <c r="L233" s="4"/>
      <c r="M233" s="4"/>
      <c r="N233" s="4"/>
    </row>
    <row r="234" spans="1:14">
      <c r="A234" s="4"/>
      <c r="B234" s="4"/>
      <c r="C234" s="4"/>
      <c r="D234" s="4"/>
      <c r="E234" s="4"/>
      <c r="F234" s="4"/>
      <c r="G234" s="4"/>
      <c r="H234" s="4"/>
      <c r="J234" s="4"/>
      <c r="K234" s="4"/>
      <c r="L234" s="4"/>
      <c r="M234" s="4"/>
      <c r="N234" s="4"/>
    </row>
    <row r="235" spans="1:14">
      <c r="A235" s="4"/>
      <c r="B235" s="4"/>
      <c r="C235" s="4"/>
      <c r="D235" s="4"/>
      <c r="E235" s="4"/>
      <c r="F235" s="4"/>
      <c r="G235" s="4"/>
      <c r="H235" s="4"/>
      <c r="J235" s="4"/>
      <c r="K235" s="4"/>
      <c r="L235" s="4"/>
      <c r="M235" s="4"/>
      <c r="N235" s="4"/>
    </row>
    <row r="236" spans="1:14">
      <c r="A236" s="4"/>
      <c r="B236" s="4"/>
      <c r="C236" s="4"/>
      <c r="D236" s="4"/>
      <c r="E236" s="4"/>
      <c r="F236" s="4"/>
      <c r="G236" s="4"/>
      <c r="H236" s="4"/>
      <c r="J236" s="4"/>
      <c r="K236" s="4"/>
      <c r="L236" s="4"/>
      <c r="M236" s="4"/>
      <c r="N236" s="4"/>
    </row>
    <row r="237" spans="1:14">
      <c r="A237" s="4"/>
      <c r="B237" s="4"/>
      <c r="C237" s="4"/>
      <c r="D237" s="4"/>
      <c r="E237" s="4"/>
      <c r="F237" s="4"/>
      <c r="G237" s="4"/>
      <c r="H237" s="4"/>
      <c r="J237" s="4"/>
      <c r="K237" s="4"/>
      <c r="L237" s="4"/>
      <c r="M237" s="4"/>
      <c r="N237" s="4"/>
    </row>
    <row r="238" spans="1:14">
      <c r="A238" s="4"/>
      <c r="B238" s="4"/>
      <c r="C238" s="4"/>
      <c r="D238" s="4"/>
      <c r="E238" s="4"/>
      <c r="F238" s="4"/>
      <c r="G238" s="4"/>
      <c r="H238" s="4"/>
      <c r="J238" s="4"/>
      <c r="K238" s="4"/>
      <c r="L238" s="4"/>
      <c r="M238" s="4"/>
      <c r="N238" s="4"/>
    </row>
    <row r="239" spans="1:14">
      <c r="A239" s="4"/>
      <c r="B239" s="4"/>
      <c r="C239" s="4"/>
      <c r="D239" s="4"/>
      <c r="E239" s="4"/>
      <c r="F239" s="4"/>
      <c r="G239" s="4"/>
      <c r="H239" s="4"/>
      <c r="J239" s="4"/>
      <c r="K239" s="4"/>
      <c r="L239" s="4"/>
      <c r="M239" s="4"/>
      <c r="N239" s="4"/>
    </row>
    <row r="240" spans="1:14">
      <c r="A240" s="4"/>
      <c r="B240" s="4"/>
      <c r="C240" s="4"/>
      <c r="D240" s="4"/>
      <c r="E240" s="4"/>
      <c r="F240" s="4"/>
      <c r="G240" s="4"/>
      <c r="H240" s="4"/>
      <c r="J240" s="4"/>
      <c r="K240" s="4"/>
      <c r="L240" s="4"/>
      <c r="M240" s="4"/>
      <c r="N240" s="4"/>
    </row>
    <row r="241" spans="1:14">
      <c r="A241" s="4"/>
      <c r="B241" s="4"/>
      <c r="C241" s="4"/>
      <c r="D241" s="4"/>
      <c r="E241" s="4"/>
      <c r="F241" s="4"/>
      <c r="G241" s="4"/>
      <c r="H241" s="4"/>
      <c r="J241" s="4"/>
      <c r="K241" s="4"/>
      <c r="L241" s="4"/>
      <c r="M241" s="4"/>
      <c r="N241" s="4"/>
    </row>
    <row r="242" spans="1:14">
      <c r="A242" s="4"/>
      <c r="B242" s="4"/>
      <c r="C242" s="4"/>
      <c r="D242" s="4"/>
      <c r="E242" s="4"/>
      <c r="F242" s="4"/>
      <c r="G242" s="4"/>
      <c r="H242" s="4"/>
      <c r="J242" s="4"/>
      <c r="K242" s="4"/>
      <c r="L242" s="4"/>
      <c r="M242" s="4"/>
      <c r="N242" s="4"/>
    </row>
    <row r="243" spans="1:14">
      <c r="A243" s="4"/>
      <c r="B243" s="4"/>
      <c r="C243" s="4"/>
      <c r="D243" s="4"/>
      <c r="E243" s="4"/>
      <c r="F243" s="4"/>
      <c r="G243" s="4"/>
      <c r="H243" s="4"/>
      <c r="J243" s="4"/>
      <c r="K243" s="4"/>
      <c r="L243" s="4"/>
      <c r="M243" s="4"/>
      <c r="N243" s="4"/>
    </row>
    <row r="244" spans="1:14">
      <c r="A244" s="4"/>
      <c r="B244" s="4"/>
      <c r="C244" s="4"/>
      <c r="D244" s="4"/>
      <c r="E244" s="4"/>
      <c r="F244" s="4"/>
      <c r="G244" s="4"/>
      <c r="H244" s="4"/>
      <c r="J244" s="4"/>
      <c r="K244" s="4"/>
      <c r="L244" s="4"/>
      <c r="M244" s="4"/>
      <c r="N244" s="4"/>
    </row>
    <row r="245" spans="1:14">
      <c r="A245" s="4"/>
      <c r="B245" s="4"/>
      <c r="C245" s="4"/>
      <c r="D245" s="4"/>
      <c r="E245" s="4"/>
      <c r="F245" s="4"/>
      <c r="G245" s="4"/>
      <c r="H245" s="4"/>
      <c r="J245" s="4"/>
      <c r="K245" s="4"/>
      <c r="L245" s="4"/>
      <c r="M245" s="4"/>
      <c r="N245" s="4"/>
    </row>
    <row r="246" spans="1:14">
      <c r="A246" s="4"/>
      <c r="B246" s="4"/>
      <c r="C246" s="4"/>
      <c r="D246" s="4"/>
      <c r="E246" s="4"/>
      <c r="F246" s="4"/>
      <c r="G246" s="4"/>
      <c r="H246" s="4"/>
      <c r="J246" s="4"/>
      <c r="K246" s="4"/>
      <c r="L246" s="4"/>
      <c r="M246" s="4"/>
      <c r="N246" s="4"/>
    </row>
    <row r="247" spans="1:14">
      <c r="A247" s="4"/>
      <c r="B247" s="4"/>
      <c r="C247" s="4"/>
      <c r="D247" s="4"/>
      <c r="E247" s="4"/>
      <c r="F247" s="4"/>
      <c r="G247" s="4"/>
      <c r="H247" s="4"/>
      <c r="J247" s="4"/>
      <c r="K247" s="4"/>
      <c r="L247" s="4"/>
      <c r="M247" s="4"/>
      <c r="N247" s="4"/>
    </row>
    <row r="248" spans="1:14">
      <c r="A248" s="4"/>
      <c r="B248" s="4"/>
      <c r="C248" s="4"/>
      <c r="D248" s="4"/>
      <c r="E248" s="4"/>
      <c r="F248" s="4"/>
      <c r="G248" s="4"/>
      <c r="H248" s="4"/>
      <c r="J248" s="4"/>
      <c r="K248" s="4"/>
      <c r="L248" s="4"/>
      <c r="M248" s="4"/>
      <c r="N248" s="4"/>
    </row>
    <row r="249" spans="1:14">
      <c r="A249" s="4"/>
      <c r="B249" s="4"/>
      <c r="C249" s="4"/>
      <c r="D249" s="4"/>
      <c r="E249" s="4"/>
      <c r="F249" s="4"/>
      <c r="G249" s="4"/>
      <c r="H249" s="4"/>
      <c r="J249" s="4"/>
      <c r="K249" s="4"/>
      <c r="L249" s="4"/>
      <c r="M249" s="4"/>
      <c r="N249" s="4"/>
    </row>
    <row r="250" spans="1:14">
      <c r="A250" s="4"/>
      <c r="B250" s="4"/>
      <c r="C250" s="4"/>
      <c r="D250" s="4"/>
      <c r="E250" s="4"/>
      <c r="F250" s="4"/>
      <c r="G250" s="4"/>
      <c r="H250" s="4"/>
      <c r="J250" s="4"/>
      <c r="K250" s="4"/>
      <c r="L250" s="4"/>
      <c r="M250" s="4"/>
      <c r="N250" s="4"/>
    </row>
    <row r="251" spans="1:14">
      <c r="A251" s="4"/>
      <c r="B251" s="4"/>
      <c r="C251" s="4"/>
      <c r="D251" s="4"/>
      <c r="E251" s="4"/>
      <c r="F251" s="4"/>
      <c r="G251" s="4"/>
      <c r="H251" s="4"/>
      <c r="J251" s="4"/>
      <c r="K251" s="4"/>
      <c r="L251" s="4"/>
      <c r="M251" s="4"/>
      <c r="N251" s="4"/>
    </row>
    <row r="252" spans="1:14">
      <c r="A252" s="4"/>
      <c r="B252" s="4"/>
      <c r="C252" s="4"/>
      <c r="D252" s="4"/>
      <c r="E252" s="4"/>
      <c r="F252" s="4"/>
      <c r="G252" s="4"/>
      <c r="H252" s="4"/>
      <c r="J252" s="4"/>
      <c r="K252" s="4"/>
      <c r="L252" s="4"/>
      <c r="M252" s="4"/>
      <c r="N252" s="4"/>
    </row>
    <row r="253" spans="1:14">
      <c r="A253" s="4"/>
      <c r="B253" s="4"/>
      <c r="C253" s="4"/>
      <c r="D253" s="4"/>
      <c r="E253" s="4"/>
      <c r="F253" s="4"/>
      <c r="G253" s="4"/>
      <c r="H253" s="4"/>
      <c r="J253" s="4"/>
      <c r="K253" s="4"/>
      <c r="L253" s="4"/>
      <c r="M253" s="4"/>
      <c r="N253" s="4"/>
    </row>
    <row r="254" spans="1:14">
      <c r="A254" s="4"/>
      <c r="B254" s="4"/>
      <c r="C254" s="4"/>
      <c r="D254" s="4"/>
      <c r="E254" s="4"/>
      <c r="F254" s="4"/>
      <c r="G254" s="4"/>
      <c r="H254" s="4"/>
      <c r="J254" s="4"/>
      <c r="K254" s="4"/>
      <c r="L254" s="4"/>
      <c r="M254" s="4"/>
      <c r="N254" s="4"/>
    </row>
    <row r="255" spans="1:14">
      <c r="A255" s="4"/>
      <c r="B255" s="4"/>
      <c r="C255" s="4"/>
      <c r="D255" s="4"/>
      <c r="E255" s="4"/>
      <c r="F255" s="4"/>
      <c r="G255" s="4"/>
      <c r="H255" s="4"/>
      <c r="J255" s="4"/>
      <c r="K255" s="4"/>
      <c r="L255" s="4"/>
      <c r="M255" s="4"/>
      <c r="N255" s="4"/>
    </row>
    <row r="256" spans="1:14">
      <c r="A256" s="4"/>
      <c r="B256" s="4"/>
      <c r="C256" s="4"/>
      <c r="D256" s="4"/>
      <c r="E256" s="4"/>
      <c r="F256" s="4"/>
      <c r="G256" s="4"/>
      <c r="H256" s="4"/>
      <c r="J256" s="4"/>
      <c r="K256" s="4"/>
      <c r="L256" s="4"/>
      <c r="M256" s="4"/>
      <c r="N256" s="4"/>
    </row>
    <row r="257" spans="1:14">
      <c r="A257" s="4"/>
      <c r="B257" s="4"/>
      <c r="C257" s="4"/>
      <c r="D257" s="4"/>
      <c r="E257" s="4"/>
      <c r="F257" s="4"/>
      <c r="G257" s="4"/>
      <c r="H257" s="4"/>
      <c r="J257" s="4"/>
      <c r="K257" s="4"/>
      <c r="L257" s="4"/>
      <c r="M257" s="4"/>
      <c r="N257" s="4"/>
    </row>
    <row r="258" spans="1:14">
      <c r="A258" s="4"/>
      <c r="B258" s="4"/>
      <c r="C258" s="4"/>
      <c r="D258" s="4"/>
      <c r="E258" s="4"/>
      <c r="F258" s="4"/>
      <c r="G258" s="4"/>
      <c r="H258" s="4"/>
      <c r="J258" s="4"/>
      <c r="K258" s="4"/>
      <c r="L258" s="4"/>
      <c r="M258" s="4"/>
      <c r="N258" s="4"/>
    </row>
    <row r="259" spans="1:14">
      <c r="A259" s="4"/>
      <c r="B259" s="4"/>
      <c r="C259" s="4"/>
      <c r="D259" s="4"/>
      <c r="E259" s="4"/>
      <c r="F259" s="4"/>
      <c r="G259" s="4"/>
      <c r="H259" s="4"/>
      <c r="J259" s="4"/>
      <c r="K259" s="4"/>
      <c r="L259" s="4"/>
      <c r="M259" s="4"/>
      <c r="N259" s="4"/>
    </row>
    <row r="260" spans="1:14">
      <c r="A260" s="4"/>
      <c r="B260" s="4"/>
      <c r="C260" s="4"/>
      <c r="D260" s="4"/>
      <c r="E260" s="4"/>
      <c r="F260" s="4"/>
      <c r="G260" s="4"/>
      <c r="H260" s="4"/>
      <c r="J260" s="4"/>
      <c r="K260" s="4"/>
      <c r="L260" s="4"/>
      <c r="M260" s="4"/>
      <c r="N260" s="4"/>
    </row>
    <row r="261" spans="1:14">
      <c r="A261" s="4"/>
      <c r="B261" s="4"/>
      <c r="C261" s="4"/>
      <c r="D261" s="4"/>
      <c r="E261" s="4"/>
      <c r="F261" s="4"/>
      <c r="G261" s="4"/>
      <c r="H261" s="4"/>
      <c r="J261" s="4"/>
      <c r="K261" s="4"/>
      <c r="L261" s="4"/>
      <c r="M261" s="4"/>
      <c r="N261" s="4"/>
    </row>
    <row r="262" spans="1:14">
      <c r="A262" s="4"/>
      <c r="B262" s="4"/>
      <c r="C262" s="4"/>
      <c r="D262" s="4"/>
      <c r="E262" s="4"/>
      <c r="F262" s="4"/>
      <c r="G262" s="4"/>
      <c r="H262" s="4"/>
      <c r="J262" s="4"/>
      <c r="K262" s="4"/>
      <c r="L262" s="4"/>
      <c r="M262" s="4"/>
      <c r="N262" s="4"/>
    </row>
    <row r="263" spans="1:14">
      <c r="A263" s="4"/>
      <c r="B263" s="4"/>
      <c r="C263" s="4"/>
      <c r="D263" s="4"/>
      <c r="E263" s="4"/>
      <c r="F263" s="4"/>
      <c r="G263" s="4"/>
      <c r="H263" s="4"/>
      <c r="J263" s="4"/>
      <c r="K263" s="4"/>
      <c r="L263" s="4"/>
      <c r="M263" s="4"/>
      <c r="N263" s="4"/>
    </row>
    <row r="264" spans="1:14">
      <c r="A264" s="4"/>
      <c r="B264" s="4"/>
      <c r="C264" s="4"/>
      <c r="D264" s="4"/>
      <c r="E264" s="4"/>
      <c r="F264" s="4"/>
      <c r="G264" s="4"/>
      <c r="H264" s="4"/>
      <c r="J264" s="4"/>
      <c r="K264" s="4"/>
      <c r="L264" s="4"/>
      <c r="M264" s="4"/>
      <c r="N264" s="4"/>
    </row>
    <row r="265" spans="1:14">
      <c r="A265" s="4"/>
      <c r="B265" s="4"/>
      <c r="C265" s="4"/>
      <c r="D265" s="4"/>
      <c r="E265" s="4"/>
      <c r="F265" s="4"/>
      <c r="G265" s="4"/>
      <c r="H265" s="4"/>
      <c r="J265" s="4"/>
      <c r="K265" s="4"/>
      <c r="L265" s="4"/>
      <c r="M265" s="4"/>
      <c r="N265" s="4"/>
    </row>
    <row r="266" spans="1:14">
      <c r="A266" s="4"/>
      <c r="B266" s="4"/>
      <c r="C266" s="4"/>
      <c r="D266" s="4"/>
      <c r="E266" s="4"/>
      <c r="F266" s="4"/>
      <c r="G266" s="4"/>
      <c r="H266" s="4"/>
      <c r="J266" s="4"/>
      <c r="K266" s="4"/>
      <c r="L266" s="4"/>
      <c r="M266" s="4"/>
      <c r="N266" s="4"/>
    </row>
    <row r="267" spans="1:14">
      <c r="A267" s="4"/>
      <c r="B267" s="4"/>
      <c r="C267" s="4"/>
      <c r="D267" s="4"/>
      <c r="E267" s="4"/>
      <c r="F267" s="4"/>
      <c r="G267" s="4"/>
      <c r="H267" s="4"/>
      <c r="J267" s="4"/>
      <c r="K267" s="4"/>
      <c r="L267" s="4"/>
      <c r="M267" s="4"/>
      <c r="N267" s="4"/>
    </row>
    <row r="268" spans="1:14">
      <c r="A268" s="4"/>
      <c r="B268" s="4"/>
      <c r="C268" s="4"/>
      <c r="D268" s="4"/>
      <c r="E268" s="4"/>
      <c r="F268" s="4"/>
      <c r="G268" s="4"/>
      <c r="H268" s="4"/>
      <c r="J268" s="4"/>
      <c r="K268" s="4"/>
      <c r="L268" s="4"/>
      <c r="M268" s="4"/>
      <c r="N268" s="4"/>
    </row>
    <row r="269" spans="1:14">
      <c r="A269" s="4"/>
      <c r="B269" s="4"/>
      <c r="C269" s="4"/>
      <c r="D269" s="4"/>
      <c r="E269" s="4"/>
      <c r="F269" s="4"/>
      <c r="G269" s="4"/>
      <c r="H269" s="4"/>
      <c r="J269" s="4"/>
      <c r="K269" s="4"/>
      <c r="L269" s="4"/>
      <c r="M269" s="4"/>
      <c r="N269" s="4"/>
    </row>
    <row r="270" spans="1:14">
      <c r="A270" s="4"/>
      <c r="B270" s="4"/>
      <c r="C270" s="4"/>
      <c r="D270" s="4"/>
      <c r="E270" s="4"/>
      <c r="F270" s="4"/>
      <c r="G270" s="4"/>
      <c r="H270" s="4"/>
      <c r="J270" s="4"/>
      <c r="K270" s="4"/>
      <c r="L270" s="4"/>
      <c r="M270" s="4"/>
      <c r="N270" s="4"/>
    </row>
    <row r="271" spans="1:14">
      <c r="A271" s="4"/>
      <c r="B271" s="4"/>
      <c r="C271" s="4"/>
      <c r="D271" s="4"/>
      <c r="E271" s="4"/>
      <c r="F271" s="4"/>
      <c r="G271" s="4"/>
      <c r="H271" s="4"/>
      <c r="J271" s="4"/>
      <c r="K271" s="4"/>
      <c r="L271" s="4"/>
      <c r="M271" s="4"/>
      <c r="N271" s="4"/>
    </row>
    <row r="272" spans="1:14">
      <c r="A272" s="4"/>
      <c r="B272" s="4"/>
      <c r="C272" s="4"/>
      <c r="D272" s="4"/>
      <c r="E272" s="4"/>
      <c r="F272" s="4"/>
      <c r="G272" s="4"/>
      <c r="H272" s="4"/>
      <c r="J272" s="4"/>
      <c r="K272" s="4"/>
      <c r="L272" s="4"/>
      <c r="M272" s="4"/>
      <c r="N272" s="4"/>
    </row>
    <row r="273" spans="1:14">
      <c r="A273" s="4"/>
      <c r="B273" s="4"/>
      <c r="C273" s="4"/>
      <c r="D273" s="4"/>
      <c r="E273" s="4"/>
      <c r="F273" s="4"/>
      <c r="G273" s="4"/>
      <c r="H273" s="4"/>
      <c r="J273" s="4"/>
      <c r="K273" s="4"/>
      <c r="L273" s="4"/>
      <c r="M273" s="4"/>
      <c r="N273" s="4"/>
    </row>
    <row r="274" spans="1:14">
      <c r="A274" s="4"/>
      <c r="B274" s="4"/>
      <c r="C274" s="4"/>
      <c r="D274" s="4"/>
      <c r="E274" s="4"/>
      <c r="F274" s="4"/>
      <c r="G274" s="4"/>
      <c r="H274" s="4"/>
      <c r="J274" s="4"/>
      <c r="K274" s="4"/>
      <c r="L274" s="4"/>
      <c r="M274" s="4"/>
      <c r="N274" s="4"/>
    </row>
    <row r="275" spans="1:14">
      <c r="A275" s="4"/>
      <c r="B275" s="4"/>
      <c r="C275" s="4"/>
      <c r="D275" s="4"/>
      <c r="E275" s="4"/>
      <c r="F275" s="4"/>
      <c r="G275" s="4"/>
      <c r="H275" s="4"/>
      <c r="J275" s="4"/>
      <c r="K275" s="4"/>
      <c r="L275" s="4"/>
      <c r="M275" s="4"/>
      <c r="N275" s="4"/>
    </row>
    <row r="276" spans="1:14">
      <c r="A276" s="4"/>
      <c r="B276" s="4"/>
      <c r="C276" s="4"/>
      <c r="D276" s="4"/>
      <c r="E276" s="4"/>
      <c r="F276" s="4"/>
      <c r="G276" s="4"/>
      <c r="H276" s="4"/>
      <c r="J276" s="4"/>
      <c r="K276" s="4"/>
      <c r="L276" s="4"/>
      <c r="M276" s="4"/>
      <c r="N276" s="4"/>
    </row>
    <row r="277" spans="1:14">
      <c r="A277" s="4"/>
      <c r="B277" s="4"/>
      <c r="C277" s="4"/>
      <c r="D277" s="4"/>
      <c r="E277" s="4"/>
      <c r="F277" s="4"/>
      <c r="G277" s="4"/>
      <c r="H277" s="4"/>
      <c r="J277" s="4"/>
      <c r="K277" s="4"/>
      <c r="L277" s="4"/>
      <c r="M277" s="4"/>
      <c r="N277" s="4"/>
    </row>
    <row r="278" spans="1:14">
      <c r="A278" s="4"/>
      <c r="B278" s="4"/>
      <c r="C278" s="4"/>
      <c r="D278" s="4"/>
      <c r="E278" s="4"/>
      <c r="F278" s="4"/>
      <c r="G278" s="4"/>
      <c r="H278" s="4"/>
      <c r="J278" s="4"/>
      <c r="K278" s="4"/>
      <c r="L278" s="4"/>
      <c r="M278" s="4"/>
      <c r="N278" s="4"/>
    </row>
    <row r="279" spans="1:14">
      <c r="A279" s="4"/>
      <c r="B279" s="4"/>
      <c r="C279" s="4"/>
      <c r="D279" s="4"/>
      <c r="E279" s="4"/>
      <c r="F279" s="4"/>
      <c r="G279" s="4"/>
      <c r="H279" s="4"/>
      <c r="J279" s="4"/>
      <c r="K279" s="4"/>
      <c r="L279" s="4"/>
      <c r="M279" s="4"/>
      <c r="N279" s="4"/>
    </row>
    <row r="280" spans="1:14">
      <c r="A280" s="4"/>
      <c r="B280" s="4"/>
      <c r="C280" s="4"/>
      <c r="D280" s="4"/>
      <c r="E280" s="4"/>
      <c r="F280" s="4"/>
      <c r="G280" s="4"/>
      <c r="H280" s="4"/>
      <c r="J280" s="4"/>
      <c r="K280" s="4"/>
      <c r="L280" s="4"/>
      <c r="M280" s="4"/>
      <c r="N280" s="4"/>
    </row>
    <row r="281" spans="1:14">
      <c r="A281" s="4"/>
      <c r="B281" s="4"/>
      <c r="C281" s="4"/>
      <c r="D281" s="4"/>
      <c r="E281" s="4"/>
      <c r="F281" s="4"/>
      <c r="G281" s="4"/>
      <c r="H281" s="4"/>
      <c r="J281" s="4"/>
      <c r="K281" s="4"/>
      <c r="L281" s="4"/>
      <c r="M281" s="4"/>
      <c r="N281" s="4"/>
    </row>
    <row r="282" spans="1:14">
      <c r="A282" s="4"/>
      <c r="B282" s="4"/>
      <c r="C282" s="4"/>
      <c r="D282" s="4"/>
      <c r="E282" s="4"/>
      <c r="F282" s="4"/>
      <c r="G282" s="4"/>
      <c r="H282" s="4"/>
      <c r="J282" s="4"/>
      <c r="K282" s="4"/>
      <c r="L282" s="4"/>
      <c r="M282" s="4"/>
      <c r="N282" s="4"/>
    </row>
    <row r="283" spans="1:14">
      <c r="A283" s="4"/>
      <c r="B283" s="4"/>
      <c r="C283" s="4"/>
      <c r="D283" s="4"/>
      <c r="E283" s="4"/>
      <c r="F283" s="4"/>
      <c r="G283" s="4"/>
      <c r="H283" s="4"/>
      <c r="J283" s="4"/>
      <c r="K283" s="4"/>
      <c r="L283" s="4"/>
      <c r="M283" s="4"/>
      <c r="N283" s="4"/>
    </row>
    <row r="284" spans="1:14">
      <c r="A284" s="4"/>
      <c r="B284" s="4"/>
      <c r="C284" s="4"/>
      <c r="D284" s="4"/>
      <c r="E284" s="4"/>
      <c r="F284" s="4"/>
      <c r="G284" s="4"/>
      <c r="H284" s="4"/>
      <c r="J284" s="4"/>
      <c r="K284" s="4"/>
      <c r="L284" s="4"/>
      <c r="M284" s="4"/>
      <c r="N284" s="4"/>
    </row>
    <row r="285" spans="1:14">
      <c r="A285" s="4"/>
      <c r="B285" s="4"/>
      <c r="C285" s="4"/>
      <c r="D285" s="4"/>
      <c r="E285" s="4"/>
      <c r="F285" s="4"/>
      <c r="G285" s="4"/>
      <c r="H285" s="4"/>
      <c r="J285" s="4"/>
      <c r="K285" s="4"/>
      <c r="L285" s="4"/>
      <c r="M285" s="4"/>
      <c r="N285" s="4"/>
    </row>
    <row r="286" spans="1:14">
      <c r="A286" s="4"/>
      <c r="B286" s="4"/>
      <c r="C286" s="4"/>
      <c r="D286" s="4"/>
      <c r="E286" s="4"/>
      <c r="F286" s="4"/>
      <c r="G286" s="4"/>
      <c r="H286" s="4"/>
      <c r="J286" s="4"/>
      <c r="K286" s="4"/>
      <c r="L286" s="4"/>
      <c r="M286" s="4"/>
      <c r="N286" s="4"/>
    </row>
    <row r="287" spans="1:14">
      <c r="A287" s="4"/>
      <c r="B287" s="4"/>
      <c r="C287" s="4"/>
      <c r="D287" s="4"/>
      <c r="E287" s="4"/>
      <c r="F287" s="4"/>
      <c r="G287" s="4"/>
      <c r="H287" s="4"/>
      <c r="J287" s="4"/>
      <c r="K287" s="4"/>
      <c r="L287" s="4"/>
      <c r="M287" s="4"/>
      <c r="N287" s="4"/>
    </row>
    <row r="288" spans="1:14">
      <c r="A288" s="4"/>
      <c r="B288" s="4"/>
      <c r="C288" s="4"/>
      <c r="D288" s="4"/>
      <c r="E288" s="4"/>
      <c r="F288" s="4"/>
      <c r="G288" s="4"/>
      <c r="H288" s="4"/>
      <c r="J288" s="4"/>
      <c r="K288" s="4"/>
      <c r="L288" s="4"/>
      <c r="M288" s="4"/>
      <c r="N288" s="4"/>
    </row>
    <row r="289" spans="1:14">
      <c r="A289" s="4"/>
      <c r="B289" s="4"/>
      <c r="C289" s="4"/>
      <c r="D289" s="4"/>
      <c r="E289" s="4"/>
      <c r="F289" s="4"/>
      <c r="G289" s="4"/>
      <c r="H289" s="4"/>
      <c r="J289" s="4"/>
      <c r="K289" s="4"/>
      <c r="L289" s="4"/>
      <c r="M289" s="4"/>
      <c r="N289" s="4"/>
    </row>
    <row r="290" spans="1:14">
      <c r="A290" s="4"/>
      <c r="B290" s="4"/>
      <c r="C290" s="4"/>
      <c r="D290" s="4"/>
      <c r="E290" s="4"/>
      <c r="F290" s="4"/>
      <c r="G290" s="4"/>
      <c r="H290" s="4"/>
      <c r="J290" s="4"/>
      <c r="K290" s="4"/>
      <c r="L290" s="4"/>
      <c r="M290" s="4"/>
      <c r="N290" s="4"/>
    </row>
    <row r="291" spans="1:14">
      <c r="A291" s="4"/>
      <c r="B291" s="4"/>
      <c r="C291" s="4"/>
      <c r="D291" s="4"/>
      <c r="E291" s="4"/>
      <c r="F291" s="4"/>
      <c r="G291" s="4"/>
      <c r="H291" s="4"/>
      <c r="J291" s="4"/>
      <c r="K291" s="4"/>
      <c r="L291" s="4"/>
      <c r="M291" s="4"/>
      <c r="N291" s="4"/>
    </row>
    <row r="292" spans="1:14">
      <c r="A292" s="4"/>
      <c r="B292" s="4"/>
      <c r="C292" s="4"/>
      <c r="D292" s="4"/>
      <c r="E292" s="4"/>
      <c r="F292" s="4"/>
      <c r="G292" s="4"/>
      <c r="H292" s="4"/>
      <c r="J292" s="4"/>
      <c r="K292" s="4"/>
      <c r="L292" s="4"/>
      <c r="M292" s="4"/>
      <c r="N292" s="4"/>
    </row>
    <row r="293" spans="1:14">
      <c r="A293" s="4"/>
      <c r="B293" s="4"/>
      <c r="C293" s="4"/>
      <c r="D293" s="4"/>
      <c r="E293" s="4"/>
      <c r="F293" s="4"/>
      <c r="G293" s="4"/>
      <c r="H293" s="4"/>
      <c r="J293" s="4"/>
      <c r="K293" s="4"/>
      <c r="L293" s="4"/>
      <c r="M293" s="4"/>
      <c r="N293" s="4"/>
    </row>
    <row r="294" spans="1:14">
      <c r="A294" s="4"/>
      <c r="B294" s="4"/>
      <c r="C294" s="4"/>
      <c r="D294" s="4"/>
      <c r="E294" s="4"/>
      <c r="F294" s="4"/>
      <c r="G294" s="4"/>
      <c r="H294" s="4"/>
      <c r="J294" s="4"/>
      <c r="K294" s="4"/>
      <c r="L294" s="4"/>
      <c r="M294" s="4"/>
      <c r="N294" s="4"/>
    </row>
    <row r="295" spans="1:14">
      <c r="A295" s="4"/>
      <c r="B295" s="4"/>
      <c r="C295" s="4"/>
      <c r="D295" s="4"/>
      <c r="E295" s="4"/>
      <c r="F295" s="4"/>
      <c r="G295" s="4"/>
      <c r="H295" s="4"/>
      <c r="J295" s="4"/>
      <c r="K295" s="4"/>
      <c r="L295" s="4"/>
      <c r="M295" s="4"/>
      <c r="N295" s="4"/>
    </row>
    <row r="296" spans="1:14">
      <c r="A296" s="4"/>
      <c r="B296" s="4"/>
      <c r="C296" s="4"/>
      <c r="D296" s="4"/>
      <c r="E296" s="4"/>
      <c r="F296" s="4"/>
      <c r="G296" s="4"/>
      <c r="H296" s="4"/>
      <c r="J296" s="4"/>
      <c r="K296" s="4"/>
      <c r="L296" s="4"/>
      <c r="M296" s="4"/>
      <c r="N296" s="4"/>
    </row>
    <row r="297" spans="1:14">
      <c r="A297" s="4"/>
      <c r="B297" s="4"/>
      <c r="C297" s="4"/>
      <c r="D297" s="4"/>
      <c r="E297" s="4"/>
      <c r="F297" s="4"/>
      <c r="G297" s="4"/>
      <c r="H297" s="4"/>
      <c r="J297" s="4"/>
      <c r="K297" s="4"/>
      <c r="L297" s="4"/>
      <c r="M297" s="4"/>
      <c r="N297" s="4"/>
    </row>
    <row r="298" spans="1:14">
      <c r="A298" s="4"/>
      <c r="B298" s="4"/>
      <c r="C298" s="4"/>
      <c r="D298" s="4"/>
      <c r="E298" s="4"/>
      <c r="F298" s="4"/>
      <c r="G298" s="4"/>
      <c r="H298" s="4"/>
      <c r="J298" s="4"/>
      <c r="K298" s="4"/>
      <c r="L298" s="4"/>
      <c r="M298" s="4"/>
      <c r="N298" s="4"/>
    </row>
    <row r="299" spans="1:14">
      <c r="A299" s="4"/>
      <c r="B299" s="4"/>
      <c r="C299" s="4"/>
      <c r="D299" s="4"/>
      <c r="E299" s="4"/>
      <c r="F299" s="4"/>
      <c r="G299" s="4"/>
      <c r="H299" s="4"/>
      <c r="J299" s="4"/>
      <c r="K299" s="4"/>
      <c r="L299" s="4"/>
      <c r="M299" s="4"/>
      <c r="N299" s="4"/>
    </row>
    <row r="300" spans="1:14">
      <c r="A300" s="4"/>
      <c r="B300" s="4"/>
      <c r="C300" s="4"/>
      <c r="D300" s="4"/>
      <c r="E300" s="4"/>
      <c r="F300" s="4"/>
      <c r="G300" s="4"/>
      <c r="H300" s="4"/>
      <c r="J300" s="4"/>
      <c r="K300" s="4"/>
      <c r="L300" s="4"/>
      <c r="M300" s="4"/>
      <c r="N300" s="4"/>
    </row>
    <row r="301" spans="1:14">
      <c r="A301" s="4"/>
      <c r="B301" s="4"/>
      <c r="C301" s="4"/>
      <c r="D301" s="4"/>
      <c r="E301" s="4"/>
      <c r="F301" s="4"/>
      <c r="G301" s="4"/>
      <c r="H301" s="4"/>
      <c r="J301" s="4"/>
      <c r="K301" s="4"/>
      <c r="L301" s="4"/>
      <c r="M301" s="4"/>
      <c r="N301" s="4"/>
    </row>
    <row r="302" spans="1:14">
      <c r="A302" s="4"/>
      <c r="B302" s="4"/>
      <c r="C302" s="4"/>
      <c r="D302" s="4"/>
      <c r="E302" s="4"/>
      <c r="F302" s="4"/>
      <c r="G302" s="4"/>
      <c r="H302" s="4"/>
      <c r="J302" s="4"/>
      <c r="K302" s="4"/>
      <c r="L302" s="4"/>
      <c r="M302" s="4"/>
      <c r="N302" s="4"/>
    </row>
    <row r="303" spans="1:14">
      <c r="A303" s="4"/>
      <c r="B303" s="4"/>
      <c r="C303" s="4"/>
      <c r="D303" s="4"/>
      <c r="E303" s="4"/>
      <c r="F303" s="4"/>
      <c r="G303" s="4"/>
      <c r="H303" s="4"/>
      <c r="J303" s="4"/>
      <c r="K303" s="4"/>
      <c r="L303" s="4"/>
      <c r="M303" s="4"/>
      <c r="N303" s="4"/>
    </row>
    <row r="304" spans="1:14">
      <c r="A304" s="4"/>
      <c r="B304" s="4"/>
      <c r="C304" s="4"/>
      <c r="D304" s="4"/>
      <c r="E304" s="4"/>
      <c r="F304" s="4"/>
      <c r="G304" s="4"/>
      <c r="H304" s="4"/>
      <c r="J304" s="4"/>
      <c r="K304" s="4"/>
      <c r="L304" s="4"/>
      <c r="M304" s="4"/>
      <c r="N304" s="4"/>
    </row>
    <row r="305" spans="1:14">
      <c r="A305" s="4"/>
      <c r="B305" s="4"/>
      <c r="C305" s="4"/>
      <c r="D305" s="4"/>
      <c r="E305" s="4"/>
      <c r="F305" s="4"/>
      <c r="G305" s="4"/>
      <c r="H305" s="4"/>
      <c r="J305" s="4"/>
      <c r="K305" s="4"/>
      <c r="L305" s="4"/>
      <c r="M305" s="4"/>
      <c r="N305" s="4"/>
    </row>
    <row r="306" spans="1:14">
      <c r="A306" s="4"/>
      <c r="B306" s="4"/>
      <c r="C306" s="4"/>
      <c r="D306" s="4"/>
      <c r="E306" s="4"/>
      <c r="F306" s="4"/>
      <c r="G306" s="4"/>
      <c r="H306" s="4"/>
      <c r="J306" s="4"/>
      <c r="K306" s="4"/>
      <c r="L306" s="4"/>
      <c r="M306" s="4"/>
      <c r="N306" s="4"/>
    </row>
    <row r="307" spans="1:14">
      <c r="A307" s="4"/>
      <c r="B307" s="4"/>
      <c r="C307" s="4"/>
      <c r="D307" s="4"/>
      <c r="E307" s="4"/>
      <c r="F307" s="4"/>
      <c r="G307" s="4"/>
      <c r="H307" s="4"/>
      <c r="J307" s="4"/>
      <c r="K307" s="4"/>
      <c r="L307" s="4"/>
      <c r="M307" s="4"/>
      <c r="N307" s="4"/>
    </row>
    <row r="308" spans="1:14">
      <c r="A308" s="4"/>
      <c r="B308" s="4"/>
      <c r="C308" s="4"/>
      <c r="D308" s="4"/>
      <c r="E308" s="4"/>
      <c r="F308" s="4"/>
      <c r="G308" s="4"/>
      <c r="H308" s="4"/>
      <c r="J308" s="4"/>
      <c r="K308" s="4"/>
      <c r="L308" s="4"/>
      <c r="M308" s="4"/>
      <c r="N308" s="4"/>
    </row>
    <row r="309" spans="1:14">
      <c r="A309" s="4"/>
      <c r="B309" s="4"/>
      <c r="C309" s="4"/>
      <c r="D309" s="4"/>
      <c r="E309" s="4"/>
      <c r="F309" s="4"/>
      <c r="G309" s="4"/>
      <c r="H309" s="4"/>
      <c r="J309" s="4"/>
      <c r="K309" s="4"/>
      <c r="L309" s="4"/>
      <c r="M309" s="4"/>
      <c r="N309" s="4"/>
    </row>
    <row r="310" spans="1:14">
      <c r="A310" s="4"/>
      <c r="B310" s="4"/>
      <c r="C310" s="4"/>
      <c r="D310" s="4"/>
      <c r="E310" s="4"/>
      <c r="F310" s="4"/>
      <c r="G310" s="4"/>
      <c r="H310" s="4"/>
      <c r="J310" s="4"/>
      <c r="K310" s="4"/>
      <c r="L310" s="4"/>
      <c r="M310" s="4"/>
      <c r="N310" s="4"/>
    </row>
    <row r="311" spans="1:14">
      <c r="A311" s="4"/>
      <c r="B311" s="4"/>
      <c r="C311" s="4"/>
      <c r="D311" s="4"/>
      <c r="E311" s="4"/>
      <c r="F311" s="4"/>
      <c r="G311" s="4"/>
      <c r="H311" s="4"/>
      <c r="J311" s="4"/>
      <c r="K311" s="4"/>
      <c r="L311" s="4"/>
      <c r="M311" s="4"/>
      <c r="N311" s="4"/>
    </row>
    <row r="312" spans="1:14">
      <c r="A312" s="4"/>
      <c r="B312" s="4"/>
      <c r="C312" s="4"/>
      <c r="D312" s="4"/>
      <c r="E312" s="4"/>
      <c r="F312" s="4"/>
      <c r="G312" s="4"/>
      <c r="H312" s="4"/>
      <c r="J312" s="4"/>
      <c r="K312" s="4"/>
      <c r="L312" s="4"/>
      <c r="M312" s="4"/>
      <c r="N312" s="4"/>
    </row>
    <row r="313" spans="1:14">
      <c r="A313" s="4"/>
      <c r="B313" s="4"/>
      <c r="C313" s="4"/>
      <c r="D313" s="4"/>
      <c r="E313" s="4"/>
      <c r="F313" s="4"/>
      <c r="G313" s="4"/>
      <c r="H313" s="4"/>
      <c r="J313" s="4"/>
      <c r="K313" s="4"/>
      <c r="L313" s="4"/>
      <c r="M313" s="4"/>
      <c r="N313" s="4"/>
    </row>
    <row r="314" spans="1:14">
      <c r="A314" s="4"/>
      <c r="B314" s="4"/>
      <c r="C314" s="4"/>
      <c r="D314" s="4"/>
      <c r="E314" s="4"/>
      <c r="F314" s="4"/>
      <c r="G314" s="4"/>
      <c r="H314" s="4"/>
      <c r="J314" s="4"/>
      <c r="K314" s="4"/>
      <c r="L314" s="4"/>
      <c r="M314" s="4"/>
      <c r="N314" s="4"/>
    </row>
    <row r="315" spans="1:14">
      <c r="A315" s="4"/>
      <c r="B315" s="4"/>
      <c r="C315" s="4"/>
      <c r="D315" s="4"/>
      <c r="E315" s="4"/>
      <c r="F315" s="4"/>
      <c r="G315" s="4"/>
      <c r="H315" s="4"/>
      <c r="J315" s="4"/>
      <c r="K315" s="4"/>
      <c r="L315" s="4"/>
      <c r="M315" s="4"/>
      <c r="N315" s="4"/>
    </row>
    <row r="316" spans="1:14">
      <c r="A316" s="4"/>
      <c r="B316" s="4"/>
      <c r="C316" s="4"/>
      <c r="D316" s="4"/>
      <c r="E316" s="4"/>
      <c r="F316" s="4"/>
      <c r="G316" s="4"/>
      <c r="H316" s="4"/>
      <c r="J316" s="4"/>
      <c r="K316" s="4"/>
      <c r="L316" s="4"/>
      <c r="M316" s="4"/>
      <c r="N316" s="4"/>
    </row>
    <row r="317" spans="1:14">
      <c r="A317" s="4"/>
      <c r="B317" s="4"/>
      <c r="C317" s="4"/>
      <c r="D317" s="4"/>
      <c r="E317" s="4"/>
      <c r="F317" s="4"/>
      <c r="G317" s="4"/>
      <c r="H317" s="4"/>
      <c r="J317" s="4"/>
      <c r="K317" s="4"/>
      <c r="L317" s="4"/>
      <c r="M317" s="4"/>
      <c r="N317" s="4"/>
    </row>
    <row r="318" spans="1:14">
      <c r="A318" s="4"/>
      <c r="B318" s="4"/>
      <c r="C318" s="4"/>
      <c r="D318" s="4"/>
      <c r="E318" s="4"/>
      <c r="F318" s="4"/>
      <c r="G318" s="4"/>
      <c r="H318" s="4"/>
      <c r="J318" s="4"/>
      <c r="K318" s="4"/>
      <c r="L318" s="4"/>
      <c r="M318" s="4"/>
      <c r="N318" s="4"/>
    </row>
    <row r="319" spans="1:14">
      <c r="A319" s="4"/>
      <c r="B319" s="4"/>
      <c r="C319" s="4"/>
      <c r="D319" s="4"/>
      <c r="E319" s="4"/>
      <c r="F319" s="4"/>
      <c r="G319" s="4"/>
      <c r="H319" s="4"/>
      <c r="J319" s="4"/>
      <c r="K319" s="4"/>
      <c r="L319" s="4"/>
      <c r="M319" s="4"/>
      <c r="N319" s="4"/>
    </row>
    <row r="320" spans="1:14">
      <c r="A320" s="4"/>
      <c r="B320" s="4"/>
      <c r="C320" s="4"/>
      <c r="D320" s="4"/>
      <c r="E320" s="4"/>
      <c r="F320" s="4"/>
      <c r="G320" s="4"/>
      <c r="H320" s="4"/>
      <c r="J320" s="4"/>
      <c r="K320" s="4"/>
      <c r="L320" s="4"/>
      <c r="M320" s="4"/>
      <c r="N320" s="4"/>
    </row>
    <row r="321" spans="1:14">
      <c r="A321" s="4"/>
      <c r="B321" s="4"/>
      <c r="C321" s="4"/>
      <c r="D321" s="4"/>
      <c r="E321" s="4"/>
      <c r="F321" s="4"/>
      <c r="G321" s="4"/>
      <c r="H321" s="4"/>
      <c r="J321" s="4"/>
      <c r="K321" s="4"/>
      <c r="L321" s="4"/>
      <c r="M321" s="4"/>
      <c r="N321" s="4"/>
    </row>
    <row r="322" spans="1:14">
      <c r="A322" s="4"/>
      <c r="B322" s="4"/>
      <c r="C322" s="4"/>
      <c r="D322" s="4"/>
      <c r="E322" s="4"/>
      <c r="F322" s="4"/>
      <c r="G322" s="4"/>
      <c r="H322" s="4"/>
      <c r="J322" s="4"/>
      <c r="K322" s="4"/>
      <c r="L322" s="4"/>
      <c r="M322" s="4"/>
      <c r="N322" s="4"/>
    </row>
    <row r="323" spans="1:14">
      <c r="A323" s="4"/>
      <c r="B323" s="4"/>
      <c r="C323" s="4"/>
      <c r="D323" s="4"/>
      <c r="E323" s="4"/>
      <c r="F323" s="4"/>
      <c r="G323" s="4"/>
      <c r="H323" s="4"/>
      <c r="J323" s="4"/>
      <c r="K323" s="4"/>
      <c r="L323" s="4"/>
      <c r="M323" s="4"/>
      <c r="N323" s="4"/>
    </row>
    <row r="324" spans="1:14">
      <c r="A324" s="4"/>
      <c r="B324" s="4"/>
      <c r="C324" s="4"/>
      <c r="D324" s="4"/>
      <c r="E324" s="4"/>
      <c r="F324" s="4"/>
      <c r="G324" s="4"/>
      <c r="H324" s="4"/>
      <c r="J324" s="4"/>
      <c r="K324" s="4"/>
      <c r="L324" s="4"/>
      <c r="M324" s="4"/>
      <c r="N324" s="4"/>
    </row>
    <row r="325" spans="1:14">
      <c r="A325" s="4"/>
      <c r="B325" s="4"/>
      <c r="C325" s="4"/>
      <c r="D325" s="4"/>
      <c r="E325" s="4"/>
      <c r="F325" s="4"/>
      <c r="G325" s="4"/>
      <c r="H325" s="4"/>
      <c r="J325" s="4"/>
      <c r="K325" s="4"/>
      <c r="L325" s="4"/>
      <c r="M325" s="4"/>
      <c r="N325" s="4"/>
    </row>
    <row r="326" spans="1:14">
      <c r="A326" s="4"/>
      <c r="B326" s="4"/>
      <c r="C326" s="4"/>
      <c r="D326" s="4"/>
      <c r="E326" s="4"/>
      <c r="F326" s="4"/>
      <c r="G326" s="4"/>
      <c r="H326" s="4"/>
      <c r="J326" s="4"/>
      <c r="K326" s="4"/>
      <c r="L326" s="4"/>
      <c r="M326" s="4"/>
      <c r="N326" s="4"/>
    </row>
    <row r="327" spans="1:14">
      <c r="A327" s="4"/>
      <c r="B327" s="4"/>
      <c r="C327" s="4"/>
      <c r="D327" s="4"/>
      <c r="E327" s="4"/>
      <c r="F327" s="4"/>
      <c r="G327" s="4"/>
      <c r="H327" s="4"/>
      <c r="J327" s="4"/>
      <c r="K327" s="4"/>
      <c r="L327" s="4"/>
      <c r="M327" s="4"/>
      <c r="N327" s="4"/>
    </row>
    <row r="328" spans="1:14">
      <c r="A328" s="4"/>
      <c r="B328" s="4"/>
      <c r="C328" s="4"/>
      <c r="D328" s="4"/>
      <c r="E328" s="4"/>
      <c r="F328" s="4"/>
      <c r="G328" s="4"/>
      <c r="H328" s="4"/>
      <c r="J328" s="4"/>
      <c r="K328" s="4"/>
      <c r="L328" s="4"/>
      <c r="M328" s="4"/>
      <c r="N328" s="4"/>
    </row>
    <row r="329" spans="1:14">
      <c r="A329" s="4"/>
      <c r="B329" s="4"/>
      <c r="C329" s="4"/>
      <c r="D329" s="4"/>
      <c r="E329" s="4"/>
      <c r="F329" s="4"/>
      <c r="G329" s="4"/>
      <c r="H329" s="4"/>
      <c r="J329" s="4"/>
      <c r="K329" s="4"/>
      <c r="L329" s="4"/>
      <c r="M329" s="4"/>
      <c r="N329" s="4"/>
    </row>
    <row r="330" spans="1:14">
      <c r="A330" s="4"/>
      <c r="B330" s="4"/>
      <c r="C330" s="4"/>
      <c r="D330" s="4"/>
      <c r="E330" s="4"/>
      <c r="F330" s="4"/>
      <c r="G330" s="4"/>
      <c r="H330" s="4"/>
      <c r="J330" s="4"/>
      <c r="K330" s="4"/>
      <c r="L330" s="4"/>
      <c r="M330" s="4"/>
      <c r="N330" s="4"/>
    </row>
    <row r="331" spans="1:14">
      <c r="A331" s="4"/>
      <c r="B331" s="4"/>
      <c r="C331" s="4"/>
      <c r="D331" s="4"/>
      <c r="E331" s="4"/>
      <c r="F331" s="4"/>
      <c r="G331" s="4"/>
      <c r="H331" s="4"/>
      <c r="J331" s="4"/>
      <c r="K331" s="4"/>
      <c r="L331" s="4"/>
      <c r="M331" s="4"/>
      <c r="N331" s="4"/>
    </row>
    <row r="332" spans="1:14">
      <c r="A332" s="4"/>
      <c r="B332" s="4"/>
      <c r="C332" s="4"/>
      <c r="D332" s="4"/>
      <c r="E332" s="4"/>
      <c r="F332" s="4"/>
      <c r="G332" s="4"/>
      <c r="H332" s="4"/>
      <c r="J332" s="4"/>
      <c r="K332" s="4"/>
      <c r="L332" s="4"/>
      <c r="M332" s="4"/>
      <c r="N332" s="4"/>
    </row>
    <row r="333" spans="1:14">
      <c r="A333" s="4"/>
      <c r="B333" s="4"/>
      <c r="C333" s="4"/>
      <c r="D333" s="4"/>
      <c r="E333" s="4"/>
      <c r="F333" s="4"/>
      <c r="G333" s="4"/>
      <c r="H333" s="4"/>
      <c r="J333" s="4"/>
      <c r="K333" s="4"/>
      <c r="L333" s="4"/>
      <c r="M333" s="4"/>
      <c r="N333" s="4"/>
    </row>
    <row r="334" spans="1:14">
      <c r="A334" s="4"/>
      <c r="B334" s="4"/>
      <c r="C334" s="4"/>
      <c r="D334" s="4"/>
      <c r="E334" s="4"/>
      <c r="F334" s="4"/>
      <c r="G334" s="4"/>
      <c r="H334" s="4"/>
      <c r="J334" s="4"/>
      <c r="K334" s="4"/>
      <c r="L334" s="4"/>
      <c r="M334" s="4"/>
      <c r="N334" s="4"/>
    </row>
    <row r="335" spans="1:14">
      <c r="A335" s="4"/>
      <c r="B335" s="4"/>
      <c r="C335" s="4"/>
      <c r="D335" s="4"/>
      <c r="E335" s="4"/>
      <c r="F335" s="4"/>
      <c r="G335" s="4"/>
      <c r="H335" s="4"/>
      <c r="J335" s="4"/>
      <c r="K335" s="4"/>
      <c r="L335" s="4"/>
      <c r="M335" s="4"/>
      <c r="N335" s="4"/>
    </row>
    <row r="336" spans="1:14">
      <c r="A336" s="4"/>
      <c r="B336" s="4"/>
      <c r="C336" s="4"/>
      <c r="D336" s="4"/>
      <c r="E336" s="4"/>
      <c r="F336" s="4"/>
      <c r="G336" s="4"/>
      <c r="H336" s="4"/>
      <c r="J336" s="4"/>
      <c r="K336" s="4"/>
      <c r="L336" s="4"/>
      <c r="M336" s="4"/>
      <c r="N336" s="4"/>
    </row>
    <row r="337" spans="1:14">
      <c r="A337" s="4"/>
      <c r="B337" s="4"/>
      <c r="C337" s="4"/>
      <c r="D337" s="4"/>
      <c r="E337" s="4"/>
      <c r="F337" s="4"/>
      <c r="G337" s="4"/>
      <c r="H337" s="4"/>
      <c r="J337" s="4"/>
      <c r="K337" s="4"/>
      <c r="L337" s="4"/>
      <c r="M337" s="4"/>
      <c r="N337" s="4"/>
    </row>
    <row r="338" spans="1:14">
      <c r="A338" s="4"/>
      <c r="B338" s="4"/>
      <c r="C338" s="4"/>
      <c r="D338" s="4"/>
      <c r="E338" s="4"/>
      <c r="F338" s="4"/>
      <c r="G338" s="4"/>
      <c r="H338" s="4"/>
      <c r="J338" s="4"/>
      <c r="K338" s="4"/>
      <c r="L338" s="4"/>
      <c r="M338" s="4"/>
      <c r="N338" s="4"/>
    </row>
    <row r="339" spans="1:14">
      <c r="A339" s="4"/>
      <c r="B339" s="4"/>
      <c r="C339" s="4"/>
      <c r="D339" s="4"/>
      <c r="E339" s="4"/>
      <c r="F339" s="4"/>
      <c r="G339" s="4"/>
      <c r="H339" s="4"/>
      <c r="J339" s="4"/>
      <c r="K339" s="4"/>
      <c r="L339" s="4"/>
      <c r="M339" s="4"/>
      <c r="N339" s="4"/>
    </row>
    <row r="340" spans="1:14">
      <c r="A340" s="4"/>
      <c r="B340" s="4"/>
      <c r="C340" s="4"/>
      <c r="D340" s="4"/>
      <c r="E340" s="4"/>
      <c r="F340" s="4"/>
      <c r="G340" s="4"/>
      <c r="H340" s="4"/>
      <c r="J340" s="4"/>
      <c r="K340" s="4"/>
      <c r="L340" s="4"/>
      <c r="M340" s="4"/>
      <c r="N340" s="4"/>
    </row>
    <row r="341" spans="1:14">
      <c r="A341" s="4"/>
      <c r="B341" s="4"/>
      <c r="C341" s="4"/>
      <c r="D341" s="4"/>
      <c r="E341" s="4"/>
      <c r="F341" s="4"/>
      <c r="G341" s="4"/>
      <c r="H341" s="4"/>
      <c r="J341" s="4"/>
      <c r="K341" s="4"/>
      <c r="L341" s="4"/>
      <c r="M341" s="4"/>
      <c r="N341" s="4"/>
    </row>
    <row r="342" spans="1:14">
      <c r="A342" s="4"/>
      <c r="B342" s="4"/>
      <c r="C342" s="4"/>
      <c r="D342" s="4"/>
      <c r="E342" s="4"/>
      <c r="F342" s="4"/>
      <c r="G342" s="4"/>
      <c r="H342" s="4"/>
      <c r="J342" s="4"/>
      <c r="K342" s="4"/>
      <c r="L342" s="4"/>
      <c r="M342" s="4"/>
      <c r="N342" s="4"/>
    </row>
    <row r="343" spans="1:14">
      <c r="A343" s="4"/>
      <c r="B343" s="4"/>
      <c r="C343" s="4"/>
      <c r="D343" s="4"/>
      <c r="E343" s="4"/>
      <c r="F343" s="4"/>
      <c r="G343" s="4"/>
      <c r="H343" s="4"/>
      <c r="J343" s="4"/>
      <c r="K343" s="4"/>
      <c r="L343" s="4"/>
      <c r="M343" s="4"/>
      <c r="N343" s="4"/>
    </row>
    <row r="344" spans="1:14">
      <c r="A344" s="4"/>
      <c r="B344" s="4"/>
      <c r="C344" s="4"/>
      <c r="D344" s="4"/>
      <c r="E344" s="4"/>
      <c r="F344" s="4"/>
      <c r="G344" s="4"/>
      <c r="H344" s="4"/>
      <c r="J344" s="4"/>
      <c r="K344" s="4"/>
      <c r="L344" s="4"/>
      <c r="M344" s="4"/>
      <c r="N344" s="4"/>
    </row>
    <row r="345" spans="1:14">
      <c r="A345" s="4"/>
      <c r="B345" s="4"/>
      <c r="C345" s="4"/>
      <c r="D345" s="4"/>
      <c r="E345" s="4"/>
      <c r="F345" s="4"/>
      <c r="G345" s="4"/>
      <c r="H345" s="4"/>
      <c r="J345" s="4"/>
      <c r="K345" s="4"/>
      <c r="L345" s="4"/>
      <c r="M345" s="4"/>
      <c r="N345" s="4"/>
    </row>
    <row r="346" spans="1:14">
      <c r="A346" s="4"/>
      <c r="B346" s="4"/>
      <c r="C346" s="4"/>
      <c r="D346" s="4"/>
      <c r="E346" s="4"/>
      <c r="F346" s="4"/>
      <c r="G346" s="4"/>
      <c r="H346" s="4"/>
      <c r="J346" s="4"/>
      <c r="K346" s="4"/>
      <c r="L346" s="4"/>
      <c r="M346" s="4"/>
      <c r="N346" s="4"/>
    </row>
    <row r="347" spans="1:14">
      <c r="A347" s="4"/>
      <c r="B347" s="4"/>
      <c r="C347" s="4"/>
      <c r="D347" s="4"/>
      <c r="E347" s="4"/>
      <c r="F347" s="4"/>
      <c r="G347" s="4"/>
      <c r="H347" s="4"/>
      <c r="J347" s="4"/>
      <c r="K347" s="4"/>
      <c r="L347" s="4"/>
      <c r="M347" s="4"/>
      <c r="N347" s="4"/>
    </row>
    <row r="348" spans="1:14">
      <c r="A348" s="4"/>
      <c r="B348" s="4"/>
      <c r="C348" s="4"/>
      <c r="D348" s="4"/>
      <c r="E348" s="4"/>
      <c r="F348" s="4"/>
      <c r="G348" s="4"/>
      <c r="H348" s="4"/>
      <c r="J348" s="4"/>
      <c r="K348" s="4"/>
      <c r="L348" s="4"/>
      <c r="M348" s="4"/>
      <c r="N348" s="4"/>
    </row>
    <row r="349" spans="1:14">
      <c r="A349" s="4"/>
      <c r="B349" s="4"/>
      <c r="C349" s="4"/>
      <c r="D349" s="4"/>
      <c r="E349" s="4"/>
      <c r="F349" s="4"/>
      <c r="G349" s="4"/>
      <c r="H349" s="4"/>
      <c r="J349" s="4"/>
      <c r="K349" s="4"/>
      <c r="L349" s="4"/>
      <c r="M349" s="4"/>
      <c r="N349" s="4"/>
    </row>
    <row r="350" spans="1:14">
      <c r="A350" s="4"/>
      <c r="B350" s="4"/>
      <c r="C350" s="4"/>
      <c r="D350" s="4"/>
      <c r="E350" s="4"/>
      <c r="F350" s="4"/>
      <c r="G350" s="4"/>
      <c r="H350" s="4"/>
      <c r="J350" s="4"/>
      <c r="K350" s="4"/>
      <c r="L350" s="4"/>
      <c r="M350" s="4"/>
      <c r="N350" s="4"/>
    </row>
    <row r="351" spans="1:14">
      <c r="A351" s="4"/>
      <c r="B351" s="4"/>
      <c r="C351" s="4"/>
      <c r="D351" s="4"/>
      <c r="E351" s="4"/>
      <c r="F351" s="4"/>
      <c r="G351" s="4"/>
      <c r="H351" s="4"/>
      <c r="J351" s="4"/>
      <c r="K351" s="4"/>
      <c r="L351" s="4"/>
      <c r="M351" s="4"/>
      <c r="N351" s="4"/>
    </row>
    <row r="352" spans="1:14">
      <c r="A352" s="4"/>
      <c r="B352" s="4"/>
      <c r="C352" s="4"/>
      <c r="D352" s="4"/>
      <c r="E352" s="4"/>
      <c r="F352" s="4"/>
      <c r="G352" s="4"/>
      <c r="H352" s="4"/>
      <c r="J352" s="4"/>
      <c r="K352" s="4"/>
      <c r="L352" s="4"/>
      <c r="M352" s="4"/>
      <c r="N352" s="4"/>
    </row>
    <row r="353" spans="1:14">
      <c r="A353" s="4"/>
      <c r="B353" s="4"/>
      <c r="C353" s="4"/>
      <c r="D353" s="4"/>
      <c r="E353" s="4"/>
      <c r="F353" s="4"/>
      <c r="G353" s="4"/>
      <c r="H353" s="4"/>
      <c r="J353" s="4"/>
      <c r="K353" s="4"/>
      <c r="L353" s="4"/>
      <c r="M353" s="4"/>
      <c r="N353" s="4"/>
    </row>
    <row r="354" spans="1:14">
      <c r="A354" s="4"/>
      <c r="B354" s="4"/>
      <c r="C354" s="4"/>
      <c r="D354" s="4"/>
      <c r="E354" s="4"/>
      <c r="F354" s="4"/>
      <c r="G354" s="4"/>
      <c r="H354" s="4"/>
      <c r="J354" s="4"/>
      <c r="K354" s="4"/>
      <c r="L354" s="4"/>
      <c r="M354" s="4"/>
      <c r="N354" s="4"/>
    </row>
    <row r="355" spans="1:14">
      <c r="A355" s="4"/>
      <c r="B355" s="4"/>
      <c r="C355" s="4"/>
      <c r="D355" s="4"/>
      <c r="E355" s="4"/>
      <c r="F355" s="4"/>
      <c r="G355" s="4"/>
      <c r="H355" s="4"/>
      <c r="J355" s="4"/>
      <c r="K355" s="4"/>
      <c r="L355" s="4"/>
      <c r="M355" s="4"/>
      <c r="N355" s="4"/>
    </row>
    <row r="356" spans="1:14">
      <c r="A356" s="4"/>
      <c r="B356" s="4"/>
      <c r="C356" s="4"/>
      <c r="D356" s="4"/>
      <c r="E356" s="4"/>
      <c r="F356" s="4"/>
      <c r="G356" s="4"/>
      <c r="H356" s="4"/>
      <c r="J356" s="4"/>
      <c r="K356" s="4"/>
      <c r="L356" s="4"/>
      <c r="M356" s="4"/>
      <c r="N356" s="4"/>
    </row>
    <row r="357" spans="1:14">
      <c r="A357" s="4"/>
      <c r="B357" s="4"/>
      <c r="C357" s="4"/>
      <c r="D357" s="4"/>
      <c r="E357" s="4"/>
      <c r="F357" s="4"/>
      <c r="G357" s="4"/>
      <c r="H357" s="4"/>
      <c r="J357" s="4"/>
      <c r="K357" s="4"/>
      <c r="L357" s="4"/>
      <c r="M357" s="4"/>
      <c r="N357" s="4"/>
    </row>
    <row r="358" spans="1:14">
      <c r="A358" s="4"/>
      <c r="B358" s="4"/>
      <c r="C358" s="4"/>
      <c r="D358" s="4"/>
      <c r="E358" s="4"/>
      <c r="F358" s="4"/>
      <c r="G358" s="4"/>
      <c r="H358" s="4"/>
      <c r="J358" s="4"/>
      <c r="K358" s="4"/>
      <c r="L358" s="4"/>
      <c r="M358" s="4"/>
      <c r="N358" s="4"/>
    </row>
    <row r="359" spans="1:14">
      <c r="A359" s="4"/>
      <c r="B359" s="4"/>
      <c r="C359" s="4"/>
      <c r="D359" s="4"/>
      <c r="E359" s="4"/>
      <c r="F359" s="4"/>
      <c r="G359" s="4"/>
      <c r="H359" s="4"/>
      <c r="J359" s="4"/>
      <c r="K359" s="4"/>
      <c r="L359" s="4"/>
      <c r="M359" s="4"/>
      <c r="N359" s="4"/>
    </row>
    <row r="360" spans="1:14">
      <c r="A360" s="4"/>
      <c r="B360" s="4"/>
      <c r="C360" s="4"/>
      <c r="D360" s="4"/>
      <c r="E360" s="4"/>
      <c r="F360" s="4"/>
      <c r="G360" s="4"/>
      <c r="H360" s="4"/>
      <c r="J360" s="4"/>
      <c r="K360" s="4"/>
      <c r="L360" s="4"/>
      <c r="M360" s="4"/>
      <c r="N360" s="4"/>
    </row>
    <row r="361" spans="1:14">
      <c r="A361" s="4"/>
      <c r="B361" s="4"/>
      <c r="C361" s="4"/>
      <c r="D361" s="4"/>
      <c r="E361" s="4"/>
      <c r="F361" s="4"/>
      <c r="G361" s="4"/>
      <c r="H361" s="4"/>
      <c r="J361" s="4"/>
      <c r="K361" s="4"/>
      <c r="L361" s="4"/>
      <c r="M361" s="4"/>
      <c r="N361" s="4"/>
    </row>
    <row r="362" spans="1:14">
      <c r="A362" s="4"/>
      <c r="B362" s="4"/>
      <c r="C362" s="4"/>
      <c r="D362" s="4"/>
      <c r="E362" s="4"/>
      <c r="F362" s="4"/>
      <c r="G362" s="4"/>
      <c r="H362" s="4"/>
      <c r="J362" s="4"/>
      <c r="K362" s="4"/>
      <c r="L362" s="4"/>
      <c r="M362" s="4"/>
      <c r="N362" s="4"/>
    </row>
    <row r="363" spans="1:14">
      <c r="A363" s="4"/>
      <c r="B363" s="4"/>
      <c r="C363" s="4"/>
      <c r="D363" s="4"/>
      <c r="E363" s="4"/>
      <c r="F363" s="4"/>
      <c r="G363" s="4"/>
      <c r="H363" s="4"/>
      <c r="J363" s="4"/>
      <c r="K363" s="4"/>
      <c r="L363" s="4"/>
      <c r="M363" s="4"/>
      <c r="N363" s="4"/>
    </row>
    <row r="364" spans="1:14">
      <c r="A364" s="4"/>
      <c r="B364" s="4"/>
      <c r="C364" s="4"/>
      <c r="D364" s="4"/>
      <c r="E364" s="4"/>
      <c r="F364" s="4"/>
      <c r="G364" s="4"/>
      <c r="H364" s="4"/>
      <c r="J364" s="4"/>
      <c r="K364" s="4"/>
      <c r="L364" s="4"/>
      <c r="M364" s="4"/>
      <c r="N364" s="4"/>
    </row>
    <row r="365" spans="1:14">
      <c r="A365" s="4"/>
      <c r="B365" s="4"/>
      <c r="C365" s="4"/>
      <c r="D365" s="4"/>
      <c r="E365" s="4"/>
      <c r="F365" s="4"/>
      <c r="G365" s="4"/>
      <c r="H365" s="4"/>
      <c r="J365" s="4"/>
      <c r="K365" s="4"/>
      <c r="L365" s="4"/>
      <c r="M365" s="4"/>
      <c r="N365" s="4"/>
    </row>
    <row r="366" spans="1:14">
      <c r="A366" s="4"/>
      <c r="B366" s="4"/>
      <c r="C366" s="4"/>
      <c r="D366" s="4"/>
      <c r="E366" s="4"/>
      <c r="F366" s="4"/>
      <c r="G366" s="4"/>
      <c r="H366" s="4"/>
      <c r="J366" s="4"/>
      <c r="K366" s="4"/>
      <c r="L366" s="4"/>
      <c r="M366" s="4"/>
      <c r="N366" s="4"/>
    </row>
    <row r="367" spans="1:14">
      <c r="A367" s="4"/>
      <c r="B367" s="4"/>
      <c r="C367" s="4"/>
      <c r="D367" s="4"/>
      <c r="E367" s="4"/>
      <c r="F367" s="4"/>
      <c r="G367" s="4"/>
      <c r="H367" s="4"/>
      <c r="J367" s="4"/>
      <c r="K367" s="4"/>
      <c r="L367" s="4"/>
      <c r="M367" s="4"/>
      <c r="N367" s="4"/>
    </row>
    <row r="368" spans="1:14">
      <c r="A368" s="4"/>
      <c r="B368" s="4"/>
      <c r="C368" s="4"/>
      <c r="D368" s="4"/>
      <c r="E368" s="4"/>
      <c r="F368" s="4"/>
      <c r="G368" s="4"/>
      <c r="H368" s="4"/>
      <c r="J368" s="4"/>
      <c r="K368" s="4"/>
      <c r="L368" s="4"/>
      <c r="M368" s="4"/>
      <c r="N368" s="4"/>
    </row>
    <row r="369" spans="1:14">
      <c r="A369" s="4"/>
      <c r="B369" s="4"/>
      <c r="C369" s="4"/>
      <c r="D369" s="4"/>
      <c r="E369" s="4"/>
      <c r="F369" s="4"/>
      <c r="G369" s="4"/>
      <c r="H369" s="4"/>
      <c r="J369" s="4"/>
      <c r="K369" s="4"/>
      <c r="L369" s="4"/>
      <c r="M369" s="4"/>
      <c r="N369" s="4"/>
    </row>
    <row r="370" spans="1:14">
      <c r="A370" s="4"/>
      <c r="B370" s="4"/>
      <c r="C370" s="4"/>
      <c r="D370" s="4"/>
      <c r="E370" s="4"/>
      <c r="F370" s="4"/>
      <c r="G370" s="4"/>
      <c r="H370" s="4"/>
      <c r="J370" s="4"/>
      <c r="K370" s="4"/>
      <c r="L370" s="4"/>
      <c r="M370" s="4"/>
      <c r="N370" s="4"/>
    </row>
    <row r="371" spans="1:14">
      <c r="A371" s="4"/>
      <c r="B371" s="4"/>
      <c r="C371" s="4"/>
      <c r="D371" s="4"/>
      <c r="E371" s="4"/>
      <c r="F371" s="4"/>
      <c r="G371" s="4"/>
      <c r="H371" s="4"/>
      <c r="J371" s="4"/>
      <c r="K371" s="4"/>
      <c r="L371" s="4"/>
      <c r="M371" s="4"/>
      <c r="N371" s="4"/>
    </row>
    <row r="372" spans="1:14">
      <c r="A372" s="4"/>
      <c r="B372" s="4"/>
      <c r="C372" s="4"/>
      <c r="D372" s="4"/>
      <c r="E372" s="4"/>
      <c r="F372" s="4"/>
      <c r="G372" s="4"/>
      <c r="H372" s="4"/>
      <c r="J372" s="4"/>
      <c r="K372" s="4"/>
      <c r="L372" s="4"/>
      <c r="M372" s="4"/>
      <c r="N372" s="4"/>
    </row>
    <row r="373" spans="1:14">
      <c r="A373" s="4"/>
      <c r="B373" s="4"/>
      <c r="C373" s="4"/>
      <c r="D373" s="4"/>
      <c r="E373" s="4"/>
      <c r="F373" s="4"/>
      <c r="G373" s="4"/>
      <c r="H373" s="4"/>
      <c r="J373" s="4"/>
      <c r="K373" s="4"/>
      <c r="L373" s="4"/>
      <c r="M373" s="4"/>
      <c r="N373" s="4"/>
    </row>
    <row r="374" spans="1:14">
      <c r="A374" s="4"/>
      <c r="B374" s="4"/>
      <c r="C374" s="4"/>
      <c r="D374" s="4"/>
      <c r="E374" s="4"/>
      <c r="F374" s="4"/>
      <c r="G374" s="4"/>
      <c r="H374" s="4"/>
      <c r="J374" s="4"/>
      <c r="K374" s="4"/>
      <c r="L374" s="4"/>
      <c r="M374" s="4"/>
      <c r="N374" s="4"/>
    </row>
    <row r="375" spans="1:14">
      <c r="A375" s="4"/>
      <c r="B375" s="4"/>
      <c r="C375" s="4"/>
      <c r="D375" s="4"/>
      <c r="E375" s="4"/>
      <c r="F375" s="4"/>
      <c r="G375" s="4"/>
      <c r="H375" s="4"/>
      <c r="J375" s="4"/>
      <c r="K375" s="4"/>
      <c r="L375" s="4"/>
      <c r="M375" s="4"/>
      <c r="N375" s="4"/>
    </row>
    <row r="376" spans="1:14">
      <c r="A376" s="4"/>
      <c r="B376" s="4"/>
      <c r="C376" s="4"/>
      <c r="D376" s="4"/>
      <c r="E376" s="4"/>
      <c r="F376" s="4"/>
      <c r="G376" s="4"/>
      <c r="H376" s="4"/>
      <c r="J376" s="4"/>
      <c r="K376" s="4"/>
      <c r="L376" s="4"/>
      <c r="M376" s="4"/>
      <c r="N376" s="4"/>
    </row>
    <row r="377" spans="1:14">
      <c r="A377" s="4"/>
      <c r="B377" s="4"/>
      <c r="C377" s="4"/>
      <c r="D377" s="4"/>
      <c r="E377" s="4"/>
      <c r="F377" s="4"/>
      <c r="G377" s="4"/>
      <c r="H377" s="4"/>
      <c r="J377" s="4"/>
      <c r="K377" s="4"/>
      <c r="L377" s="4"/>
      <c r="M377" s="4"/>
      <c r="N377" s="4"/>
    </row>
    <row r="378" spans="1:14">
      <c r="A378" s="4"/>
      <c r="B378" s="4"/>
      <c r="C378" s="4"/>
      <c r="D378" s="4"/>
      <c r="E378" s="4"/>
      <c r="F378" s="4"/>
      <c r="G378" s="4"/>
      <c r="H378" s="4"/>
      <c r="J378" s="4"/>
      <c r="K378" s="4"/>
      <c r="L378" s="4"/>
      <c r="M378" s="4"/>
      <c r="N378" s="4"/>
    </row>
    <row r="379" spans="1:14">
      <c r="A379" s="4"/>
      <c r="B379" s="4"/>
      <c r="C379" s="4"/>
      <c r="D379" s="4"/>
      <c r="E379" s="4"/>
      <c r="F379" s="4"/>
      <c r="G379" s="4"/>
      <c r="H379" s="4"/>
      <c r="J379" s="4"/>
      <c r="K379" s="4"/>
      <c r="L379" s="4"/>
      <c r="M379" s="4"/>
      <c r="N379" s="4"/>
    </row>
    <row r="380" spans="1:14">
      <c r="A380" s="4"/>
      <c r="B380" s="4"/>
      <c r="C380" s="4"/>
      <c r="D380" s="4"/>
      <c r="E380" s="4"/>
      <c r="F380" s="4"/>
      <c r="G380" s="4"/>
      <c r="H380" s="4"/>
      <c r="J380" s="4"/>
      <c r="K380" s="4"/>
      <c r="L380" s="4"/>
      <c r="M380" s="4"/>
      <c r="N380" s="4"/>
    </row>
    <row r="381" spans="1:14">
      <c r="A381" s="4"/>
      <c r="B381" s="4"/>
      <c r="C381" s="4"/>
      <c r="D381" s="4"/>
      <c r="E381" s="4"/>
      <c r="F381" s="4"/>
      <c r="G381" s="4"/>
      <c r="H381" s="4"/>
      <c r="J381" s="4"/>
      <c r="K381" s="4"/>
      <c r="L381" s="4"/>
      <c r="M381" s="4"/>
      <c r="N381" s="4"/>
    </row>
    <row r="382" spans="1:14">
      <c r="A382" s="4"/>
      <c r="B382" s="4"/>
      <c r="C382" s="4"/>
      <c r="D382" s="4"/>
      <c r="E382" s="4"/>
      <c r="F382" s="4"/>
      <c r="G382" s="4"/>
      <c r="H382" s="4"/>
      <c r="J382" s="4"/>
      <c r="K382" s="4"/>
      <c r="L382" s="4"/>
      <c r="M382" s="4"/>
      <c r="N382" s="4"/>
    </row>
    <row r="383" spans="1:14">
      <c r="A383" s="4"/>
      <c r="B383" s="4"/>
      <c r="C383" s="4"/>
      <c r="D383" s="4"/>
      <c r="E383" s="4"/>
      <c r="F383" s="4"/>
      <c r="G383" s="4"/>
      <c r="H383" s="4"/>
      <c r="J383" s="4"/>
      <c r="K383" s="4"/>
      <c r="L383" s="4"/>
      <c r="M383" s="4"/>
      <c r="N383" s="4"/>
    </row>
    <row r="384" spans="1:14">
      <c r="A384" s="4"/>
      <c r="B384" s="4"/>
      <c r="C384" s="4"/>
      <c r="D384" s="4"/>
      <c r="E384" s="4"/>
      <c r="F384" s="4"/>
      <c r="G384" s="4"/>
      <c r="H384" s="4"/>
      <c r="J384" s="4"/>
      <c r="K384" s="4"/>
      <c r="L384" s="4"/>
      <c r="M384" s="4"/>
      <c r="N384" s="4"/>
    </row>
    <row r="385" spans="1:14">
      <c r="A385" s="4"/>
      <c r="B385" s="4"/>
      <c r="C385" s="4"/>
      <c r="D385" s="4"/>
      <c r="E385" s="4"/>
      <c r="F385" s="4"/>
      <c r="G385" s="4"/>
      <c r="H385" s="4"/>
      <c r="J385" s="4"/>
      <c r="K385" s="4"/>
      <c r="L385" s="4"/>
      <c r="M385" s="4"/>
      <c r="N385" s="4"/>
    </row>
    <row r="386" spans="1:14">
      <c r="A386" s="4"/>
      <c r="B386" s="4"/>
      <c r="C386" s="4"/>
      <c r="D386" s="4"/>
      <c r="E386" s="4"/>
      <c r="F386" s="4"/>
      <c r="G386" s="4"/>
      <c r="H386" s="4"/>
      <c r="J386" s="4"/>
      <c r="K386" s="4"/>
      <c r="L386" s="4"/>
      <c r="M386" s="4"/>
      <c r="N386" s="4"/>
    </row>
    <row r="387" spans="1:14">
      <c r="A387" s="4"/>
      <c r="B387" s="4"/>
      <c r="C387" s="4"/>
      <c r="D387" s="4"/>
      <c r="E387" s="4"/>
      <c r="F387" s="4"/>
      <c r="G387" s="4"/>
      <c r="H387" s="4"/>
      <c r="J387" s="4"/>
      <c r="K387" s="4"/>
      <c r="L387" s="4"/>
      <c r="M387" s="4"/>
      <c r="N387" s="4"/>
    </row>
    <row r="388" spans="1:14">
      <c r="A388" s="4"/>
      <c r="B388" s="4"/>
      <c r="C388" s="4"/>
      <c r="D388" s="4"/>
      <c r="E388" s="4"/>
      <c r="F388" s="4"/>
      <c r="G388" s="4"/>
      <c r="H388" s="4"/>
      <c r="J388" s="4"/>
      <c r="K388" s="4"/>
      <c r="L388" s="4"/>
      <c r="M388" s="4"/>
      <c r="N388" s="4"/>
    </row>
    <row r="389" spans="1:14">
      <c r="A389" s="4"/>
      <c r="B389" s="4"/>
      <c r="C389" s="4"/>
      <c r="D389" s="4"/>
      <c r="E389" s="4"/>
      <c r="F389" s="4"/>
      <c r="G389" s="4"/>
      <c r="H389" s="4"/>
      <c r="J389" s="4"/>
      <c r="K389" s="4"/>
      <c r="L389" s="4"/>
      <c r="M389" s="4"/>
      <c r="N389" s="4"/>
    </row>
    <row r="390" spans="1:14">
      <c r="A390" s="4"/>
      <c r="B390" s="4"/>
      <c r="C390" s="4"/>
      <c r="D390" s="4"/>
      <c r="E390" s="4"/>
      <c r="F390" s="4"/>
      <c r="G390" s="4"/>
      <c r="H390" s="4"/>
      <c r="J390" s="4"/>
      <c r="K390" s="4"/>
      <c r="L390" s="4"/>
      <c r="M390" s="4"/>
      <c r="N390" s="4"/>
    </row>
    <row r="391" spans="1:14">
      <c r="A391" s="4"/>
      <c r="B391" s="4"/>
      <c r="C391" s="4"/>
      <c r="D391" s="4"/>
      <c r="E391" s="4"/>
      <c r="F391" s="4"/>
      <c r="G391" s="4"/>
      <c r="H391" s="4"/>
      <c r="J391" s="4"/>
      <c r="K391" s="4"/>
      <c r="L391" s="4"/>
      <c r="M391" s="4"/>
      <c r="N391" s="4"/>
    </row>
    <row r="392" spans="1:14">
      <c r="A392" s="4"/>
      <c r="B392" s="4"/>
      <c r="C392" s="4"/>
      <c r="D392" s="4"/>
      <c r="E392" s="4"/>
      <c r="F392" s="4"/>
      <c r="G392" s="4"/>
      <c r="H392" s="4"/>
      <c r="J392" s="4"/>
      <c r="K392" s="4"/>
      <c r="L392" s="4"/>
      <c r="M392" s="4"/>
      <c r="N392" s="4"/>
    </row>
    <row r="393" spans="1:14">
      <c r="A393" s="4"/>
      <c r="B393" s="4"/>
      <c r="C393" s="4"/>
      <c r="D393" s="4"/>
      <c r="E393" s="4"/>
      <c r="F393" s="4"/>
      <c r="G393" s="4"/>
      <c r="H393" s="4"/>
      <c r="J393" s="4"/>
      <c r="K393" s="4"/>
      <c r="L393" s="4"/>
      <c r="M393" s="4"/>
      <c r="N393" s="4"/>
    </row>
    <row r="394" spans="1:14">
      <c r="A394" s="4"/>
      <c r="B394" s="4"/>
      <c r="C394" s="4"/>
      <c r="D394" s="4"/>
      <c r="E394" s="4"/>
      <c r="F394" s="4"/>
      <c r="G394" s="4"/>
      <c r="H394" s="4"/>
      <c r="J394" s="4"/>
      <c r="K394" s="4"/>
      <c r="L394" s="4"/>
      <c r="M394" s="4"/>
      <c r="N394" s="4"/>
    </row>
    <row r="395" spans="1:14">
      <c r="A395" s="4"/>
      <c r="B395" s="4"/>
      <c r="C395" s="4"/>
      <c r="D395" s="4"/>
      <c r="E395" s="4"/>
      <c r="F395" s="4"/>
      <c r="G395" s="4"/>
      <c r="H395" s="4"/>
      <c r="J395" s="4"/>
      <c r="K395" s="4"/>
      <c r="L395" s="4"/>
      <c r="M395" s="4"/>
      <c r="N395" s="4"/>
    </row>
    <row r="396" spans="1:14">
      <c r="A396" s="4"/>
      <c r="B396" s="4"/>
      <c r="C396" s="4"/>
      <c r="D396" s="4"/>
      <c r="E396" s="4"/>
      <c r="F396" s="4"/>
      <c r="G396" s="4"/>
      <c r="H396" s="4"/>
      <c r="J396" s="4"/>
      <c r="K396" s="4"/>
      <c r="L396" s="4"/>
      <c r="M396" s="4"/>
      <c r="N396" s="4"/>
    </row>
    <row r="397" spans="1:14">
      <c r="A397" s="4"/>
      <c r="B397" s="4"/>
      <c r="C397" s="4"/>
      <c r="D397" s="4"/>
      <c r="E397" s="4"/>
      <c r="F397" s="4"/>
      <c r="G397" s="4"/>
      <c r="H397" s="4"/>
      <c r="J397" s="4"/>
      <c r="K397" s="4"/>
      <c r="L397" s="4"/>
      <c r="M397" s="4"/>
      <c r="N397" s="4"/>
    </row>
    <row r="398" spans="1:14">
      <c r="A398" s="4"/>
      <c r="B398" s="4"/>
      <c r="C398" s="4"/>
      <c r="D398" s="4"/>
      <c r="E398" s="4"/>
      <c r="F398" s="4"/>
      <c r="G398" s="4"/>
      <c r="H398" s="4"/>
      <c r="J398" s="4"/>
      <c r="K398" s="4"/>
      <c r="L398" s="4"/>
      <c r="M398" s="4"/>
      <c r="N398" s="4"/>
    </row>
    <row r="399" spans="1:14">
      <c r="A399" s="4"/>
      <c r="B399" s="4"/>
      <c r="C399" s="4"/>
      <c r="D399" s="4"/>
      <c r="E399" s="4"/>
      <c r="F399" s="4"/>
      <c r="G399" s="4"/>
      <c r="H399" s="4"/>
      <c r="J399" s="4"/>
      <c r="K399" s="4"/>
      <c r="L399" s="4"/>
      <c r="M399" s="4"/>
      <c r="N399" s="4"/>
    </row>
    <row r="400" spans="1:14">
      <c r="A400" s="4"/>
      <c r="B400" s="4"/>
      <c r="C400" s="4"/>
      <c r="D400" s="4"/>
      <c r="E400" s="4"/>
      <c r="F400" s="4"/>
      <c r="G400" s="4"/>
      <c r="H400" s="4"/>
      <c r="J400" s="4"/>
      <c r="K400" s="4"/>
      <c r="L400" s="4"/>
      <c r="M400" s="4"/>
      <c r="N400" s="4"/>
    </row>
    <row r="401" spans="1:14">
      <c r="A401" s="4"/>
      <c r="B401" s="4"/>
      <c r="C401" s="4"/>
      <c r="D401" s="4"/>
      <c r="E401" s="4"/>
      <c r="F401" s="4"/>
      <c r="G401" s="4"/>
      <c r="H401" s="4"/>
      <c r="J401" s="4"/>
      <c r="K401" s="4"/>
      <c r="L401" s="4"/>
      <c r="M401" s="4"/>
      <c r="N401" s="4"/>
    </row>
    <row r="402" spans="1:14">
      <c r="A402" s="4"/>
      <c r="B402" s="4"/>
      <c r="C402" s="4"/>
      <c r="D402" s="4"/>
      <c r="E402" s="4"/>
      <c r="F402" s="4"/>
      <c r="G402" s="4"/>
      <c r="H402" s="4"/>
      <c r="J402" s="4"/>
      <c r="K402" s="4"/>
      <c r="L402" s="4"/>
      <c r="M402" s="4"/>
      <c r="N402" s="4"/>
    </row>
    <row r="403" spans="1:14">
      <c r="A403" s="4"/>
      <c r="B403" s="4"/>
      <c r="C403" s="4"/>
      <c r="D403" s="4"/>
      <c r="E403" s="4"/>
      <c r="F403" s="4"/>
      <c r="G403" s="4"/>
      <c r="H403" s="4"/>
      <c r="J403" s="4"/>
      <c r="K403" s="4"/>
      <c r="L403" s="4"/>
      <c r="M403" s="4"/>
      <c r="N403" s="4"/>
    </row>
    <row r="404" spans="1:14">
      <c r="A404" s="4"/>
      <c r="B404" s="4"/>
      <c r="C404" s="4"/>
      <c r="D404" s="4"/>
      <c r="E404" s="4"/>
      <c r="F404" s="4"/>
      <c r="G404" s="4"/>
      <c r="H404" s="4"/>
      <c r="J404" s="4"/>
      <c r="K404" s="4"/>
      <c r="L404" s="4"/>
      <c r="M404" s="4"/>
      <c r="N404" s="4"/>
    </row>
    <row r="405" spans="1:14">
      <c r="A405" s="4"/>
      <c r="B405" s="4"/>
      <c r="C405" s="4"/>
      <c r="D405" s="4"/>
      <c r="E405" s="4"/>
      <c r="F405" s="4"/>
      <c r="G405" s="4"/>
      <c r="H405" s="4"/>
      <c r="J405" s="4"/>
      <c r="K405" s="4"/>
      <c r="L405" s="4"/>
      <c r="M405" s="4"/>
      <c r="N405" s="4"/>
    </row>
    <row r="406" spans="1:14">
      <c r="A406" s="4"/>
      <c r="B406" s="4"/>
      <c r="C406" s="4"/>
      <c r="D406" s="4"/>
      <c r="E406" s="4"/>
      <c r="F406" s="4"/>
      <c r="G406" s="4"/>
      <c r="H406" s="4"/>
      <c r="J406" s="4"/>
      <c r="K406" s="4"/>
      <c r="L406" s="4"/>
      <c r="M406" s="4"/>
      <c r="N406" s="4"/>
    </row>
    <row r="407" spans="1:14">
      <c r="A407" s="4"/>
      <c r="B407" s="4"/>
      <c r="C407" s="4"/>
      <c r="D407" s="4"/>
      <c r="E407" s="4"/>
      <c r="F407" s="4"/>
      <c r="G407" s="4"/>
      <c r="H407" s="4"/>
      <c r="J407" s="4"/>
      <c r="K407" s="4"/>
      <c r="L407" s="4"/>
      <c r="M407" s="4"/>
      <c r="N407" s="4"/>
    </row>
    <row r="408" spans="1:14">
      <c r="A408" s="4"/>
      <c r="B408" s="4"/>
      <c r="C408" s="4"/>
      <c r="D408" s="4"/>
      <c r="E408" s="4"/>
      <c r="F408" s="4"/>
      <c r="G408" s="4"/>
      <c r="H408" s="4"/>
      <c r="J408" s="4"/>
      <c r="K408" s="4"/>
      <c r="L408" s="4"/>
      <c r="M408" s="4"/>
      <c r="N408" s="4"/>
    </row>
    <row r="409" spans="1:14">
      <c r="A409" s="4"/>
      <c r="B409" s="4"/>
      <c r="C409" s="4"/>
      <c r="D409" s="4"/>
      <c r="E409" s="4"/>
      <c r="F409" s="4"/>
      <c r="G409" s="4"/>
      <c r="H409" s="4"/>
      <c r="J409" s="4"/>
      <c r="K409" s="4"/>
      <c r="L409" s="4"/>
      <c r="M409" s="4"/>
      <c r="N409" s="4"/>
    </row>
    <row r="410" spans="1:14">
      <c r="A410" s="4"/>
      <c r="B410" s="4"/>
      <c r="C410" s="4"/>
      <c r="D410" s="4"/>
      <c r="E410" s="4"/>
      <c r="F410" s="4"/>
      <c r="G410" s="4"/>
      <c r="H410" s="4"/>
      <c r="J410" s="4"/>
      <c r="K410" s="4"/>
      <c r="L410" s="4"/>
      <c r="M410" s="4"/>
      <c r="N410" s="4"/>
    </row>
    <row r="411" spans="1:14">
      <c r="A411" s="4"/>
      <c r="B411" s="4"/>
      <c r="C411" s="4"/>
      <c r="D411" s="4"/>
      <c r="E411" s="4"/>
      <c r="F411" s="4"/>
      <c r="G411" s="4"/>
      <c r="H411" s="4"/>
      <c r="J411" s="4"/>
      <c r="K411" s="4"/>
      <c r="L411" s="4"/>
      <c r="M411" s="4"/>
      <c r="N411" s="4"/>
    </row>
    <row r="412" spans="1:14">
      <c r="A412" s="4"/>
      <c r="B412" s="4"/>
      <c r="C412" s="4"/>
      <c r="D412" s="4"/>
      <c r="E412" s="4"/>
      <c r="F412" s="4"/>
      <c r="G412" s="4"/>
      <c r="H412" s="4"/>
      <c r="J412" s="4"/>
      <c r="K412" s="4"/>
      <c r="L412" s="4"/>
      <c r="M412" s="4"/>
      <c r="N412" s="4"/>
    </row>
    <row r="413" spans="1:14">
      <c r="A413" s="4"/>
      <c r="B413" s="4"/>
      <c r="C413" s="4"/>
      <c r="D413" s="4"/>
      <c r="E413" s="4"/>
      <c r="F413" s="4"/>
      <c r="G413" s="4"/>
      <c r="H413" s="4"/>
      <c r="J413" s="4"/>
      <c r="K413" s="4"/>
      <c r="L413" s="4"/>
      <c r="M413" s="4"/>
      <c r="N413" s="4"/>
    </row>
    <row r="414" spans="1:14">
      <c r="A414" s="4"/>
      <c r="B414" s="4"/>
      <c r="C414" s="4"/>
      <c r="D414" s="4"/>
      <c r="E414" s="4"/>
      <c r="F414" s="4"/>
      <c r="G414" s="4"/>
      <c r="H414" s="4"/>
      <c r="J414" s="4"/>
      <c r="K414" s="4"/>
      <c r="L414" s="4"/>
      <c r="M414" s="4"/>
      <c r="N414" s="4"/>
    </row>
    <row r="415" spans="1:14">
      <c r="A415" s="4"/>
      <c r="B415" s="4"/>
      <c r="C415" s="4"/>
      <c r="D415" s="4"/>
      <c r="E415" s="4"/>
      <c r="F415" s="4"/>
      <c r="G415" s="4"/>
      <c r="H415" s="4"/>
      <c r="J415" s="4"/>
      <c r="K415" s="4"/>
      <c r="L415" s="4"/>
      <c r="M415" s="4"/>
      <c r="N415" s="4"/>
    </row>
    <row r="416" spans="1:14">
      <c r="A416" s="4"/>
      <c r="B416" s="4"/>
      <c r="C416" s="4"/>
      <c r="D416" s="4"/>
      <c r="E416" s="4"/>
      <c r="F416" s="4"/>
      <c r="G416" s="4"/>
      <c r="H416" s="4"/>
      <c r="J416" s="4"/>
      <c r="K416" s="4"/>
      <c r="L416" s="4"/>
      <c r="M416" s="4"/>
      <c r="N416" s="4"/>
    </row>
    <row r="417" spans="1:14">
      <c r="A417" s="4"/>
      <c r="B417" s="4"/>
      <c r="C417" s="4"/>
      <c r="D417" s="4"/>
      <c r="E417" s="4"/>
      <c r="F417" s="4"/>
      <c r="G417" s="4"/>
      <c r="H417" s="4"/>
      <c r="J417" s="4"/>
      <c r="K417" s="4"/>
      <c r="L417" s="4"/>
      <c r="M417" s="4"/>
      <c r="N417" s="4"/>
    </row>
    <row r="418" spans="1:14">
      <c r="A418" s="4"/>
      <c r="B418" s="4"/>
      <c r="C418" s="4"/>
      <c r="D418" s="4"/>
      <c r="E418" s="4"/>
      <c r="F418" s="4"/>
      <c r="G418" s="4"/>
      <c r="H418" s="4"/>
      <c r="J418" s="4"/>
      <c r="K418" s="4"/>
      <c r="L418" s="4"/>
      <c r="M418" s="4"/>
      <c r="N418" s="4"/>
    </row>
    <row r="419" spans="1:14">
      <c r="A419" s="4"/>
      <c r="B419" s="4"/>
      <c r="C419" s="4"/>
      <c r="D419" s="4"/>
      <c r="E419" s="4"/>
      <c r="F419" s="4"/>
      <c r="G419" s="4"/>
      <c r="H419" s="4"/>
      <c r="J419" s="4"/>
      <c r="K419" s="4"/>
      <c r="L419" s="4"/>
      <c r="M419" s="4"/>
      <c r="N419" s="4"/>
    </row>
    <row r="420" spans="1:14">
      <c r="A420" s="4"/>
      <c r="B420" s="4"/>
      <c r="C420" s="4"/>
      <c r="D420" s="4"/>
      <c r="E420" s="4"/>
      <c r="F420" s="4"/>
      <c r="G420" s="4"/>
      <c r="H420" s="4"/>
      <c r="J420" s="4"/>
      <c r="K420" s="4"/>
      <c r="L420" s="4"/>
      <c r="M420" s="4"/>
      <c r="N420" s="4"/>
    </row>
    <row r="421" spans="1:14">
      <c r="A421" s="4"/>
      <c r="B421" s="4"/>
      <c r="C421" s="4"/>
      <c r="D421" s="4"/>
      <c r="E421" s="4"/>
      <c r="F421" s="4"/>
      <c r="G421" s="4"/>
      <c r="H421" s="4"/>
      <c r="J421" s="4"/>
      <c r="K421" s="4"/>
      <c r="L421" s="4"/>
      <c r="M421" s="4"/>
      <c r="N421" s="4"/>
    </row>
    <row r="422" spans="1:14">
      <c r="A422" s="4"/>
      <c r="B422" s="4"/>
      <c r="C422" s="4"/>
      <c r="D422" s="4"/>
      <c r="E422" s="4"/>
      <c r="F422" s="4"/>
      <c r="G422" s="4"/>
      <c r="H422" s="4"/>
      <c r="J422" s="4"/>
      <c r="K422" s="4"/>
      <c r="L422" s="4"/>
      <c r="M422" s="4"/>
      <c r="N422" s="4"/>
    </row>
    <row r="423" spans="1:14">
      <c r="A423" s="4"/>
      <c r="B423" s="4"/>
      <c r="C423" s="4"/>
      <c r="D423" s="4"/>
      <c r="E423" s="4"/>
      <c r="F423" s="4"/>
      <c r="G423" s="4"/>
      <c r="H423" s="4"/>
      <c r="J423" s="4"/>
      <c r="K423" s="4"/>
      <c r="L423" s="4"/>
      <c r="M423" s="4"/>
      <c r="N423" s="4"/>
    </row>
    <row r="424" spans="1:14">
      <c r="A424" s="4"/>
      <c r="B424" s="4"/>
      <c r="C424" s="4"/>
      <c r="D424" s="4"/>
      <c r="E424" s="4"/>
      <c r="F424" s="4"/>
      <c r="G424" s="4"/>
      <c r="H424" s="4"/>
      <c r="J424" s="4"/>
      <c r="K424" s="4"/>
      <c r="L424" s="4"/>
      <c r="M424" s="4"/>
      <c r="N424" s="4"/>
    </row>
    <row r="425" spans="1:14">
      <c r="A425" s="4"/>
      <c r="B425" s="4"/>
      <c r="C425" s="4"/>
      <c r="D425" s="4"/>
      <c r="E425" s="4"/>
      <c r="F425" s="4"/>
      <c r="G425" s="4"/>
      <c r="H425" s="4"/>
      <c r="J425" s="4"/>
      <c r="K425" s="4"/>
      <c r="L425" s="4"/>
      <c r="M425" s="4"/>
      <c r="N425" s="4"/>
    </row>
    <row r="426" spans="1:14">
      <c r="A426" s="4"/>
      <c r="B426" s="4"/>
      <c r="C426" s="4"/>
      <c r="D426" s="4"/>
      <c r="E426" s="4"/>
      <c r="F426" s="4"/>
      <c r="G426" s="4"/>
      <c r="H426" s="4"/>
      <c r="J426" s="4"/>
      <c r="K426" s="4"/>
      <c r="L426" s="4"/>
      <c r="M426" s="4"/>
      <c r="N426" s="4"/>
    </row>
    <row r="427" spans="1:14">
      <c r="A427" s="4"/>
      <c r="B427" s="4"/>
      <c r="C427" s="4"/>
      <c r="D427" s="4"/>
      <c r="E427" s="4"/>
      <c r="F427" s="4"/>
      <c r="G427" s="4"/>
      <c r="H427" s="4"/>
      <c r="J427" s="4"/>
      <c r="K427" s="4"/>
      <c r="L427" s="4"/>
      <c r="M427" s="4"/>
      <c r="N427" s="4"/>
    </row>
    <row r="428" spans="1:14">
      <c r="A428" s="4"/>
      <c r="B428" s="4"/>
      <c r="C428" s="4"/>
      <c r="D428" s="4"/>
      <c r="E428" s="4"/>
      <c r="F428" s="4"/>
      <c r="G428" s="4"/>
      <c r="H428" s="4"/>
      <c r="J428" s="4"/>
      <c r="K428" s="4"/>
      <c r="L428" s="4"/>
      <c r="M428" s="4"/>
      <c r="N428" s="4"/>
    </row>
    <row r="429" spans="1:14">
      <c r="A429" s="4"/>
      <c r="B429" s="4"/>
      <c r="C429" s="4"/>
      <c r="D429" s="4"/>
      <c r="E429" s="4"/>
      <c r="F429" s="4"/>
      <c r="G429" s="4"/>
      <c r="H429" s="4"/>
      <c r="J429" s="4"/>
      <c r="K429" s="4"/>
      <c r="L429" s="4"/>
      <c r="M429" s="4"/>
      <c r="N429" s="4"/>
    </row>
    <row r="430" spans="1:14">
      <c r="A430" s="4"/>
      <c r="B430" s="4"/>
      <c r="C430" s="4"/>
      <c r="D430" s="4"/>
      <c r="E430" s="4"/>
      <c r="F430" s="4"/>
      <c r="G430" s="4"/>
      <c r="H430" s="4"/>
      <c r="J430" s="4"/>
      <c r="K430" s="4"/>
      <c r="L430" s="4"/>
      <c r="M430" s="4"/>
      <c r="N430" s="4"/>
    </row>
    <row r="431" spans="1:14">
      <c r="A431" s="4"/>
      <c r="B431" s="4"/>
      <c r="C431" s="4"/>
      <c r="D431" s="4"/>
      <c r="E431" s="4"/>
      <c r="F431" s="4"/>
      <c r="G431" s="4"/>
      <c r="H431" s="4"/>
      <c r="J431" s="4"/>
      <c r="K431" s="4"/>
      <c r="L431" s="4"/>
      <c r="M431" s="4"/>
      <c r="N431" s="4"/>
    </row>
    <row r="432" spans="1:14">
      <c r="A432" s="4"/>
      <c r="B432" s="4"/>
      <c r="C432" s="4"/>
      <c r="D432" s="4"/>
      <c r="E432" s="4"/>
      <c r="F432" s="4"/>
      <c r="G432" s="4"/>
      <c r="H432" s="4"/>
      <c r="J432" s="4"/>
      <c r="K432" s="4"/>
      <c r="L432" s="4"/>
      <c r="M432" s="4"/>
      <c r="N432" s="4"/>
    </row>
    <row r="433" spans="1:14">
      <c r="A433" s="4"/>
      <c r="B433" s="4"/>
      <c r="C433" s="4"/>
      <c r="D433" s="4"/>
      <c r="E433" s="4"/>
      <c r="F433" s="4"/>
      <c r="G433" s="4"/>
      <c r="H433" s="4"/>
      <c r="J433" s="4"/>
      <c r="K433" s="4"/>
      <c r="L433" s="4"/>
      <c r="M433" s="4"/>
      <c r="N433" s="4"/>
    </row>
    <row r="434" spans="1:14">
      <c r="A434" s="4"/>
      <c r="B434" s="4"/>
      <c r="C434" s="4"/>
      <c r="D434" s="4"/>
      <c r="E434" s="4"/>
      <c r="F434" s="4"/>
      <c r="G434" s="4"/>
      <c r="H434" s="4"/>
      <c r="J434" s="4"/>
      <c r="K434" s="4"/>
      <c r="L434" s="4"/>
      <c r="M434" s="4"/>
      <c r="N434" s="4"/>
    </row>
    <row r="435" spans="1:14">
      <c r="A435" s="4"/>
      <c r="B435" s="4"/>
      <c r="C435" s="4"/>
      <c r="D435" s="4"/>
      <c r="E435" s="4"/>
      <c r="F435" s="4"/>
      <c r="G435" s="4"/>
      <c r="H435" s="4"/>
      <c r="J435" s="4"/>
      <c r="K435" s="4"/>
      <c r="L435" s="4"/>
      <c r="M435" s="4"/>
      <c r="N435" s="4"/>
    </row>
    <row r="436" spans="1:14">
      <c r="A436" s="4"/>
      <c r="B436" s="4"/>
      <c r="C436" s="4"/>
      <c r="D436" s="4"/>
      <c r="E436" s="4"/>
      <c r="F436" s="4"/>
      <c r="G436" s="4"/>
      <c r="H436" s="4"/>
      <c r="J436" s="4"/>
      <c r="K436" s="4"/>
      <c r="L436" s="4"/>
      <c r="M436" s="4"/>
      <c r="N436" s="4"/>
    </row>
    <row r="437" spans="1:14">
      <c r="A437" s="4"/>
      <c r="B437" s="4"/>
      <c r="C437" s="4"/>
      <c r="D437" s="4"/>
      <c r="E437" s="4"/>
      <c r="F437" s="4"/>
      <c r="G437" s="4"/>
      <c r="H437" s="4"/>
      <c r="J437" s="4"/>
      <c r="K437" s="4"/>
      <c r="L437" s="4"/>
      <c r="M437" s="4"/>
      <c r="N437" s="4"/>
    </row>
    <row r="438" spans="1:14">
      <c r="A438" s="4"/>
      <c r="B438" s="4"/>
      <c r="C438" s="4"/>
      <c r="D438" s="4"/>
      <c r="E438" s="4"/>
      <c r="F438" s="4"/>
      <c r="G438" s="4"/>
      <c r="H438" s="4"/>
      <c r="J438" s="4"/>
      <c r="K438" s="4"/>
      <c r="L438" s="4"/>
      <c r="M438" s="4"/>
      <c r="N438" s="4"/>
    </row>
    <row r="439" spans="1:14">
      <c r="A439" s="4"/>
      <c r="B439" s="4"/>
      <c r="C439" s="4"/>
      <c r="D439" s="4"/>
      <c r="E439" s="4"/>
      <c r="F439" s="4"/>
      <c r="G439" s="4"/>
      <c r="H439" s="4"/>
      <c r="J439" s="4"/>
      <c r="K439" s="4"/>
      <c r="L439" s="4"/>
      <c r="M439" s="4"/>
      <c r="N439" s="4"/>
    </row>
    <row r="440" spans="1:14">
      <c r="A440" s="4"/>
      <c r="B440" s="4"/>
      <c r="C440" s="4"/>
      <c r="D440" s="4"/>
      <c r="E440" s="4"/>
      <c r="F440" s="4"/>
      <c r="G440" s="4"/>
      <c r="H440" s="4"/>
      <c r="J440" s="4"/>
      <c r="K440" s="4"/>
      <c r="L440" s="4"/>
      <c r="M440" s="4"/>
      <c r="N440" s="4"/>
    </row>
    <row r="441" spans="1:14">
      <c r="A441" s="4"/>
      <c r="B441" s="4"/>
      <c r="C441" s="4"/>
      <c r="D441" s="4"/>
      <c r="E441" s="4"/>
      <c r="F441" s="4"/>
      <c r="G441" s="4"/>
      <c r="H441" s="4"/>
      <c r="J441" s="4"/>
      <c r="K441" s="4"/>
      <c r="L441" s="4"/>
      <c r="M441" s="4"/>
      <c r="N441" s="4"/>
    </row>
    <row r="442" spans="1:14">
      <c r="A442" s="4"/>
      <c r="B442" s="4"/>
      <c r="C442" s="4"/>
      <c r="D442" s="4"/>
      <c r="E442" s="4"/>
      <c r="F442" s="4"/>
      <c r="G442" s="4"/>
      <c r="H442" s="4"/>
      <c r="J442" s="4"/>
      <c r="K442" s="4"/>
      <c r="L442" s="4"/>
      <c r="M442" s="4"/>
      <c r="N442" s="4"/>
    </row>
    <row r="443" spans="1:14">
      <c r="A443" s="4"/>
      <c r="B443" s="4"/>
      <c r="C443" s="4"/>
      <c r="D443" s="4"/>
      <c r="E443" s="4"/>
      <c r="F443" s="4"/>
      <c r="G443" s="4"/>
      <c r="H443" s="4"/>
      <c r="J443" s="4"/>
      <c r="K443" s="4"/>
      <c r="L443" s="4"/>
      <c r="M443" s="4"/>
      <c r="N443" s="4"/>
    </row>
    <row r="444" spans="1:14">
      <c r="A444" s="4"/>
      <c r="B444" s="4"/>
      <c r="C444" s="4"/>
      <c r="D444" s="4"/>
      <c r="E444" s="4"/>
      <c r="F444" s="4"/>
      <c r="G444" s="4"/>
      <c r="H444" s="4"/>
      <c r="J444" s="4"/>
      <c r="K444" s="4"/>
      <c r="L444" s="4"/>
      <c r="M444" s="4"/>
      <c r="N444" s="4"/>
    </row>
    <row r="445" spans="1:14">
      <c r="A445" s="4"/>
      <c r="B445" s="4"/>
      <c r="C445" s="4"/>
      <c r="D445" s="4"/>
      <c r="E445" s="4"/>
      <c r="F445" s="4"/>
      <c r="G445" s="4"/>
      <c r="H445" s="4"/>
      <c r="J445" s="4"/>
      <c r="K445" s="4"/>
      <c r="L445" s="4"/>
      <c r="M445" s="4"/>
      <c r="N445" s="4"/>
    </row>
    <row r="446" spans="1:14">
      <c r="A446" s="4"/>
      <c r="B446" s="4"/>
      <c r="C446" s="4"/>
      <c r="D446" s="4"/>
      <c r="E446" s="4"/>
      <c r="F446" s="4"/>
      <c r="G446" s="4"/>
      <c r="H446" s="4"/>
      <c r="J446" s="4"/>
      <c r="K446" s="4"/>
      <c r="L446" s="4"/>
      <c r="M446" s="4"/>
      <c r="N446" s="4"/>
    </row>
    <row r="447" spans="1:14">
      <c r="A447" s="4"/>
      <c r="B447" s="4"/>
      <c r="C447" s="4"/>
      <c r="D447" s="4"/>
      <c r="E447" s="4"/>
      <c r="F447" s="4"/>
      <c r="G447" s="4"/>
      <c r="H447" s="4"/>
      <c r="J447" s="4"/>
      <c r="K447" s="4"/>
      <c r="L447" s="4"/>
      <c r="M447" s="4"/>
      <c r="N447" s="4"/>
    </row>
    <row r="448" spans="1:14">
      <c r="A448" s="4"/>
      <c r="B448" s="4"/>
      <c r="C448" s="4"/>
      <c r="D448" s="4"/>
      <c r="E448" s="4"/>
      <c r="F448" s="4"/>
      <c r="G448" s="4"/>
      <c r="H448" s="4"/>
      <c r="J448" s="4"/>
      <c r="K448" s="4"/>
      <c r="L448" s="4"/>
      <c r="M448" s="4"/>
      <c r="N448" s="4"/>
    </row>
    <row r="449" spans="1:14">
      <c r="A449" s="4"/>
      <c r="B449" s="4"/>
      <c r="C449" s="4"/>
      <c r="D449" s="4"/>
      <c r="E449" s="4"/>
      <c r="F449" s="4"/>
      <c r="G449" s="4"/>
      <c r="H449" s="4"/>
      <c r="J449" s="4"/>
      <c r="K449" s="4"/>
      <c r="L449" s="4"/>
      <c r="M449" s="4"/>
      <c r="N449" s="4"/>
    </row>
    <row r="450" spans="1:14">
      <c r="A450" s="4"/>
      <c r="B450" s="4"/>
      <c r="C450" s="4"/>
      <c r="D450" s="4"/>
      <c r="E450" s="4"/>
      <c r="F450" s="4"/>
      <c r="G450" s="4"/>
      <c r="H450" s="4"/>
      <c r="J450" s="4"/>
      <c r="K450" s="4"/>
      <c r="L450" s="4"/>
      <c r="M450" s="4"/>
      <c r="N450" s="4"/>
    </row>
    <row r="451" spans="1:14">
      <c r="A451" s="4"/>
      <c r="B451" s="4"/>
      <c r="C451" s="4"/>
      <c r="D451" s="4"/>
      <c r="E451" s="4"/>
      <c r="F451" s="4"/>
      <c r="G451" s="4"/>
      <c r="H451" s="4"/>
      <c r="J451" s="4"/>
      <c r="K451" s="4"/>
      <c r="L451" s="4"/>
      <c r="M451" s="4"/>
      <c r="N451" s="4"/>
    </row>
    <row r="452" spans="1:14">
      <c r="A452" s="4"/>
      <c r="B452" s="4"/>
      <c r="C452" s="4"/>
      <c r="D452" s="4"/>
      <c r="E452" s="4"/>
      <c r="F452" s="4"/>
      <c r="G452" s="4"/>
      <c r="H452" s="4"/>
      <c r="J452" s="4"/>
      <c r="K452" s="4"/>
      <c r="L452" s="4"/>
      <c r="M452" s="4"/>
      <c r="N452" s="4"/>
    </row>
    <row r="453" spans="1:14">
      <c r="A453" s="4"/>
      <c r="B453" s="4"/>
      <c r="C453" s="4"/>
      <c r="D453" s="4"/>
      <c r="E453" s="4"/>
      <c r="F453" s="4"/>
      <c r="G453" s="4"/>
      <c r="H453" s="4"/>
      <c r="J453" s="4"/>
      <c r="K453" s="4"/>
      <c r="L453" s="4"/>
      <c r="M453" s="4"/>
      <c r="N453" s="4"/>
    </row>
    <row r="454" spans="1:14">
      <c r="A454" s="4"/>
      <c r="B454" s="4"/>
      <c r="C454" s="4"/>
      <c r="D454" s="4"/>
      <c r="E454" s="4"/>
      <c r="F454" s="4"/>
      <c r="G454" s="4"/>
      <c r="H454" s="4"/>
      <c r="J454" s="4"/>
      <c r="K454" s="4"/>
      <c r="L454" s="4"/>
      <c r="M454" s="4"/>
      <c r="N454" s="4"/>
    </row>
    <row r="455" spans="1:14">
      <c r="A455" s="4"/>
      <c r="B455" s="4"/>
      <c r="C455" s="4"/>
      <c r="D455" s="4"/>
      <c r="E455" s="4"/>
      <c r="F455" s="4"/>
      <c r="G455" s="4"/>
      <c r="H455" s="4"/>
      <c r="J455" s="4"/>
      <c r="K455" s="4"/>
      <c r="L455" s="4"/>
      <c r="M455" s="4"/>
      <c r="N455" s="4"/>
    </row>
    <row r="456" spans="1:14">
      <c r="A456" s="4"/>
      <c r="B456" s="4"/>
      <c r="C456" s="4"/>
      <c r="D456" s="4"/>
      <c r="E456" s="4"/>
      <c r="F456" s="4"/>
      <c r="G456" s="4"/>
      <c r="H456" s="4"/>
      <c r="J456" s="4"/>
      <c r="K456" s="4"/>
      <c r="L456" s="4"/>
      <c r="M456" s="4"/>
      <c r="N456" s="4"/>
    </row>
    <row r="457" spans="1:14">
      <c r="A457" s="4"/>
      <c r="B457" s="4"/>
      <c r="C457" s="4"/>
      <c r="D457" s="4"/>
      <c r="E457" s="4"/>
      <c r="F457" s="4"/>
      <c r="G457" s="4"/>
      <c r="H457" s="4"/>
      <c r="J457" s="4"/>
      <c r="K457" s="4"/>
      <c r="L457" s="4"/>
      <c r="M457" s="4"/>
      <c r="N457" s="4"/>
    </row>
    <row r="458" spans="1:14">
      <c r="A458" s="4"/>
      <c r="B458" s="4"/>
      <c r="C458" s="4"/>
      <c r="D458" s="4"/>
      <c r="E458" s="4"/>
      <c r="F458" s="4"/>
      <c r="G458" s="4"/>
      <c r="H458" s="4"/>
      <c r="J458" s="4"/>
      <c r="K458" s="4"/>
      <c r="L458" s="4"/>
      <c r="M458" s="4"/>
      <c r="N458" s="4"/>
    </row>
    <row r="459" spans="1:14">
      <c r="A459" s="4"/>
      <c r="B459" s="4"/>
      <c r="C459" s="4"/>
      <c r="D459" s="4"/>
      <c r="E459" s="4"/>
      <c r="F459" s="4"/>
      <c r="G459" s="4"/>
      <c r="H459" s="4"/>
      <c r="J459" s="4"/>
      <c r="K459" s="4"/>
      <c r="L459" s="4"/>
      <c r="M459" s="4"/>
      <c r="N459" s="4"/>
    </row>
    <row r="460" spans="1:14">
      <c r="A460" s="4"/>
      <c r="B460" s="4"/>
      <c r="C460" s="4"/>
      <c r="D460" s="4"/>
      <c r="E460" s="4"/>
      <c r="F460" s="4"/>
      <c r="G460" s="4"/>
      <c r="H460" s="4"/>
      <c r="J460" s="4"/>
      <c r="K460" s="4"/>
      <c r="L460" s="4"/>
      <c r="M460" s="4"/>
      <c r="N460" s="4"/>
    </row>
    <row r="461" spans="1:14">
      <c r="A461" s="4"/>
      <c r="B461" s="4"/>
      <c r="C461" s="4"/>
      <c r="D461" s="4"/>
      <c r="E461" s="4"/>
      <c r="F461" s="4"/>
      <c r="G461" s="4"/>
      <c r="H461" s="4"/>
      <c r="J461" s="4"/>
      <c r="K461" s="4"/>
      <c r="L461" s="4"/>
      <c r="M461" s="4"/>
      <c r="N461" s="4"/>
    </row>
    <row r="462" spans="1:14">
      <c r="A462" s="4"/>
      <c r="B462" s="4"/>
      <c r="C462" s="4"/>
      <c r="D462" s="4"/>
      <c r="E462" s="4"/>
      <c r="F462" s="4"/>
      <c r="G462" s="4"/>
      <c r="H462" s="4"/>
      <c r="J462" s="4"/>
      <c r="K462" s="4"/>
      <c r="L462" s="4"/>
      <c r="M462" s="4"/>
      <c r="N462" s="4"/>
    </row>
    <row r="463" spans="1:14">
      <c r="A463" s="4"/>
      <c r="B463" s="4"/>
      <c r="C463" s="4"/>
      <c r="D463" s="4"/>
      <c r="E463" s="4"/>
      <c r="F463" s="4"/>
      <c r="G463" s="4"/>
      <c r="H463" s="4"/>
      <c r="J463" s="4"/>
      <c r="K463" s="4"/>
      <c r="L463" s="4"/>
      <c r="M463" s="4"/>
      <c r="N463" s="4"/>
    </row>
    <row r="464" spans="1:14">
      <c r="A464" s="4"/>
      <c r="B464" s="4"/>
      <c r="C464" s="4"/>
      <c r="D464" s="4"/>
      <c r="E464" s="4"/>
      <c r="F464" s="4"/>
      <c r="G464" s="4"/>
      <c r="H464" s="4"/>
      <c r="J464" s="4"/>
      <c r="K464" s="4"/>
      <c r="L464" s="4"/>
      <c r="M464" s="4"/>
      <c r="N464" s="4"/>
    </row>
    <row r="465" spans="1:14">
      <c r="A465" s="4"/>
      <c r="B465" s="4"/>
      <c r="C465" s="4"/>
      <c r="D465" s="4"/>
      <c r="E465" s="4"/>
      <c r="F465" s="4"/>
      <c r="G465" s="4"/>
      <c r="H465" s="4"/>
      <c r="J465" s="4"/>
      <c r="K465" s="4"/>
      <c r="L465" s="4"/>
      <c r="M465" s="4"/>
      <c r="N465" s="4"/>
    </row>
    <row r="466" spans="1:14">
      <c r="A466" s="4"/>
      <c r="B466" s="4"/>
      <c r="C466" s="4"/>
      <c r="D466" s="4"/>
      <c r="E466" s="4"/>
      <c r="F466" s="4"/>
      <c r="G466" s="4"/>
      <c r="H466" s="4"/>
      <c r="J466" s="4"/>
      <c r="K466" s="4"/>
      <c r="L466" s="4"/>
      <c r="M466" s="4"/>
      <c r="N466" s="4"/>
    </row>
    <row r="467" spans="1:14">
      <c r="A467" s="4"/>
      <c r="B467" s="4"/>
      <c r="C467" s="4"/>
      <c r="D467" s="4"/>
      <c r="E467" s="4"/>
      <c r="F467" s="4"/>
      <c r="G467" s="4"/>
      <c r="H467" s="4"/>
      <c r="J467" s="4"/>
      <c r="K467" s="4"/>
      <c r="L467" s="4"/>
      <c r="M467" s="4"/>
      <c r="N467" s="4"/>
    </row>
    <row r="468" spans="1:14">
      <c r="A468" s="4"/>
      <c r="B468" s="4"/>
      <c r="C468" s="4"/>
      <c r="D468" s="4"/>
      <c r="E468" s="4"/>
      <c r="F468" s="4"/>
      <c r="G468" s="4"/>
      <c r="H468" s="4"/>
      <c r="J468" s="4"/>
      <c r="K468" s="4"/>
      <c r="L468" s="4"/>
      <c r="M468" s="4"/>
      <c r="N468" s="4"/>
    </row>
    <row r="469" spans="1:14">
      <c r="A469" s="4"/>
      <c r="B469" s="4"/>
      <c r="C469" s="4"/>
      <c r="D469" s="4"/>
      <c r="E469" s="4"/>
      <c r="F469" s="4"/>
      <c r="G469" s="4"/>
      <c r="H469" s="4"/>
      <c r="J469" s="4"/>
      <c r="K469" s="4"/>
      <c r="L469" s="4"/>
      <c r="M469" s="4"/>
      <c r="N469" s="4"/>
    </row>
    <row r="470" spans="1:14">
      <c r="A470" s="4"/>
      <c r="B470" s="4"/>
      <c r="C470" s="4"/>
      <c r="D470" s="4"/>
      <c r="E470" s="4"/>
      <c r="F470" s="4"/>
      <c r="G470" s="4"/>
      <c r="H470" s="4"/>
      <c r="J470" s="4"/>
      <c r="K470" s="4"/>
      <c r="L470" s="4"/>
      <c r="M470" s="4"/>
      <c r="N470" s="4"/>
    </row>
    <row r="471" spans="1:14">
      <c r="A471" s="4"/>
      <c r="B471" s="4"/>
      <c r="C471" s="4"/>
      <c r="D471" s="4"/>
      <c r="E471" s="4"/>
      <c r="F471" s="4"/>
      <c r="G471" s="4"/>
      <c r="H471" s="4"/>
      <c r="J471" s="4"/>
      <c r="K471" s="4"/>
      <c r="L471" s="4"/>
      <c r="M471" s="4"/>
      <c r="N471" s="4"/>
    </row>
    <row r="472" spans="1:14">
      <c r="A472" s="4"/>
      <c r="B472" s="4"/>
      <c r="C472" s="4"/>
      <c r="D472" s="4"/>
      <c r="E472" s="4"/>
      <c r="F472" s="4"/>
      <c r="G472" s="4"/>
      <c r="H472" s="4"/>
      <c r="J472" s="4"/>
      <c r="K472" s="4"/>
      <c r="L472" s="4"/>
      <c r="M472" s="4"/>
      <c r="N472" s="4"/>
    </row>
    <row r="473" spans="1:14">
      <c r="A473" s="4"/>
      <c r="B473" s="4"/>
      <c r="C473" s="4"/>
      <c r="D473" s="4"/>
      <c r="E473" s="4"/>
      <c r="F473" s="4"/>
      <c r="G473" s="4"/>
      <c r="H473" s="4"/>
      <c r="J473" s="4"/>
      <c r="K473" s="4"/>
      <c r="L473" s="4"/>
      <c r="M473" s="4"/>
      <c r="N473" s="4"/>
    </row>
    <row r="474" spans="1:14">
      <c r="A474" s="4"/>
      <c r="B474" s="4"/>
      <c r="C474" s="4"/>
      <c r="D474" s="4"/>
      <c r="E474" s="4"/>
      <c r="F474" s="4"/>
      <c r="G474" s="4"/>
      <c r="H474" s="4"/>
      <c r="J474" s="4"/>
      <c r="K474" s="4"/>
      <c r="L474" s="4"/>
      <c r="M474" s="4"/>
      <c r="N474" s="4"/>
    </row>
    <row r="475" spans="1:14">
      <c r="A475" s="4"/>
      <c r="B475" s="4"/>
      <c r="C475" s="4"/>
      <c r="D475" s="4"/>
      <c r="E475" s="4"/>
      <c r="F475" s="4"/>
      <c r="G475" s="4"/>
      <c r="H475" s="4"/>
      <c r="J475" s="4"/>
      <c r="K475" s="4"/>
      <c r="L475" s="4"/>
      <c r="M475" s="4"/>
      <c r="N475" s="4"/>
    </row>
    <row r="476" spans="1:14">
      <c r="A476" s="4"/>
      <c r="B476" s="4"/>
      <c r="C476" s="4"/>
      <c r="D476" s="4"/>
      <c r="E476" s="4"/>
      <c r="F476" s="4"/>
      <c r="G476" s="4"/>
      <c r="H476" s="4"/>
      <c r="J476" s="4"/>
      <c r="K476" s="4"/>
      <c r="L476" s="4"/>
      <c r="M476" s="4"/>
      <c r="N476" s="4"/>
    </row>
    <row r="477" spans="1:14">
      <c r="A477" s="4"/>
      <c r="B477" s="4"/>
      <c r="C477" s="4"/>
      <c r="D477" s="4"/>
      <c r="E477" s="4"/>
      <c r="F477" s="4"/>
      <c r="G477" s="4"/>
      <c r="H477" s="4"/>
      <c r="J477" s="4"/>
      <c r="K477" s="4"/>
      <c r="L477" s="4"/>
      <c r="M477" s="4"/>
      <c r="N477" s="4"/>
    </row>
    <row r="478" spans="1:14">
      <c r="A478" s="4"/>
      <c r="B478" s="4"/>
      <c r="C478" s="4"/>
      <c r="D478" s="4"/>
      <c r="E478" s="4"/>
      <c r="F478" s="4"/>
      <c r="G478" s="4"/>
      <c r="H478" s="4"/>
      <c r="J478" s="4"/>
      <c r="K478" s="4"/>
      <c r="L478" s="4"/>
      <c r="M478" s="4"/>
      <c r="N478" s="4"/>
    </row>
    <row r="479" spans="1:14">
      <c r="A479" s="4"/>
      <c r="B479" s="4"/>
      <c r="C479" s="4"/>
      <c r="D479" s="4"/>
      <c r="E479" s="4"/>
      <c r="F479" s="4"/>
      <c r="G479" s="4"/>
      <c r="H479" s="4"/>
      <c r="J479" s="4"/>
      <c r="K479" s="4"/>
      <c r="L479" s="4"/>
      <c r="M479" s="4"/>
      <c r="N479" s="4"/>
    </row>
    <row r="480" spans="1:14">
      <c r="A480" s="4"/>
      <c r="B480" s="4"/>
      <c r="C480" s="4"/>
      <c r="D480" s="4"/>
      <c r="E480" s="4"/>
      <c r="F480" s="4"/>
      <c r="G480" s="4"/>
      <c r="H480" s="4"/>
      <c r="J480" s="4"/>
      <c r="K480" s="4"/>
      <c r="L480" s="4"/>
      <c r="M480" s="4"/>
      <c r="N480" s="4"/>
    </row>
    <row r="481" spans="1:14">
      <c r="A481" s="4"/>
      <c r="B481" s="4"/>
      <c r="C481" s="4"/>
      <c r="D481" s="4"/>
      <c r="E481" s="4"/>
      <c r="F481" s="4"/>
      <c r="G481" s="4"/>
      <c r="H481" s="4"/>
      <c r="J481" s="4"/>
      <c r="K481" s="4"/>
      <c r="L481" s="4"/>
      <c r="M481" s="4"/>
      <c r="N481" s="4"/>
    </row>
    <row r="482" spans="1:14">
      <c r="A482" s="4"/>
      <c r="B482" s="4"/>
      <c r="C482" s="4"/>
      <c r="D482" s="4"/>
      <c r="E482" s="4"/>
      <c r="F482" s="4"/>
      <c r="G482" s="4"/>
      <c r="H482" s="4"/>
      <c r="J482" s="4"/>
      <c r="K482" s="4"/>
      <c r="L482" s="4"/>
      <c r="M482" s="4"/>
      <c r="N482" s="4"/>
    </row>
    <row r="483" spans="1:14">
      <c r="A483" s="4"/>
      <c r="B483" s="4"/>
      <c r="C483" s="4"/>
      <c r="D483" s="4"/>
      <c r="E483" s="4"/>
      <c r="F483" s="4"/>
      <c r="G483" s="4"/>
      <c r="H483" s="4"/>
      <c r="J483" s="4"/>
      <c r="K483" s="4"/>
      <c r="L483" s="4"/>
      <c r="M483" s="4"/>
      <c r="N483" s="4"/>
    </row>
    <row r="484" spans="1:14">
      <c r="A484" s="4"/>
      <c r="B484" s="4"/>
      <c r="C484" s="4"/>
      <c r="D484" s="4"/>
      <c r="E484" s="4"/>
      <c r="F484" s="4"/>
      <c r="G484" s="4"/>
      <c r="H484" s="4"/>
      <c r="J484" s="4"/>
      <c r="K484" s="4"/>
      <c r="L484" s="4"/>
      <c r="M484" s="4"/>
      <c r="N484" s="4"/>
    </row>
    <row r="485" spans="1:14">
      <c r="A485" s="4"/>
      <c r="B485" s="4"/>
      <c r="C485" s="4"/>
      <c r="D485" s="4"/>
      <c r="E485" s="4"/>
      <c r="F485" s="4"/>
      <c r="G485" s="4"/>
      <c r="H485" s="4"/>
      <c r="J485" s="4"/>
      <c r="K485" s="4"/>
      <c r="L485" s="4"/>
      <c r="M485" s="4"/>
      <c r="N485" s="4"/>
    </row>
    <row r="486" spans="1:14">
      <c r="A486" s="4"/>
      <c r="B486" s="4"/>
      <c r="C486" s="4"/>
      <c r="D486" s="4"/>
      <c r="E486" s="4"/>
      <c r="F486" s="4"/>
      <c r="G486" s="4"/>
      <c r="H486" s="4"/>
      <c r="J486" s="4"/>
      <c r="K486" s="4"/>
      <c r="L486" s="4"/>
      <c r="M486" s="4"/>
      <c r="N486" s="4"/>
    </row>
    <row r="487" spans="1:14">
      <c r="A487" s="4"/>
      <c r="B487" s="4"/>
      <c r="C487" s="4"/>
      <c r="D487" s="4"/>
      <c r="E487" s="4"/>
      <c r="F487" s="4"/>
      <c r="G487" s="4"/>
      <c r="H487" s="4"/>
      <c r="J487" s="4"/>
      <c r="K487" s="4"/>
      <c r="L487" s="4"/>
      <c r="M487" s="4"/>
      <c r="N487" s="4"/>
    </row>
    <row r="488" spans="1:14">
      <c r="A488" s="4"/>
      <c r="B488" s="4"/>
      <c r="C488" s="4"/>
      <c r="D488" s="4"/>
      <c r="E488" s="4"/>
      <c r="F488" s="4"/>
      <c r="G488" s="4"/>
      <c r="H488" s="4"/>
      <c r="J488" s="4"/>
      <c r="K488" s="4"/>
      <c r="L488" s="4"/>
      <c r="M488" s="4"/>
      <c r="N488" s="4"/>
    </row>
    <row r="489" spans="1:14">
      <c r="A489" s="4"/>
      <c r="B489" s="4"/>
      <c r="C489" s="4"/>
      <c r="D489" s="4"/>
      <c r="E489" s="4"/>
      <c r="F489" s="4"/>
      <c r="G489" s="4"/>
      <c r="H489" s="4"/>
      <c r="J489" s="4"/>
      <c r="K489" s="4"/>
      <c r="L489" s="4"/>
      <c r="M489" s="4"/>
      <c r="N489" s="4"/>
    </row>
    <row r="490" spans="1:14">
      <c r="A490" s="4"/>
      <c r="B490" s="4"/>
      <c r="C490" s="4"/>
      <c r="D490" s="4"/>
      <c r="E490" s="4"/>
      <c r="F490" s="4"/>
      <c r="G490" s="4"/>
      <c r="H490" s="4"/>
      <c r="J490" s="4"/>
      <c r="K490" s="4"/>
      <c r="L490" s="4"/>
      <c r="M490" s="4"/>
      <c r="N490" s="4"/>
    </row>
    <row r="491" spans="1:14">
      <c r="A491" s="4"/>
      <c r="B491" s="4"/>
      <c r="C491" s="4"/>
      <c r="D491" s="4"/>
      <c r="E491" s="4"/>
      <c r="F491" s="4"/>
      <c r="G491" s="4"/>
      <c r="H491" s="4"/>
      <c r="J491" s="4"/>
      <c r="K491" s="4"/>
      <c r="L491" s="4"/>
      <c r="M491" s="4"/>
      <c r="N491" s="4"/>
    </row>
    <row r="492" spans="1:14">
      <c r="A492" s="4"/>
      <c r="B492" s="4"/>
      <c r="C492" s="4"/>
      <c r="D492" s="4"/>
      <c r="E492" s="4"/>
      <c r="F492" s="4"/>
      <c r="G492" s="4"/>
      <c r="H492" s="4"/>
      <c r="J492" s="4"/>
      <c r="K492" s="4"/>
      <c r="L492" s="4"/>
      <c r="M492" s="4"/>
      <c r="N492" s="4"/>
    </row>
    <row r="493" spans="1:14">
      <c r="A493" s="4"/>
      <c r="B493" s="4"/>
      <c r="C493" s="4"/>
      <c r="D493" s="4"/>
      <c r="E493" s="4"/>
      <c r="F493" s="4"/>
      <c r="G493" s="4"/>
      <c r="H493" s="4"/>
      <c r="J493" s="4"/>
      <c r="K493" s="4"/>
      <c r="L493" s="4"/>
      <c r="M493" s="4"/>
      <c r="N493" s="4"/>
    </row>
    <row r="494" spans="1:14">
      <c r="A494" s="4"/>
      <c r="B494" s="4"/>
      <c r="C494" s="4"/>
      <c r="D494" s="4"/>
      <c r="E494" s="4"/>
      <c r="F494" s="4"/>
      <c r="G494" s="4"/>
      <c r="H494" s="4"/>
      <c r="J494" s="4"/>
      <c r="K494" s="4"/>
      <c r="L494" s="4"/>
      <c r="M494" s="4"/>
      <c r="N494" s="4"/>
    </row>
    <row r="495" spans="1:14">
      <c r="A495" s="4"/>
      <c r="B495" s="4"/>
      <c r="C495" s="4"/>
      <c r="D495" s="4"/>
      <c r="E495" s="4"/>
      <c r="F495" s="4"/>
      <c r="G495" s="4"/>
      <c r="H495" s="4"/>
      <c r="J495" s="4"/>
      <c r="K495" s="4"/>
      <c r="L495" s="4"/>
      <c r="M495" s="4"/>
      <c r="N495" s="4"/>
    </row>
    <row r="496" spans="1:14">
      <c r="A496" s="4"/>
      <c r="B496" s="4"/>
      <c r="C496" s="4"/>
      <c r="D496" s="4"/>
      <c r="E496" s="4"/>
      <c r="F496" s="4"/>
      <c r="G496" s="4"/>
      <c r="H496" s="4"/>
      <c r="J496" s="4"/>
      <c r="K496" s="4"/>
      <c r="L496" s="4"/>
      <c r="M496" s="4"/>
      <c r="N496" s="4"/>
    </row>
    <row r="497" spans="1:14">
      <c r="A497" s="4"/>
      <c r="B497" s="4"/>
      <c r="C497" s="4"/>
      <c r="D497" s="4"/>
      <c r="E497" s="4"/>
      <c r="F497" s="4"/>
      <c r="G497" s="4"/>
      <c r="H497" s="4"/>
      <c r="J497" s="4"/>
      <c r="K497" s="4"/>
      <c r="L497" s="4"/>
      <c r="M497" s="4"/>
      <c r="N497" s="4"/>
    </row>
    <row r="498" spans="1:14">
      <c r="A498" s="4"/>
      <c r="B498" s="4"/>
      <c r="C498" s="4"/>
      <c r="D498" s="4"/>
      <c r="E498" s="4"/>
      <c r="F498" s="4"/>
      <c r="G498" s="4"/>
      <c r="H498" s="4"/>
      <c r="J498" s="4"/>
      <c r="K498" s="4"/>
      <c r="L498" s="4"/>
      <c r="M498" s="4"/>
      <c r="N498" s="4"/>
    </row>
    <row r="499" spans="1:14">
      <c r="A499" s="4"/>
      <c r="B499" s="4"/>
      <c r="C499" s="4"/>
      <c r="D499" s="4"/>
      <c r="E499" s="4"/>
      <c r="F499" s="4"/>
      <c r="G499" s="4"/>
      <c r="H499" s="4"/>
      <c r="J499" s="4"/>
      <c r="K499" s="4"/>
      <c r="L499" s="4"/>
      <c r="M499" s="4"/>
      <c r="N499" s="4"/>
    </row>
    <row r="500" spans="1:14">
      <c r="A500" s="4"/>
      <c r="B500" s="4"/>
      <c r="C500" s="4"/>
      <c r="D500" s="4"/>
      <c r="E500" s="4"/>
      <c r="F500" s="4"/>
      <c r="G500" s="4"/>
      <c r="H500" s="4"/>
      <c r="J500" s="4"/>
      <c r="K500" s="4"/>
      <c r="L500" s="4"/>
      <c r="M500" s="4"/>
      <c r="N500" s="4"/>
    </row>
    <row r="501" spans="1:14">
      <c r="A501" s="4"/>
      <c r="B501" s="4"/>
      <c r="C501" s="4"/>
      <c r="D501" s="4"/>
      <c r="E501" s="4"/>
      <c r="F501" s="4"/>
      <c r="G501" s="4"/>
      <c r="H501" s="4"/>
      <c r="J501" s="4"/>
      <c r="K501" s="4"/>
      <c r="L501" s="4"/>
      <c r="M501" s="4"/>
      <c r="N501" s="4"/>
    </row>
    <row r="502" spans="1:14">
      <c r="A502" s="4"/>
      <c r="B502" s="4"/>
      <c r="C502" s="4"/>
      <c r="D502" s="4"/>
      <c r="E502" s="4"/>
      <c r="F502" s="4"/>
      <c r="G502" s="4"/>
      <c r="H502" s="4"/>
      <c r="J502" s="4"/>
      <c r="K502" s="4"/>
      <c r="L502" s="4"/>
      <c r="M502" s="4"/>
      <c r="N502" s="4"/>
    </row>
    <row r="503" spans="1:14">
      <c r="A503" s="4"/>
      <c r="B503" s="4"/>
      <c r="C503" s="4"/>
      <c r="D503" s="4"/>
      <c r="E503" s="4"/>
      <c r="F503" s="4"/>
      <c r="G503" s="4"/>
      <c r="H503" s="4"/>
      <c r="J503" s="4"/>
      <c r="K503" s="4"/>
      <c r="L503" s="4"/>
      <c r="M503" s="4"/>
      <c r="N503" s="4"/>
    </row>
    <row r="504" spans="1:14">
      <c r="A504" s="4"/>
      <c r="B504" s="4"/>
      <c r="C504" s="4"/>
      <c r="D504" s="4"/>
      <c r="E504" s="4"/>
      <c r="F504" s="4"/>
      <c r="G504" s="4"/>
      <c r="H504" s="4"/>
      <c r="J504" s="4"/>
      <c r="K504" s="4"/>
      <c r="L504" s="4"/>
      <c r="M504" s="4"/>
      <c r="N504" s="4"/>
    </row>
    <row r="505" spans="1:14">
      <c r="A505" s="4"/>
      <c r="B505" s="4"/>
      <c r="C505" s="4"/>
      <c r="D505" s="4"/>
      <c r="E505" s="4"/>
      <c r="F505" s="4"/>
      <c r="G505" s="4"/>
      <c r="H505" s="4"/>
      <c r="J505" s="4"/>
      <c r="K505" s="4"/>
      <c r="L505" s="4"/>
      <c r="M505" s="4"/>
      <c r="N505" s="4"/>
    </row>
    <row r="506" spans="1:14">
      <c r="A506" s="4"/>
      <c r="B506" s="4"/>
      <c r="C506" s="4"/>
      <c r="D506" s="4"/>
      <c r="E506" s="4"/>
      <c r="F506" s="4"/>
      <c r="G506" s="4"/>
      <c r="H506" s="4"/>
      <c r="J506" s="4"/>
      <c r="K506" s="4"/>
      <c r="L506" s="4"/>
      <c r="M506" s="4"/>
      <c r="N506" s="4"/>
    </row>
    <row r="507" spans="1:14">
      <c r="A507" s="4"/>
      <c r="B507" s="4"/>
      <c r="C507" s="4"/>
      <c r="D507" s="4"/>
      <c r="E507" s="4"/>
      <c r="F507" s="4"/>
      <c r="G507" s="4"/>
      <c r="H507" s="4"/>
      <c r="J507" s="4"/>
      <c r="K507" s="4"/>
      <c r="L507" s="4"/>
      <c r="M507" s="4"/>
      <c r="N507" s="4"/>
    </row>
    <row r="508" spans="1:14">
      <c r="A508" s="4"/>
      <c r="B508" s="4"/>
      <c r="C508" s="4"/>
      <c r="D508" s="4"/>
      <c r="E508" s="4"/>
      <c r="F508" s="4"/>
      <c r="G508" s="4"/>
      <c r="H508" s="4"/>
      <c r="J508" s="4"/>
      <c r="K508" s="4"/>
      <c r="L508" s="4"/>
      <c r="M508" s="4"/>
      <c r="N508" s="4"/>
    </row>
    <row r="509" spans="1:14">
      <c r="A509" s="4"/>
      <c r="B509" s="4"/>
      <c r="C509" s="4"/>
      <c r="D509" s="4"/>
      <c r="E509" s="4"/>
      <c r="F509" s="4"/>
      <c r="G509" s="4"/>
      <c r="H509" s="4"/>
      <c r="J509" s="4"/>
      <c r="K509" s="4"/>
      <c r="L509" s="4"/>
      <c r="M509" s="4"/>
      <c r="N509" s="4"/>
    </row>
    <row r="510" spans="1:14">
      <c r="A510" s="4"/>
      <c r="B510" s="4"/>
      <c r="C510" s="4"/>
      <c r="D510" s="4"/>
      <c r="E510" s="4"/>
      <c r="F510" s="4"/>
      <c r="G510" s="4"/>
      <c r="H510" s="4"/>
      <c r="J510" s="4"/>
      <c r="K510" s="4"/>
      <c r="L510" s="4"/>
      <c r="M510" s="4"/>
      <c r="N510" s="4"/>
    </row>
    <row r="511" spans="1:14">
      <c r="A511" s="4"/>
      <c r="B511" s="4"/>
      <c r="C511" s="4"/>
      <c r="D511" s="4"/>
      <c r="E511" s="4"/>
      <c r="F511" s="4"/>
      <c r="G511" s="4"/>
      <c r="H511" s="4"/>
      <c r="J511" s="4"/>
      <c r="K511" s="4"/>
      <c r="L511" s="4"/>
      <c r="M511" s="4"/>
      <c r="N511" s="4"/>
    </row>
    <row r="512" spans="1:14">
      <c r="A512" s="4"/>
      <c r="B512" s="4"/>
      <c r="C512" s="4"/>
      <c r="D512" s="4"/>
      <c r="E512" s="4"/>
      <c r="F512" s="4"/>
      <c r="G512" s="4"/>
      <c r="H512" s="4"/>
      <c r="J512" s="4"/>
      <c r="K512" s="4"/>
      <c r="L512" s="4"/>
      <c r="M512" s="4"/>
      <c r="N512" s="4"/>
    </row>
    <row r="513" spans="1:14">
      <c r="A513" s="4"/>
      <c r="B513" s="4"/>
      <c r="C513" s="4"/>
      <c r="D513" s="4"/>
      <c r="E513" s="4"/>
      <c r="F513" s="4"/>
      <c r="G513" s="4"/>
      <c r="H513" s="4"/>
      <c r="J513" s="4"/>
      <c r="K513" s="4"/>
      <c r="L513" s="4"/>
      <c r="M513" s="4"/>
      <c r="N513" s="4"/>
    </row>
    <row r="514" spans="1:14">
      <c r="A514" s="4"/>
      <c r="B514" s="4"/>
      <c r="C514" s="4"/>
      <c r="D514" s="4"/>
      <c r="E514" s="4"/>
      <c r="F514" s="4"/>
      <c r="G514" s="4"/>
      <c r="H514" s="4"/>
      <c r="J514" s="4"/>
      <c r="K514" s="4"/>
      <c r="L514" s="4"/>
      <c r="M514" s="4"/>
      <c r="N514" s="4"/>
    </row>
    <row r="515" spans="1:14">
      <c r="A515" s="4"/>
      <c r="B515" s="4"/>
      <c r="C515" s="4"/>
      <c r="D515" s="4"/>
      <c r="E515" s="4"/>
      <c r="F515" s="4"/>
      <c r="G515" s="4"/>
      <c r="H515" s="4"/>
      <c r="J515" s="4"/>
      <c r="K515" s="4"/>
      <c r="L515" s="4"/>
      <c r="M515" s="4"/>
      <c r="N515" s="4"/>
    </row>
    <row r="516" spans="1:14">
      <c r="A516" s="4"/>
      <c r="B516" s="4"/>
      <c r="C516" s="4"/>
      <c r="D516" s="4"/>
      <c r="E516" s="4"/>
      <c r="F516" s="4"/>
      <c r="G516" s="4"/>
      <c r="H516" s="4"/>
      <c r="J516" s="4"/>
      <c r="K516" s="4"/>
      <c r="L516" s="4"/>
      <c r="M516" s="4"/>
      <c r="N516" s="4"/>
    </row>
    <row r="517" spans="1:14">
      <c r="A517" s="4"/>
      <c r="B517" s="4"/>
      <c r="C517" s="4"/>
      <c r="D517" s="4"/>
      <c r="E517" s="4"/>
      <c r="F517" s="4"/>
      <c r="G517" s="4"/>
      <c r="H517" s="4"/>
      <c r="J517" s="4"/>
      <c r="K517" s="4"/>
      <c r="L517" s="4"/>
      <c r="M517" s="4"/>
      <c r="N517" s="4"/>
    </row>
    <row r="518" spans="1:14">
      <c r="A518" s="4"/>
      <c r="B518" s="4"/>
      <c r="C518" s="4"/>
      <c r="D518" s="4"/>
      <c r="E518" s="4"/>
      <c r="F518" s="4"/>
      <c r="G518" s="4"/>
      <c r="H518" s="4"/>
      <c r="J518" s="4"/>
      <c r="K518" s="4"/>
      <c r="L518" s="4"/>
      <c r="M518" s="4"/>
      <c r="N518" s="4"/>
    </row>
    <row r="519" spans="1:14">
      <c r="A519" s="4"/>
      <c r="B519" s="4"/>
      <c r="C519" s="4"/>
      <c r="D519" s="4"/>
      <c r="E519" s="4"/>
      <c r="F519" s="4"/>
      <c r="G519" s="4"/>
      <c r="H519" s="4"/>
      <c r="J519" s="4"/>
      <c r="K519" s="4"/>
      <c r="L519" s="4"/>
      <c r="M519" s="4"/>
      <c r="N519" s="4"/>
    </row>
    <row r="520" spans="1:14">
      <c r="A520" s="4"/>
      <c r="B520" s="4"/>
      <c r="C520" s="4"/>
      <c r="D520" s="4"/>
      <c r="E520" s="4"/>
      <c r="F520" s="4"/>
      <c r="G520" s="4"/>
      <c r="H520" s="4"/>
      <c r="J520" s="4"/>
      <c r="K520" s="4"/>
      <c r="L520" s="4"/>
      <c r="M520" s="4"/>
      <c r="N520" s="4"/>
    </row>
    <row r="521" spans="1:14">
      <c r="A521" s="4"/>
      <c r="B521" s="4"/>
      <c r="C521" s="4"/>
      <c r="D521" s="4"/>
      <c r="E521" s="4"/>
      <c r="F521" s="4"/>
      <c r="G521" s="4"/>
      <c r="H521" s="4"/>
      <c r="J521" s="4"/>
      <c r="K521" s="4"/>
      <c r="L521" s="4"/>
      <c r="M521" s="4"/>
      <c r="N521" s="4"/>
    </row>
    <row r="522" spans="1:14">
      <c r="A522" s="4"/>
      <c r="B522" s="4"/>
      <c r="C522" s="4"/>
      <c r="D522" s="4"/>
      <c r="E522" s="4"/>
      <c r="F522" s="4"/>
      <c r="G522" s="4"/>
      <c r="H522" s="4"/>
      <c r="J522" s="4"/>
      <c r="K522" s="4"/>
      <c r="L522" s="4"/>
      <c r="M522" s="4"/>
      <c r="N522" s="4"/>
    </row>
    <row r="523" spans="1:14">
      <c r="A523" s="4"/>
      <c r="B523" s="4"/>
      <c r="C523" s="4"/>
      <c r="D523" s="4"/>
      <c r="E523" s="4"/>
      <c r="F523" s="4"/>
      <c r="G523" s="4"/>
      <c r="H523" s="4"/>
      <c r="J523" s="4"/>
      <c r="K523" s="4"/>
      <c r="L523" s="4"/>
      <c r="M523" s="4"/>
      <c r="N523" s="4"/>
    </row>
    <row r="524" spans="1:14">
      <c r="A524" s="4"/>
      <c r="B524" s="4"/>
      <c r="C524" s="4"/>
      <c r="D524" s="4"/>
      <c r="E524" s="4"/>
      <c r="F524" s="4"/>
      <c r="G524" s="4"/>
      <c r="H524" s="4"/>
      <c r="J524" s="4"/>
      <c r="K524" s="4"/>
      <c r="L524" s="4"/>
      <c r="M524" s="4"/>
      <c r="N524" s="4"/>
    </row>
    <row r="525" spans="1:14">
      <c r="A525" s="4"/>
      <c r="B525" s="4"/>
      <c r="C525" s="4"/>
      <c r="D525" s="4"/>
      <c r="E525" s="4"/>
      <c r="F525" s="4"/>
      <c r="G525" s="4"/>
      <c r="H525" s="4"/>
      <c r="J525" s="4"/>
      <c r="K525" s="4"/>
      <c r="L525" s="4"/>
      <c r="M525" s="4"/>
      <c r="N525" s="4"/>
    </row>
    <row r="526" spans="1:14">
      <c r="A526" s="4"/>
      <c r="B526" s="4"/>
      <c r="C526" s="4"/>
      <c r="D526" s="4"/>
      <c r="E526" s="4"/>
      <c r="F526" s="4"/>
      <c r="G526" s="4"/>
      <c r="H526" s="4"/>
      <c r="J526" s="4"/>
      <c r="K526" s="4"/>
      <c r="L526" s="4"/>
      <c r="M526" s="4"/>
      <c r="N526" s="4"/>
    </row>
    <row r="527" spans="1:14">
      <c r="A527" s="4"/>
      <c r="B527" s="4"/>
      <c r="C527" s="4"/>
      <c r="D527" s="4"/>
      <c r="E527" s="4"/>
      <c r="F527" s="4"/>
      <c r="G527" s="4"/>
      <c r="H527" s="4"/>
      <c r="J527" s="4"/>
      <c r="K527" s="4"/>
      <c r="L527" s="4"/>
      <c r="M527" s="4"/>
      <c r="N527" s="4"/>
    </row>
    <row r="528" spans="1:14">
      <c r="A528" s="4"/>
      <c r="B528" s="4"/>
      <c r="C528" s="4"/>
      <c r="D528" s="4"/>
      <c r="E528" s="4"/>
      <c r="F528" s="4"/>
      <c r="G528" s="4"/>
      <c r="H528" s="4"/>
      <c r="J528" s="4"/>
      <c r="K528" s="4"/>
      <c r="L528" s="4"/>
      <c r="M528" s="4"/>
      <c r="N528" s="4"/>
    </row>
    <row r="529" spans="1:14">
      <c r="A529" s="4"/>
      <c r="B529" s="4"/>
      <c r="C529" s="4"/>
      <c r="D529" s="4"/>
      <c r="E529" s="4"/>
      <c r="F529" s="4"/>
      <c r="G529" s="4"/>
      <c r="H529" s="4"/>
      <c r="J529" s="4"/>
      <c r="K529" s="4"/>
      <c r="L529" s="4"/>
      <c r="M529" s="4"/>
      <c r="N529" s="4"/>
    </row>
    <row r="530" spans="1:14">
      <c r="A530" s="4"/>
      <c r="B530" s="4"/>
      <c r="C530" s="4"/>
      <c r="D530" s="4"/>
      <c r="E530" s="4"/>
      <c r="F530" s="4"/>
      <c r="G530" s="4"/>
      <c r="H530" s="4"/>
      <c r="J530" s="4"/>
      <c r="K530" s="4"/>
      <c r="L530" s="4"/>
      <c r="M530" s="4"/>
      <c r="N530" s="4"/>
    </row>
    <row r="531" spans="1:14">
      <c r="A531" s="4"/>
      <c r="B531" s="4"/>
      <c r="C531" s="4"/>
      <c r="D531" s="4"/>
      <c r="E531" s="4"/>
      <c r="F531" s="4"/>
      <c r="G531" s="4"/>
      <c r="H531" s="4"/>
      <c r="J531" s="4"/>
      <c r="K531" s="4"/>
      <c r="L531" s="4"/>
      <c r="M531" s="4"/>
      <c r="N531" s="4"/>
    </row>
    <row r="532" spans="1:14">
      <c r="A532" s="4"/>
      <c r="B532" s="4"/>
      <c r="C532" s="4"/>
      <c r="D532" s="4"/>
      <c r="E532" s="4"/>
      <c r="F532" s="4"/>
      <c r="G532" s="4"/>
      <c r="H532" s="4"/>
      <c r="J532" s="4"/>
      <c r="K532" s="4"/>
      <c r="L532" s="4"/>
      <c r="M532" s="4"/>
      <c r="N532" s="4"/>
    </row>
    <row r="533" spans="1:14">
      <c r="A533" s="4"/>
      <c r="B533" s="4"/>
      <c r="C533" s="4"/>
      <c r="D533" s="4"/>
      <c r="E533" s="4"/>
      <c r="F533" s="4"/>
      <c r="G533" s="4"/>
      <c r="H533" s="4"/>
      <c r="J533" s="4"/>
      <c r="K533" s="4"/>
      <c r="L533" s="4"/>
      <c r="M533" s="4"/>
      <c r="N533" s="4"/>
    </row>
    <row r="534" spans="1:14">
      <c r="A534" s="4"/>
      <c r="B534" s="4"/>
      <c r="C534" s="4"/>
      <c r="D534" s="4"/>
      <c r="E534" s="4"/>
      <c r="F534" s="4"/>
      <c r="G534" s="4"/>
      <c r="H534" s="4"/>
      <c r="J534" s="4"/>
      <c r="K534" s="4"/>
      <c r="L534" s="4"/>
      <c r="M534" s="4"/>
      <c r="N534" s="4"/>
    </row>
    <row r="535" spans="1:14">
      <c r="A535" s="4"/>
      <c r="B535" s="4"/>
      <c r="C535" s="4"/>
      <c r="D535" s="4"/>
      <c r="E535" s="4"/>
      <c r="F535" s="4"/>
      <c r="G535" s="4"/>
      <c r="H535" s="4"/>
      <c r="J535" s="4"/>
      <c r="K535" s="4"/>
      <c r="L535" s="4"/>
      <c r="M535" s="4"/>
      <c r="N535" s="4"/>
    </row>
    <row r="536" spans="1:14">
      <c r="A536" s="4"/>
      <c r="B536" s="4"/>
      <c r="C536" s="4"/>
      <c r="D536" s="4"/>
      <c r="E536" s="4"/>
      <c r="F536" s="4"/>
      <c r="G536" s="4"/>
      <c r="H536" s="4"/>
      <c r="J536" s="4"/>
      <c r="K536" s="4"/>
      <c r="L536" s="4"/>
      <c r="M536" s="4"/>
      <c r="N536" s="4"/>
    </row>
    <row r="537" spans="1:14">
      <c r="A537" s="4"/>
      <c r="B537" s="4"/>
      <c r="C537" s="4"/>
      <c r="D537" s="4"/>
      <c r="E537" s="4"/>
      <c r="F537" s="4"/>
      <c r="G537" s="4"/>
      <c r="H537" s="4"/>
      <c r="J537" s="4"/>
      <c r="K537" s="4"/>
      <c r="L537" s="4"/>
      <c r="M537" s="4"/>
      <c r="N537" s="4"/>
    </row>
    <row r="538" spans="1:14">
      <c r="A538" s="4"/>
      <c r="B538" s="4"/>
      <c r="C538" s="4"/>
      <c r="D538" s="4"/>
      <c r="E538" s="4"/>
      <c r="F538" s="4"/>
      <c r="G538" s="4"/>
      <c r="H538" s="4"/>
      <c r="J538" s="4"/>
      <c r="K538" s="4"/>
      <c r="L538" s="4"/>
      <c r="M538" s="4"/>
      <c r="N538" s="4"/>
    </row>
    <row r="539" spans="1:14">
      <c r="A539" s="4"/>
      <c r="B539" s="4"/>
      <c r="C539" s="4"/>
      <c r="D539" s="4"/>
      <c r="E539" s="4"/>
      <c r="F539" s="4"/>
      <c r="G539" s="4"/>
      <c r="H539" s="4"/>
      <c r="J539" s="4"/>
      <c r="K539" s="4"/>
      <c r="L539" s="4"/>
      <c r="M539" s="4"/>
      <c r="N539" s="4"/>
    </row>
    <row r="540" spans="1:14">
      <c r="A540" s="4"/>
      <c r="B540" s="4"/>
      <c r="C540" s="4"/>
      <c r="D540" s="4"/>
      <c r="E540" s="4"/>
      <c r="F540" s="4"/>
      <c r="G540" s="4"/>
      <c r="H540" s="4"/>
      <c r="J540" s="4"/>
      <c r="K540" s="4"/>
      <c r="L540" s="4"/>
      <c r="M540" s="4"/>
      <c r="N540" s="4"/>
    </row>
    <row r="541" spans="1:14">
      <c r="A541" s="4"/>
      <c r="B541" s="4"/>
      <c r="C541" s="4"/>
      <c r="D541" s="4"/>
      <c r="E541" s="4"/>
      <c r="F541" s="4"/>
      <c r="G541" s="4"/>
      <c r="H541" s="4"/>
      <c r="J541" s="4"/>
      <c r="K541" s="4"/>
      <c r="L541" s="4"/>
      <c r="M541" s="4"/>
      <c r="N541" s="4"/>
    </row>
    <row r="542" spans="1:14">
      <c r="A542" s="4"/>
      <c r="B542" s="4"/>
      <c r="C542" s="4"/>
      <c r="D542" s="4"/>
      <c r="E542" s="4"/>
      <c r="F542" s="4"/>
      <c r="G542" s="4"/>
      <c r="H542" s="4"/>
      <c r="J542" s="4"/>
      <c r="K542" s="4"/>
      <c r="L542" s="4"/>
      <c r="M542" s="4"/>
      <c r="N542" s="4"/>
    </row>
    <row r="543" spans="1:14">
      <c r="A543" s="4"/>
      <c r="B543" s="4"/>
      <c r="C543" s="4"/>
      <c r="D543" s="4"/>
      <c r="E543" s="4"/>
      <c r="F543" s="4"/>
      <c r="G543" s="4"/>
      <c r="H543" s="4"/>
      <c r="J543" s="4"/>
      <c r="K543" s="4"/>
      <c r="L543" s="4"/>
      <c r="M543" s="4"/>
      <c r="N543" s="4"/>
    </row>
    <row r="544" spans="1:14">
      <c r="A544" s="4"/>
      <c r="B544" s="4"/>
      <c r="C544" s="4"/>
      <c r="D544" s="4"/>
      <c r="E544" s="4"/>
      <c r="F544" s="4"/>
      <c r="G544" s="4"/>
      <c r="H544" s="4"/>
      <c r="J544" s="4"/>
      <c r="K544" s="4"/>
      <c r="L544" s="4"/>
      <c r="M544" s="4"/>
      <c r="N544" s="4"/>
    </row>
    <row r="545" spans="1:14">
      <c r="A545" s="4"/>
      <c r="B545" s="4"/>
      <c r="C545" s="4"/>
      <c r="D545" s="4"/>
      <c r="E545" s="4"/>
      <c r="F545" s="4"/>
      <c r="G545" s="4"/>
      <c r="H545" s="4"/>
      <c r="J545" s="4"/>
      <c r="K545" s="4"/>
      <c r="L545" s="4"/>
      <c r="M545" s="4"/>
      <c r="N545" s="4"/>
    </row>
    <row r="546" spans="1:14">
      <c r="A546" s="4"/>
      <c r="B546" s="4"/>
      <c r="C546" s="4"/>
      <c r="D546" s="4"/>
      <c r="E546" s="4"/>
      <c r="F546" s="4"/>
      <c r="G546" s="4"/>
      <c r="H546" s="4"/>
      <c r="J546" s="4"/>
      <c r="K546" s="4"/>
      <c r="L546" s="4"/>
      <c r="M546" s="4"/>
      <c r="N546" s="4"/>
    </row>
    <row r="547" spans="1:14">
      <c r="A547" s="4"/>
      <c r="B547" s="4"/>
      <c r="C547" s="4"/>
      <c r="D547" s="4"/>
      <c r="E547" s="4"/>
      <c r="F547" s="4"/>
      <c r="G547" s="4"/>
      <c r="H547" s="4"/>
      <c r="J547" s="4"/>
      <c r="K547" s="4"/>
      <c r="L547" s="4"/>
      <c r="M547" s="4"/>
      <c r="N547" s="4"/>
    </row>
    <row r="548" spans="1:14">
      <c r="A548" s="4"/>
      <c r="B548" s="4"/>
      <c r="C548" s="4"/>
      <c r="D548" s="4"/>
      <c r="E548" s="4"/>
      <c r="F548" s="4"/>
      <c r="G548" s="4"/>
      <c r="H548" s="4"/>
      <c r="J548" s="4"/>
      <c r="K548" s="4"/>
      <c r="L548" s="4"/>
      <c r="M548" s="4"/>
      <c r="N548" s="4"/>
    </row>
    <row r="549" spans="1:14">
      <c r="A549" s="4"/>
      <c r="B549" s="4"/>
      <c r="C549" s="4"/>
      <c r="D549" s="4"/>
      <c r="E549" s="4"/>
      <c r="F549" s="4"/>
      <c r="G549" s="4"/>
      <c r="H549" s="4"/>
      <c r="J549" s="4"/>
      <c r="K549" s="4"/>
      <c r="L549" s="4"/>
      <c r="M549" s="4"/>
      <c r="N549" s="4"/>
    </row>
    <row r="550" spans="1:14">
      <c r="A550" s="4"/>
      <c r="B550" s="4"/>
      <c r="C550" s="4"/>
      <c r="D550" s="4"/>
      <c r="E550" s="4"/>
      <c r="F550" s="4"/>
      <c r="G550" s="4"/>
      <c r="H550" s="4"/>
      <c r="J550" s="4"/>
      <c r="K550" s="4"/>
      <c r="L550" s="4"/>
      <c r="M550" s="4"/>
      <c r="N550" s="4"/>
    </row>
    <row r="551" spans="1:14">
      <c r="A551" s="4"/>
      <c r="B551" s="4"/>
      <c r="C551" s="4"/>
      <c r="D551" s="4"/>
      <c r="E551" s="4"/>
      <c r="F551" s="4"/>
      <c r="G551" s="4"/>
      <c r="H551" s="4"/>
      <c r="J551" s="4"/>
      <c r="K551" s="4"/>
      <c r="L551" s="4"/>
      <c r="M551" s="4"/>
      <c r="N551" s="4"/>
    </row>
    <row r="552" spans="1:14">
      <c r="A552" s="4"/>
      <c r="B552" s="4"/>
      <c r="C552" s="4"/>
      <c r="D552" s="4"/>
      <c r="E552" s="4"/>
      <c r="F552" s="4"/>
      <c r="G552" s="4"/>
      <c r="H552" s="4"/>
      <c r="J552" s="4"/>
      <c r="K552" s="4"/>
      <c r="L552" s="4"/>
      <c r="M552" s="4"/>
      <c r="N552" s="4"/>
    </row>
    <row r="553" spans="1:14">
      <c r="A553" s="4"/>
      <c r="B553" s="4"/>
      <c r="C553" s="4"/>
      <c r="D553" s="4"/>
      <c r="E553" s="4"/>
      <c r="F553" s="4"/>
      <c r="G553" s="4"/>
      <c r="H553" s="4"/>
      <c r="J553" s="4"/>
      <c r="K553" s="4"/>
      <c r="L553" s="4"/>
      <c r="M553" s="4"/>
      <c r="N553" s="4"/>
    </row>
    <row r="554" spans="1:14">
      <c r="A554" s="4"/>
      <c r="B554" s="4"/>
      <c r="C554" s="4"/>
      <c r="D554" s="4"/>
      <c r="E554" s="4"/>
      <c r="F554" s="4"/>
      <c r="G554" s="4"/>
      <c r="H554" s="4"/>
      <c r="J554" s="4"/>
      <c r="K554" s="4"/>
      <c r="L554" s="4"/>
      <c r="M554" s="4"/>
      <c r="N554" s="4"/>
    </row>
    <row r="555" spans="1:14">
      <c r="A555" s="4"/>
      <c r="B555" s="4"/>
      <c r="C555" s="4"/>
      <c r="D555" s="4"/>
      <c r="E555" s="4"/>
      <c r="F555" s="4"/>
      <c r="G555" s="4"/>
      <c r="H555" s="4"/>
      <c r="J555" s="4"/>
      <c r="K555" s="4"/>
      <c r="L555" s="4"/>
      <c r="M555" s="4"/>
      <c r="N555" s="4"/>
    </row>
    <row r="556" spans="1:14">
      <c r="A556" s="4"/>
      <c r="B556" s="4"/>
      <c r="C556" s="4"/>
      <c r="D556" s="4"/>
      <c r="E556" s="4"/>
      <c r="F556" s="4"/>
      <c r="G556" s="4"/>
      <c r="H556" s="4"/>
      <c r="J556" s="4"/>
      <c r="K556" s="4"/>
      <c r="L556" s="4"/>
      <c r="M556" s="4"/>
      <c r="N556" s="4"/>
    </row>
    <row r="557" spans="1:14">
      <c r="A557" s="4"/>
      <c r="B557" s="4"/>
      <c r="C557" s="4"/>
      <c r="D557" s="4"/>
      <c r="E557" s="4"/>
      <c r="F557" s="4"/>
      <c r="G557" s="4"/>
      <c r="H557" s="4"/>
      <c r="J557" s="4"/>
      <c r="K557" s="4"/>
      <c r="L557" s="4"/>
      <c r="M557" s="4"/>
      <c r="N557" s="4"/>
    </row>
    <row r="558" spans="1:14">
      <c r="A558" s="4"/>
      <c r="B558" s="4"/>
      <c r="C558" s="4"/>
      <c r="D558" s="4"/>
      <c r="E558" s="4"/>
      <c r="F558" s="4"/>
      <c r="G558" s="4"/>
      <c r="H558" s="4"/>
      <c r="J558" s="4"/>
      <c r="K558" s="4"/>
      <c r="L558" s="4"/>
      <c r="M558" s="4"/>
      <c r="N558" s="4"/>
    </row>
    <row r="559" spans="1:14">
      <c r="A559" s="4"/>
      <c r="B559" s="4"/>
      <c r="C559" s="4"/>
      <c r="D559" s="4"/>
      <c r="E559" s="4"/>
      <c r="F559" s="4"/>
      <c r="G559" s="4"/>
      <c r="H559" s="4"/>
      <c r="J559" s="4"/>
      <c r="K559" s="4"/>
      <c r="L559" s="4"/>
      <c r="M559" s="4"/>
      <c r="N559" s="4"/>
    </row>
    <row r="560" spans="1:14">
      <c r="A560" s="4"/>
      <c r="B560" s="4"/>
      <c r="C560" s="4"/>
      <c r="D560" s="4"/>
      <c r="E560" s="4"/>
      <c r="F560" s="4"/>
      <c r="G560" s="4"/>
      <c r="H560" s="4"/>
      <c r="J560" s="4"/>
      <c r="K560" s="4"/>
      <c r="L560" s="4"/>
      <c r="M560" s="4"/>
      <c r="N560" s="4"/>
    </row>
    <row r="561" spans="1:14">
      <c r="A561" s="4"/>
      <c r="B561" s="4"/>
      <c r="C561" s="4"/>
      <c r="D561" s="4"/>
      <c r="E561" s="4"/>
      <c r="F561" s="4"/>
      <c r="G561" s="4"/>
      <c r="H561" s="4"/>
      <c r="J561" s="4"/>
      <c r="K561" s="4"/>
      <c r="L561" s="4"/>
      <c r="M561" s="4"/>
      <c r="N561" s="4"/>
    </row>
    <row r="562" spans="1:14">
      <c r="A562" s="4"/>
      <c r="B562" s="4"/>
      <c r="C562" s="4"/>
      <c r="D562" s="4"/>
      <c r="E562" s="4"/>
      <c r="F562" s="4"/>
      <c r="G562" s="4"/>
      <c r="H562" s="4"/>
      <c r="J562" s="4"/>
      <c r="K562" s="4"/>
      <c r="L562" s="4"/>
      <c r="M562" s="4"/>
      <c r="N562" s="4"/>
    </row>
    <row r="563" spans="1:14">
      <c r="A563" s="4"/>
      <c r="B563" s="4"/>
      <c r="C563" s="4"/>
      <c r="D563" s="4"/>
      <c r="E563" s="4"/>
      <c r="F563" s="4"/>
      <c r="G563" s="4"/>
      <c r="H563" s="4"/>
      <c r="J563" s="4"/>
      <c r="K563" s="4"/>
      <c r="L563" s="4"/>
      <c r="M563" s="4"/>
      <c r="N563" s="4"/>
    </row>
    <row r="564" spans="1:14">
      <c r="A564" s="4"/>
      <c r="B564" s="4"/>
      <c r="C564" s="4"/>
      <c r="D564" s="4"/>
      <c r="E564" s="4"/>
      <c r="F564" s="4"/>
      <c r="G564" s="4"/>
      <c r="H564" s="4"/>
      <c r="J564" s="4"/>
      <c r="K564" s="4"/>
      <c r="L564" s="4"/>
      <c r="M564" s="4"/>
      <c r="N564" s="4"/>
    </row>
    <row r="565" spans="1:14">
      <c r="A565" s="4"/>
      <c r="B565" s="4"/>
      <c r="C565" s="4"/>
      <c r="D565" s="4"/>
      <c r="E565" s="4"/>
      <c r="F565" s="4"/>
      <c r="G565" s="4"/>
      <c r="H565" s="4"/>
      <c r="J565" s="4"/>
      <c r="K565" s="4"/>
      <c r="L565" s="4"/>
      <c r="M565" s="4"/>
      <c r="N565" s="4"/>
    </row>
    <row r="566" spans="1:14">
      <c r="A566" s="4"/>
      <c r="B566" s="4"/>
      <c r="C566" s="4"/>
      <c r="D566" s="4"/>
      <c r="E566" s="4"/>
      <c r="F566" s="4"/>
      <c r="G566" s="4"/>
      <c r="H566" s="4"/>
      <c r="J566" s="4"/>
      <c r="K566" s="4"/>
      <c r="L566" s="4"/>
      <c r="M566" s="4"/>
      <c r="N566" s="4"/>
    </row>
    <row r="567" spans="1:14">
      <c r="A567" s="4"/>
      <c r="B567" s="4"/>
      <c r="C567" s="4"/>
      <c r="D567" s="4"/>
      <c r="E567" s="4"/>
      <c r="F567" s="4"/>
      <c r="G567" s="4"/>
      <c r="H567" s="4"/>
      <c r="J567" s="4"/>
      <c r="K567" s="4"/>
      <c r="L567" s="4"/>
      <c r="M567" s="4"/>
      <c r="N567" s="4"/>
    </row>
    <row r="568" spans="1:14">
      <c r="A568" s="4"/>
      <c r="B568" s="4"/>
      <c r="C568" s="4"/>
      <c r="D568" s="4"/>
      <c r="E568" s="4"/>
      <c r="F568" s="4"/>
      <c r="G568" s="4"/>
      <c r="H568" s="4"/>
      <c r="J568" s="4"/>
      <c r="K568" s="4"/>
      <c r="L568" s="4"/>
      <c r="M568" s="4"/>
      <c r="N568" s="4"/>
    </row>
    <row r="569" spans="1:14">
      <c r="A569" s="4"/>
      <c r="B569" s="4"/>
      <c r="C569" s="4"/>
      <c r="D569" s="4"/>
      <c r="E569" s="4"/>
      <c r="F569" s="4"/>
      <c r="G569" s="4"/>
      <c r="H569" s="4"/>
      <c r="J569" s="4"/>
      <c r="K569" s="4"/>
      <c r="L569" s="4"/>
      <c r="M569" s="4"/>
      <c r="N569" s="4"/>
    </row>
    <row r="570" spans="1:14">
      <c r="A570" s="4"/>
      <c r="B570" s="4"/>
      <c r="C570" s="4"/>
      <c r="D570" s="4"/>
      <c r="E570" s="4"/>
      <c r="F570" s="4"/>
      <c r="G570" s="4"/>
      <c r="H570" s="4"/>
      <c r="J570" s="4"/>
      <c r="K570" s="4"/>
      <c r="L570" s="4"/>
      <c r="M570" s="4"/>
      <c r="N570" s="4"/>
    </row>
    <row r="571" spans="1:14">
      <c r="A571" s="4"/>
      <c r="B571" s="4"/>
      <c r="C571" s="4"/>
      <c r="D571" s="4"/>
      <c r="E571" s="4"/>
      <c r="F571" s="4"/>
      <c r="G571" s="4"/>
      <c r="H571" s="4"/>
      <c r="J571" s="4"/>
      <c r="K571" s="4"/>
      <c r="L571" s="4"/>
      <c r="M571" s="4"/>
      <c r="N571" s="4"/>
    </row>
    <row r="572" spans="1:14">
      <c r="A572" s="4"/>
      <c r="B572" s="4"/>
      <c r="C572" s="4"/>
      <c r="D572" s="4"/>
      <c r="E572" s="4"/>
      <c r="F572" s="4"/>
      <c r="G572" s="4"/>
      <c r="H572" s="4"/>
      <c r="J572" s="4"/>
      <c r="K572" s="4"/>
      <c r="L572" s="4"/>
      <c r="M572" s="4"/>
      <c r="N572" s="4"/>
    </row>
    <row r="573" spans="1:14">
      <c r="A573" s="4"/>
      <c r="B573" s="4"/>
      <c r="C573" s="4"/>
      <c r="D573" s="4"/>
      <c r="E573" s="4"/>
      <c r="F573" s="4"/>
      <c r="G573" s="4"/>
      <c r="H573" s="4"/>
      <c r="J573" s="4"/>
      <c r="K573" s="4"/>
      <c r="L573" s="4"/>
      <c r="M573" s="4"/>
      <c r="N573" s="4"/>
    </row>
    <row r="574" spans="1:14">
      <c r="A574" s="4"/>
      <c r="B574" s="4"/>
      <c r="C574" s="4"/>
      <c r="D574" s="4"/>
      <c r="E574" s="4"/>
      <c r="F574" s="4"/>
      <c r="G574" s="4"/>
      <c r="H574" s="4"/>
      <c r="J574" s="4"/>
      <c r="K574" s="4"/>
      <c r="L574" s="4"/>
      <c r="M574" s="4"/>
      <c r="N574" s="4"/>
    </row>
    <row r="575" spans="1:14">
      <c r="A575" s="4"/>
      <c r="B575" s="4"/>
      <c r="C575" s="4"/>
      <c r="D575" s="4"/>
      <c r="E575" s="4"/>
      <c r="F575" s="4"/>
      <c r="G575" s="4"/>
      <c r="H575" s="4"/>
      <c r="J575" s="4"/>
      <c r="K575" s="4"/>
      <c r="L575" s="4"/>
      <c r="M575" s="4"/>
      <c r="N575" s="4"/>
    </row>
    <row r="576" spans="1:14">
      <c r="A576" s="4"/>
      <c r="B576" s="4"/>
      <c r="C576" s="4"/>
      <c r="D576" s="4"/>
      <c r="E576" s="4"/>
      <c r="F576" s="4"/>
      <c r="G576" s="4"/>
      <c r="H576" s="4"/>
      <c r="J576" s="4"/>
      <c r="K576" s="4"/>
      <c r="L576" s="4"/>
      <c r="M576" s="4"/>
      <c r="N576" s="4"/>
    </row>
    <row r="577" spans="1:14">
      <c r="A577" s="4"/>
      <c r="B577" s="4"/>
      <c r="C577" s="4"/>
      <c r="D577" s="4"/>
      <c r="E577" s="4"/>
      <c r="F577" s="4"/>
      <c r="G577" s="4"/>
      <c r="H577" s="4"/>
      <c r="J577" s="4"/>
      <c r="K577" s="4"/>
      <c r="L577" s="4"/>
      <c r="M577" s="4"/>
      <c r="N577" s="4"/>
    </row>
    <row r="578" spans="1:14">
      <c r="A578" s="4"/>
      <c r="B578" s="4"/>
      <c r="C578" s="4"/>
      <c r="D578" s="4"/>
      <c r="E578" s="4"/>
      <c r="F578" s="4"/>
      <c r="G578" s="4"/>
      <c r="H578" s="4"/>
      <c r="J578" s="4"/>
      <c r="K578" s="4"/>
      <c r="L578" s="4"/>
      <c r="M578" s="4"/>
      <c r="N578" s="4"/>
    </row>
    <row r="579" spans="1:14">
      <c r="A579" s="4"/>
      <c r="B579" s="4"/>
      <c r="C579" s="4"/>
      <c r="D579" s="4"/>
      <c r="E579" s="4"/>
      <c r="F579" s="4"/>
      <c r="G579" s="4"/>
      <c r="H579" s="4"/>
      <c r="J579" s="4"/>
      <c r="K579" s="4"/>
      <c r="L579" s="4"/>
      <c r="M579" s="4"/>
      <c r="N579" s="4"/>
    </row>
    <row r="580" spans="1:14">
      <c r="A580" s="4"/>
      <c r="B580" s="4"/>
      <c r="C580" s="4"/>
      <c r="D580" s="4"/>
      <c r="E580" s="4"/>
      <c r="F580" s="4"/>
      <c r="G580" s="4"/>
      <c r="H580" s="4"/>
      <c r="J580" s="4"/>
      <c r="K580" s="4"/>
      <c r="L580" s="4"/>
      <c r="M580" s="4"/>
      <c r="N580" s="4"/>
    </row>
    <row r="581" spans="1:14">
      <c r="A581" s="4"/>
      <c r="B581" s="4"/>
      <c r="C581" s="4"/>
      <c r="D581" s="4"/>
      <c r="E581" s="4"/>
      <c r="F581" s="4"/>
      <c r="G581" s="4"/>
      <c r="H581" s="4"/>
      <c r="J581" s="4"/>
      <c r="K581" s="4"/>
      <c r="L581" s="4"/>
      <c r="M581" s="4"/>
      <c r="N581" s="4"/>
    </row>
    <row r="582" spans="1:14">
      <c r="A582" s="4"/>
      <c r="B582" s="4"/>
      <c r="C582" s="4"/>
      <c r="D582" s="4"/>
      <c r="E582" s="4"/>
      <c r="F582" s="4"/>
      <c r="G582" s="4"/>
      <c r="H582" s="4"/>
      <c r="J582" s="4"/>
      <c r="K582" s="4"/>
      <c r="L582" s="4"/>
      <c r="M582" s="4"/>
      <c r="N582" s="4"/>
    </row>
    <row r="583" spans="1:14">
      <c r="A583" s="4"/>
      <c r="B583" s="4"/>
      <c r="C583" s="4"/>
      <c r="D583" s="4"/>
      <c r="E583" s="4"/>
      <c r="F583" s="4"/>
      <c r="G583" s="4"/>
      <c r="H583" s="4"/>
      <c r="J583" s="4"/>
      <c r="K583" s="4"/>
      <c r="L583" s="4"/>
      <c r="M583" s="4"/>
      <c r="N583" s="4"/>
    </row>
    <row r="584" spans="1:14">
      <c r="A584" s="4"/>
      <c r="B584" s="4"/>
      <c r="C584" s="4"/>
      <c r="D584" s="4"/>
      <c r="E584" s="4"/>
      <c r="F584" s="4"/>
      <c r="G584" s="4"/>
      <c r="H584" s="4"/>
      <c r="J584" s="4"/>
      <c r="K584" s="4"/>
      <c r="L584" s="4"/>
      <c r="M584" s="4"/>
      <c r="N584" s="4"/>
    </row>
    <row r="585" spans="1:14">
      <c r="A585" s="4"/>
      <c r="B585" s="4"/>
      <c r="C585" s="4"/>
      <c r="D585" s="4"/>
      <c r="E585" s="4"/>
      <c r="F585" s="4"/>
      <c r="G585" s="4"/>
      <c r="H585" s="4"/>
      <c r="J585" s="4"/>
      <c r="K585" s="4"/>
      <c r="L585" s="4"/>
      <c r="M585" s="4"/>
      <c r="N585" s="4"/>
    </row>
    <row r="586" spans="1:14">
      <c r="A586" s="4"/>
      <c r="B586" s="4"/>
      <c r="C586" s="4"/>
      <c r="D586" s="4"/>
      <c r="E586" s="4"/>
      <c r="F586" s="4"/>
      <c r="G586" s="4"/>
      <c r="H586" s="4"/>
      <c r="J586" s="4"/>
      <c r="K586" s="4"/>
      <c r="L586" s="4"/>
      <c r="M586" s="4"/>
      <c r="N586" s="4"/>
    </row>
    <row r="587" spans="1:14">
      <c r="A587" s="4"/>
      <c r="B587" s="4"/>
      <c r="C587" s="4"/>
      <c r="D587" s="4"/>
      <c r="E587" s="4"/>
      <c r="F587" s="4"/>
      <c r="G587" s="4"/>
      <c r="H587" s="4"/>
      <c r="J587" s="4"/>
      <c r="K587" s="4"/>
      <c r="L587" s="4"/>
      <c r="M587" s="4"/>
      <c r="N587" s="4"/>
    </row>
    <row r="588" spans="1:14">
      <c r="A588" s="4"/>
      <c r="B588" s="4"/>
      <c r="C588" s="4"/>
      <c r="D588" s="4"/>
      <c r="E588" s="4"/>
      <c r="F588" s="4"/>
      <c r="G588" s="4"/>
      <c r="H588" s="4"/>
      <c r="J588" s="4"/>
      <c r="K588" s="4"/>
      <c r="L588" s="4"/>
      <c r="M588" s="4"/>
      <c r="N588" s="4"/>
    </row>
    <row r="589" spans="1:14">
      <c r="A589" s="4"/>
      <c r="B589" s="4"/>
      <c r="C589" s="4"/>
      <c r="D589" s="4"/>
      <c r="E589" s="4"/>
      <c r="F589" s="4"/>
      <c r="G589" s="4"/>
      <c r="H589" s="4"/>
      <c r="J589" s="4"/>
      <c r="K589" s="4"/>
      <c r="L589" s="4"/>
      <c r="M589" s="4"/>
      <c r="N589" s="4"/>
    </row>
    <row r="590" spans="1:14">
      <c r="A590" s="4"/>
      <c r="B590" s="4"/>
      <c r="C590" s="4"/>
      <c r="D590" s="4"/>
      <c r="E590" s="4"/>
      <c r="F590" s="4"/>
      <c r="G590" s="4"/>
      <c r="H590" s="4"/>
      <c r="J590" s="4"/>
      <c r="K590" s="4"/>
      <c r="L590" s="4"/>
      <c r="M590" s="4"/>
      <c r="N590" s="4"/>
    </row>
    <row r="591" spans="1:14">
      <c r="A591" s="4"/>
      <c r="B591" s="4"/>
      <c r="C591" s="4"/>
      <c r="D591" s="4"/>
      <c r="E591" s="4"/>
      <c r="F591" s="4"/>
      <c r="G591" s="4"/>
      <c r="H591" s="4"/>
      <c r="J591" s="4"/>
      <c r="K591" s="4"/>
      <c r="L591" s="4"/>
      <c r="M591" s="4"/>
      <c r="N591" s="4"/>
    </row>
    <row r="592" spans="1:14">
      <c r="A592" s="4"/>
      <c r="B592" s="4"/>
      <c r="C592" s="4"/>
      <c r="D592" s="4"/>
      <c r="E592" s="4"/>
      <c r="F592" s="4"/>
      <c r="G592" s="4"/>
      <c r="H592" s="4"/>
      <c r="J592" s="4"/>
      <c r="K592" s="4"/>
      <c r="L592" s="4"/>
      <c r="M592" s="4"/>
      <c r="N592" s="4"/>
    </row>
    <row r="593" spans="1:14">
      <c r="A593" s="4"/>
      <c r="B593" s="4"/>
      <c r="C593" s="4"/>
      <c r="D593" s="4"/>
      <c r="E593" s="4"/>
      <c r="F593" s="4"/>
      <c r="G593" s="4"/>
      <c r="H593" s="4"/>
      <c r="J593" s="4"/>
      <c r="K593" s="4"/>
      <c r="L593" s="4"/>
      <c r="M593" s="4"/>
      <c r="N593" s="4"/>
    </row>
    <row r="594" spans="1:14">
      <c r="A594" s="4"/>
      <c r="B594" s="4"/>
      <c r="C594" s="4"/>
      <c r="D594" s="4"/>
      <c r="E594" s="4"/>
      <c r="F594" s="4"/>
      <c r="G594" s="4"/>
      <c r="H594" s="4"/>
      <c r="J594" s="4"/>
      <c r="K594" s="4"/>
      <c r="L594" s="4"/>
      <c r="M594" s="4"/>
      <c r="N594" s="4"/>
    </row>
    <row r="595" spans="1:14">
      <c r="A595" s="4"/>
      <c r="B595" s="4"/>
      <c r="C595" s="4"/>
      <c r="D595" s="4"/>
      <c r="E595" s="4"/>
      <c r="F595" s="4"/>
      <c r="G595" s="4"/>
      <c r="H595" s="4"/>
      <c r="J595" s="4"/>
      <c r="K595" s="4"/>
      <c r="L595" s="4"/>
      <c r="M595" s="4"/>
      <c r="N595" s="4"/>
    </row>
    <row r="596" spans="1:14">
      <c r="A596" s="4"/>
      <c r="B596" s="4"/>
      <c r="C596" s="4"/>
      <c r="D596" s="4"/>
      <c r="E596" s="4"/>
      <c r="F596" s="4"/>
      <c r="G596" s="4"/>
      <c r="H596" s="4"/>
      <c r="J596" s="4"/>
      <c r="K596" s="4"/>
      <c r="L596" s="4"/>
      <c r="M596" s="4"/>
      <c r="N596" s="4"/>
    </row>
    <row r="597" spans="1:14">
      <c r="A597" s="4"/>
      <c r="B597" s="4"/>
      <c r="C597" s="4"/>
      <c r="D597" s="4"/>
      <c r="E597" s="4"/>
      <c r="F597" s="4"/>
      <c r="G597" s="4"/>
      <c r="H597" s="4"/>
      <c r="J597" s="4"/>
      <c r="K597" s="4"/>
      <c r="L597" s="4"/>
      <c r="M597" s="4"/>
      <c r="N597" s="4"/>
    </row>
    <row r="598" spans="1:14">
      <c r="A598" s="4"/>
      <c r="B598" s="4"/>
      <c r="C598" s="4"/>
      <c r="D598" s="4"/>
      <c r="E598" s="4"/>
      <c r="F598" s="4"/>
      <c r="G598" s="4"/>
      <c r="H598" s="4"/>
      <c r="J598" s="4"/>
      <c r="K598" s="4"/>
      <c r="L598" s="4"/>
      <c r="M598" s="4"/>
      <c r="N598" s="4"/>
    </row>
    <row r="599" spans="1:14">
      <c r="A599" s="4"/>
      <c r="B599" s="4"/>
      <c r="C599" s="4"/>
      <c r="D599" s="4"/>
      <c r="E599" s="4"/>
      <c r="F599" s="4"/>
      <c r="G599" s="4"/>
      <c r="H599" s="4"/>
      <c r="J599" s="4"/>
      <c r="K599" s="4"/>
      <c r="L599" s="4"/>
      <c r="M599" s="4"/>
      <c r="N599" s="4"/>
    </row>
    <row r="600" spans="1:14">
      <c r="A600" s="4"/>
      <c r="B600" s="4"/>
      <c r="C600" s="4"/>
      <c r="D600" s="4"/>
      <c r="E600" s="4"/>
      <c r="F600" s="4"/>
      <c r="G600" s="4"/>
      <c r="H600" s="4"/>
      <c r="J600" s="4"/>
      <c r="K600" s="4"/>
      <c r="L600" s="4"/>
      <c r="M600" s="4"/>
      <c r="N600" s="4"/>
    </row>
    <row r="601" spans="1:14">
      <c r="A601" s="4"/>
      <c r="B601" s="4"/>
      <c r="C601" s="4"/>
      <c r="D601" s="4"/>
      <c r="E601" s="4"/>
      <c r="F601" s="4"/>
      <c r="G601" s="4"/>
      <c r="H601" s="4"/>
      <c r="J601" s="4"/>
      <c r="K601" s="4"/>
      <c r="L601" s="4"/>
      <c r="M601" s="4"/>
      <c r="N601" s="4"/>
    </row>
    <row r="602" spans="1:14">
      <c r="A602" s="4"/>
      <c r="B602" s="4"/>
      <c r="C602" s="4"/>
      <c r="D602" s="4"/>
      <c r="E602" s="4"/>
      <c r="F602" s="4"/>
      <c r="G602" s="4"/>
      <c r="H602" s="4"/>
      <c r="J602" s="4"/>
      <c r="K602" s="4"/>
      <c r="L602" s="4"/>
      <c r="M602" s="4"/>
      <c r="N602" s="4"/>
    </row>
    <row r="603" spans="1:14">
      <c r="A603" s="4"/>
      <c r="B603" s="4"/>
      <c r="C603" s="4"/>
      <c r="D603" s="4"/>
      <c r="E603" s="4"/>
      <c r="F603" s="4"/>
      <c r="G603" s="4"/>
      <c r="H603" s="4"/>
      <c r="J603" s="4"/>
      <c r="K603" s="4"/>
      <c r="L603" s="4"/>
      <c r="M603" s="4"/>
      <c r="N603" s="4"/>
    </row>
    <row r="604" spans="1:14">
      <c r="A604" s="4"/>
      <c r="B604" s="4"/>
      <c r="C604" s="4"/>
      <c r="D604" s="4"/>
      <c r="E604" s="4"/>
      <c r="F604" s="4"/>
      <c r="G604" s="4"/>
      <c r="H604" s="4"/>
      <c r="J604" s="4"/>
      <c r="K604" s="4"/>
      <c r="L604" s="4"/>
      <c r="M604" s="4"/>
      <c r="N604" s="4"/>
    </row>
    <row r="605" spans="1:14">
      <c r="A605" s="4"/>
      <c r="B605" s="4"/>
      <c r="C605" s="4"/>
      <c r="D605" s="4"/>
      <c r="E605" s="4"/>
      <c r="F605" s="4"/>
      <c r="G605" s="4"/>
      <c r="H605" s="4"/>
      <c r="J605" s="4"/>
      <c r="K605" s="4"/>
      <c r="L605" s="4"/>
      <c r="M605" s="4"/>
      <c r="N605" s="4"/>
    </row>
    <row r="606" spans="1:14">
      <c r="A606" s="4"/>
      <c r="B606" s="4"/>
      <c r="C606" s="4"/>
      <c r="D606" s="4"/>
      <c r="E606" s="4"/>
      <c r="F606" s="4"/>
      <c r="G606" s="4"/>
      <c r="H606" s="4"/>
      <c r="J606" s="4"/>
      <c r="K606" s="4"/>
      <c r="L606" s="4"/>
      <c r="M606" s="4"/>
      <c r="N606" s="4"/>
    </row>
    <row r="607" spans="1:14">
      <c r="A607" s="4"/>
      <c r="B607" s="4"/>
      <c r="C607" s="4"/>
      <c r="D607" s="4"/>
      <c r="E607" s="4"/>
      <c r="F607" s="4"/>
      <c r="G607" s="4"/>
      <c r="H607" s="4"/>
      <c r="J607" s="4"/>
      <c r="K607" s="4"/>
      <c r="L607" s="4"/>
      <c r="M607" s="4"/>
      <c r="N607" s="4"/>
    </row>
    <row r="608" spans="1:14">
      <c r="A608" s="4"/>
      <c r="B608" s="4"/>
      <c r="C608" s="4"/>
      <c r="D608" s="4"/>
      <c r="E608" s="4"/>
      <c r="F608" s="4"/>
      <c r="G608" s="4"/>
      <c r="H608" s="4"/>
      <c r="J608" s="4"/>
      <c r="K608" s="4"/>
      <c r="L608" s="4"/>
      <c r="M608" s="4"/>
      <c r="N608" s="4"/>
    </row>
    <row r="609" spans="1:14">
      <c r="A609" s="4"/>
      <c r="B609" s="4"/>
      <c r="C609" s="4"/>
      <c r="D609" s="4"/>
      <c r="E609" s="4"/>
      <c r="F609" s="4"/>
      <c r="G609" s="4"/>
      <c r="H609" s="4"/>
      <c r="J609" s="4"/>
      <c r="K609" s="4"/>
      <c r="L609" s="4"/>
      <c r="M609" s="4"/>
      <c r="N609" s="4"/>
    </row>
    <row r="610" spans="1:14">
      <c r="A610" s="4"/>
      <c r="B610" s="4"/>
      <c r="C610" s="4"/>
      <c r="D610" s="4"/>
      <c r="E610" s="4"/>
      <c r="F610" s="4"/>
      <c r="G610" s="4"/>
      <c r="H610" s="4"/>
      <c r="J610" s="4"/>
      <c r="K610" s="4"/>
      <c r="L610" s="4"/>
      <c r="M610" s="4"/>
      <c r="N610" s="4"/>
    </row>
    <row r="611" spans="1:14">
      <c r="A611" s="4"/>
      <c r="B611" s="4"/>
      <c r="C611" s="4"/>
      <c r="D611" s="4"/>
      <c r="E611" s="4"/>
      <c r="F611" s="4"/>
      <c r="G611" s="4"/>
      <c r="H611" s="4"/>
      <c r="J611" s="4"/>
      <c r="K611" s="4"/>
      <c r="L611" s="4"/>
      <c r="M611" s="4"/>
      <c r="N611" s="4"/>
    </row>
    <row r="612" spans="1:14">
      <c r="A612" s="4"/>
      <c r="B612" s="4"/>
      <c r="C612" s="4"/>
      <c r="D612" s="4"/>
      <c r="E612" s="4"/>
      <c r="F612" s="4"/>
      <c r="G612" s="4"/>
      <c r="H612" s="4"/>
      <c r="J612" s="4"/>
      <c r="K612" s="4"/>
      <c r="L612" s="4"/>
      <c r="M612" s="4"/>
      <c r="N612" s="4"/>
    </row>
    <row r="613" spans="1:14">
      <c r="A613" s="4"/>
      <c r="B613" s="4"/>
      <c r="C613" s="4"/>
      <c r="D613" s="4"/>
      <c r="E613" s="4"/>
      <c r="F613" s="4"/>
      <c r="G613" s="4"/>
      <c r="H613" s="4"/>
      <c r="J613" s="4"/>
      <c r="K613" s="4"/>
      <c r="L613" s="4"/>
      <c r="M613" s="4"/>
      <c r="N613" s="4"/>
    </row>
    <row r="614" spans="1:14">
      <c r="A614" s="4"/>
      <c r="B614" s="4"/>
      <c r="C614" s="4"/>
      <c r="D614" s="4"/>
      <c r="E614" s="4"/>
      <c r="F614" s="4"/>
      <c r="G614" s="4"/>
      <c r="H614" s="4"/>
      <c r="J614" s="4"/>
      <c r="K614" s="4"/>
      <c r="L614" s="4"/>
      <c r="M614" s="4"/>
      <c r="N614" s="4"/>
    </row>
    <row r="615" spans="1:14">
      <c r="A615" s="4"/>
      <c r="B615" s="4"/>
      <c r="C615" s="4"/>
      <c r="D615" s="4"/>
      <c r="E615" s="4"/>
      <c r="F615" s="4"/>
      <c r="G615" s="4"/>
      <c r="H615" s="4"/>
      <c r="J615" s="4"/>
      <c r="K615" s="4"/>
      <c r="L615" s="4"/>
      <c r="M615" s="4"/>
      <c r="N615" s="4"/>
    </row>
    <row r="616" spans="1:14">
      <c r="A616" s="4"/>
      <c r="B616" s="4"/>
      <c r="C616" s="4"/>
      <c r="D616" s="4"/>
      <c r="E616" s="4"/>
      <c r="F616" s="4"/>
      <c r="G616" s="4"/>
      <c r="H616" s="4"/>
      <c r="J616" s="4"/>
      <c r="K616" s="4"/>
      <c r="L616" s="4"/>
      <c r="M616" s="4"/>
      <c r="N616" s="4"/>
    </row>
    <row r="617" spans="1:14">
      <c r="A617" s="4"/>
      <c r="B617" s="4"/>
      <c r="C617" s="4"/>
      <c r="D617" s="4"/>
      <c r="E617" s="4"/>
      <c r="F617" s="4"/>
      <c r="G617" s="4"/>
      <c r="H617" s="4"/>
      <c r="J617" s="4"/>
      <c r="K617" s="4"/>
      <c r="L617" s="4"/>
      <c r="M617" s="4"/>
      <c r="N617" s="4"/>
    </row>
    <row r="618" spans="1:14">
      <c r="A618" s="4"/>
      <c r="B618" s="4"/>
      <c r="C618" s="4"/>
      <c r="D618" s="4"/>
      <c r="E618" s="4"/>
      <c r="F618" s="4"/>
      <c r="G618" s="4"/>
      <c r="H618" s="4"/>
      <c r="J618" s="4"/>
      <c r="K618" s="4"/>
      <c r="L618" s="4"/>
      <c r="M618" s="4"/>
      <c r="N618" s="4"/>
    </row>
    <row r="619" spans="1:14">
      <c r="A619" s="4"/>
      <c r="B619" s="4"/>
      <c r="C619" s="4"/>
      <c r="D619" s="4"/>
      <c r="E619" s="4"/>
      <c r="F619" s="4"/>
      <c r="G619" s="4"/>
      <c r="H619" s="4"/>
      <c r="J619" s="4"/>
      <c r="K619" s="4"/>
      <c r="L619" s="4"/>
      <c r="M619" s="4"/>
      <c r="N619" s="4"/>
    </row>
    <row r="620" spans="1:14">
      <c r="A620" s="4"/>
      <c r="B620" s="4"/>
      <c r="C620" s="4"/>
      <c r="D620" s="4"/>
      <c r="E620" s="4"/>
      <c r="F620" s="4"/>
      <c r="G620" s="4"/>
      <c r="H620" s="4"/>
      <c r="J620" s="4"/>
      <c r="K620" s="4"/>
      <c r="L620" s="4"/>
      <c r="M620" s="4"/>
      <c r="N620" s="4"/>
    </row>
    <row r="621" spans="1:14">
      <c r="A621" s="4"/>
      <c r="B621" s="4"/>
      <c r="C621" s="4"/>
      <c r="D621" s="4"/>
      <c r="E621" s="4"/>
      <c r="F621" s="4"/>
      <c r="G621" s="4"/>
      <c r="H621" s="4"/>
      <c r="J621" s="4"/>
      <c r="K621" s="4"/>
      <c r="L621" s="4"/>
      <c r="M621" s="4"/>
      <c r="N621" s="4"/>
    </row>
    <row r="622" spans="1:14">
      <c r="A622" s="4"/>
      <c r="B622" s="4"/>
      <c r="C622" s="4"/>
      <c r="D622" s="4"/>
      <c r="E622" s="4"/>
      <c r="F622" s="4"/>
      <c r="G622" s="4"/>
      <c r="H622" s="4"/>
      <c r="J622" s="4"/>
      <c r="K622" s="4"/>
      <c r="L622" s="4"/>
      <c r="M622" s="4"/>
      <c r="N622" s="4"/>
    </row>
    <row r="623" spans="1:14">
      <c r="A623" s="4"/>
      <c r="B623" s="4"/>
      <c r="C623" s="4"/>
      <c r="D623" s="4"/>
      <c r="E623" s="4"/>
      <c r="F623" s="4"/>
      <c r="G623" s="4"/>
      <c r="H623" s="4"/>
      <c r="J623" s="4"/>
      <c r="K623" s="4"/>
      <c r="L623" s="4"/>
      <c r="M623" s="4"/>
      <c r="N623" s="4"/>
    </row>
    <row r="624" spans="1:14">
      <c r="A624" s="4"/>
      <c r="B624" s="4"/>
      <c r="C624" s="4"/>
      <c r="D624" s="4"/>
      <c r="E624" s="4"/>
      <c r="F624" s="4"/>
      <c r="G624" s="4"/>
      <c r="H624" s="4"/>
      <c r="J624" s="4"/>
      <c r="K624" s="4"/>
      <c r="L624" s="4"/>
      <c r="M624" s="4"/>
      <c r="N624" s="4"/>
    </row>
    <row r="625" spans="1:14">
      <c r="A625" s="4"/>
      <c r="B625" s="4"/>
      <c r="C625" s="4"/>
      <c r="D625" s="4"/>
      <c r="E625" s="4"/>
      <c r="F625" s="4"/>
      <c r="G625" s="4"/>
      <c r="H625" s="4"/>
      <c r="J625" s="4"/>
      <c r="K625" s="4"/>
      <c r="L625" s="4"/>
      <c r="M625" s="4"/>
      <c r="N625" s="4"/>
    </row>
    <row r="626" spans="1:14">
      <c r="A626" s="4"/>
      <c r="B626" s="4"/>
      <c r="C626" s="4"/>
      <c r="D626" s="4"/>
      <c r="E626" s="4"/>
      <c r="F626" s="4"/>
      <c r="G626" s="4"/>
      <c r="H626" s="4"/>
      <c r="J626" s="4"/>
      <c r="K626" s="4"/>
      <c r="L626" s="4"/>
      <c r="M626" s="4"/>
      <c r="N626" s="4"/>
    </row>
    <row r="627" spans="1:14">
      <c r="A627" s="4"/>
      <c r="B627" s="4"/>
      <c r="C627" s="4"/>
      <c r="D627" s="4"/>
      <c r="E627" s="4"/>
      <c r="F627" s="4"/>
      <c r="G627" s="4"/>
      <c r="H627" s="4"/>
      <c r="J627" s="4"/>
      <c r="K627" s="4"/>
      <c r="L627" s="4"/>
      <c r="M627" s="4"/>
      <c r="N627" s="4"/>
    </row>
    <row r="628" spans="1:14">
      <c r="A628" s="4"/>
      <c r="B628" s="4"/>
      <c r="C628" s="4"/>
      <c r="D628" s="4"/>
      <c r="E628" s="4"/>
      <c r="F628" s="4"/>
      <c r="G628" s="4"/>
      <c r="H628" s="4"/>
      <c r="J628" s="4"/>
      <c r="K628" s="4"/>
      <c r="L628" s="4"/>
      <c r="M628" s="4"/>
      <c r="N628" s="4"/>
    </row>
    <row r="629" spans="1:14">
      <c r="A629" s="4"/>
      <c r="B629" s="4"/>
      <c r="C629" s="4"/>
      <c r="D629" s="4"/>
      <c r="E629" s="4"/>
      <c r="F629" s="4"/>
      <c r="G629" s="4"/>
      <c r="H629" s="4"/>
      <c r="J629" s="4"/>
      <c r="K629" s="4"/>
      <c r="L629" s="4"/>
      <c r="M629" s="4"/>
      <c r="N629" s="4"/>
    </row>
    <row r="630" spans="1:14">
      <c r="A630" s="4"/>
      <c r="B630" s="4"/>
      <c r="C630" s="4"/>
      <c r="D630" s="4"/>
      <c r="E630" s="4"/>
      <c r="F630" s="4"/>
      <c r="G630" s="4"/>
      <c r="H630" s="4"/>
      <c r="J630" s="4"/>
      <c r="K630" s="4"/>
      <c r="L630" s="4"/>
      <c r="M630" s="4"/>
      <c r="N630" s="4"/>
    </row>
    <row r="631" spans="1:14">
      <c r="A631" s="4"/>
      <c r="B631" s="4"/>
      <c r="C631" s="4"/>
      <c r="D631" s="4"/>
      <c r="E631" s="4"/>
      <c r="F631" s="4"/>
      <c r="G631" s="4"/>
      <c r="H631" s="4"/>
      <c r="J631" s="4"/>
      <c r="K631" s="4"/>
      <c r="L631" s="4"/>
      <c r="M631" s="4"/>
      <c r="N631" s="4"/>
    </row>
    <row r="632" spans="1:14">
      <c r="A632" s="4"/>
      <c r="B632" s="4"/>
      <c r="C632" s="4"/>
      <c r="D632" s="4"/>
      <c r="E632" s="4"/>
      <c r="F632" s="4"/>
      <c r="G632" s="4"/>
      <c r="H632" s="4"/>
      <c r="J632" s="4"/>
      <c r="K632" s="4"/>
      <c r="L632" s="4"/>
      <c r="M632" s="4"/>
      <c r="N632" s="4"/>
    </row>
    <row r="633" spans="1:14">
      <c r="A633" s="4"/>
      <c r="B633" s="4"/>
      <c r="C633" s="4"/>
      <c r="D633" s="4"/>
      <c r="E633" s="4"/>
      <c r="F633" s="4"/>
      <c r="G633" s="4"/>
      <c r="H633" s="4"/>
      <c r="J633" s="4"/>
      <c r="K633" s="4"/>
      <c r="L633" s="4"/>
      <c r="M633" s="4"/>
      <c r="N633" s="4"/>
    </row>
    <row r="634" spans="1:14">
      <c r="A634" s="4"/>
      <c r="B634" s="4"/>
      <c r="C634" s="4"/>
      <c r="D634" s="4"/>
      <c r="E634" s="4"/>
      <c r="F634" s="4"/>
      <c r="G634" s="4"/>
      <c r="H634" s="4"/>
      <c r="J634" s="4"/>
      <c r="K634" s="4"/>
      <c r="L634" s="4"/>
      <c r="M634" s="4"/>
      <c r="N634" s="4"/>
    </row>
    <row r="635" spans="1:14">
      <c r="A635" s="4"/>
      <c r="B635" s="4"/>
      <c r="C635" s="4"/>
      <c r="D635" s="4"/>
      <c r="E635" s="4"/>
      <c r="F635" s="4"/>
      <c r="G635" s="4"/>
      <c r="H635" s="4"/>
      <c r="J635" s="4"/>
      <c r="K635" s="4"/>
      <c r="L635" s="4"/>
      <c r="M635" s="4"/>
      <c r="N635" s="4"/>
    </row>
    <row r="636" spans="1:14">
      <c r="A636" s="4"/>
      <c r="B636" s="4"/>
      <c r="C636" s="4"/>
      <c r="D636" s="4"/>
      <c r="E636" s="4"/>
      <c r="F636" s="4"/>
      <c r="G636" s="4"/>
      <c r="H636" s="4"/>
      <c r="J636" s="4"/>
      <c r="K636" s="4"/>
      <c r="L636" s="4"/>
      <c r="M636" s="4"/>
      <c r="N636" s="4"/>
    </row>
    <row r="637" spans="1:14">
      <c r="A637" s="4"/>
      <c r="B637" s="4"/>
      <c r="C637" s="4"/>
      <c r="D637" s="4"/>
      <c r="E637" s="4"/>
      <c r="F637" s="4"/>
      <c r="G637" s="4"/>
      <c r="H637" s="4"/>
      <c r="J637" s="4"/>
      <c r="K637" s="4"/>
      <c r="L637" s="4"/>
      <c r="M637" s="4"/>
      <c r="N637" s="4"/>
    </row>
    <row r="638" spans="1:14">
      <c r="A638" s="4"/>
      <c r="B638" s="4"/>
      <c r="C638" s="4"/>
      <c r="D638" s="4"/>
      <c r="E638" s="4"/>
      <c r="F638" s="4"/>
      <c r="G638" s="4"/>
      <c r="H638" s="4"/>
      <c r="J638" s="4"/>
      <c r="K638" s="4"/>
      <c r="L638" s="4"/>
      <c r="M638" s="4"/>
      <c r="N638" s="4"/>
    </row>
    <row r="639" spans="1:14">
      <c r="A639" s="4"/>
      <c r="B639" s="4"/>
      <c r="C639" s="4"/>
      <c r="D639" s="4"/>
      <c r="E639" s="4"/>
      <c r="F639" s="4"/>
      <c r="G639" s="4"/>
      <c r="H639" s="4"/>
      <c r="J639" s="4"/>
      <c r="K639" s="4"/>
      <c r="L639" s="4"/>
      <c r="M639" s="4"/>
      <c r="N639" s="4"/>
    </row>
    <row r="640" spans="1:14">
      <c r="A640" s="4"/>
      <c r="B640" s="4"/>
      <c r="C640" s="4"/>
      <c r="D640" s="4"/>
      <c r="E640" s="4"/>
      <c r="F640" s="4"/>
      <c r="G640" s="4"/>
      <c r="H640" s="4"/>
      <c r="J640" s="4"/>
      <c r="K640" s="4"/>
      <c r="L640" s="4"/>
      <c r="M640" s="4"/>
      <c r="N640" s="4"/>
    </row>
    <row r="641" spans="1:14">
      <c r="A641" s="4"/>
      <c r="B641" s="4"/>
      <c r="C641" s="4"/>
      <c r="D641" s="4"/>
      <c r="E641" s="4"/>
      <c r="F641" s="4"/>
      <c r="G641" s="4"/>
      <c r="H641" s="4"/>
      <c r="J641" s="4"/>
      <c r="K641" s="4"/>
      <c r="L641" s="4"/>
      <c r="M641" s="4"/>
      <c r="N641" s="4"/>
    </row>
    <row r="642" spans="1:14">
      <c r="A642" s="4"/>
      <c r="B642" s="4"/>
      <c r="C642" s="4"/>
      <c r="D642" s="4"/>
      <c r="E642" s="4"/>
      <c r="F642" s="4"/>
      <c r="G642" s="4"/>
      <c r="H642" s="4"/>
      <c r="J642" s="4"/>
      <c r="K642" s="4"/>
      <c r="L642" s="4"/>
      <c r="M642" s="4"/>
      <c r="N642" s="4"/>
    </row>
    <row r="643" spans="1:14">
      <c r="A643" s="4"/>
      <c r="B643" s="4"/>
      <c r="C643" s="4"/>
      <c r="D643" s="4"/>
      <c r="E643" s="4"/>
      <c r="F643" s="4"/>
      <c r="G643" s="4"/>
      <c r="H643" s="4"/>
      <c r="J643" s="4"/>
      <c r="K643" s="4"/>
      <c r="L643" s="4"/>
      <c r="M643" s="4"/>
      <c r="N643" s="4"/>
    </row>
    <row r="644" spans="1:14">
      <c r="A644" s="4"/>
      <c r="B644" s="4"/>
      <c r="C644" s="4"/>
      <c r="D644" s="4"/>
      <c r="E644" s="4"/>
      <c r="F644" s="4"/>
      <c r="G644" s="4"/>
      <c r="H644" s="4"/>
      <c r="J644" s="4"/>
      <c r="K644" s="4"/>
      <c r="L644" s="4"/>
      <c r="M644" s="4"/>
      <c r="N644" s="4"/>
    </row>
    <row r="645" spans="1:14">
      <c r="A645" s="4"/>
      <c r="B645" s="4"/>
      <c r="C645" s="4"/>
      <c r="D645" s="4"/>
      <c r="E645" s="4"/>
      <c r="F645" s="4"/>
      <c r="G645" s="4"/>
      <c r="H645" s="4"/>
      <c r="J645" s="4"/>
      <c r="K645" s="4"/>
      <c r="L645" s="4"/>
      <c r="M645" s="4"/>
      <c r="N645" s="4"/>
    </row>
    <row r="646" spans="1:14">
      <c r="A646" s="4"/>
      <c r="B646" s="4"/>
      <c r="C646" s="4"/>
      <c r="D646" s="4"/>
      <c r="E646" s="4"/>
      <c r="F646" s="4"/>
      <c r="G646" s="4"/>
      <c r="H646" s="4"/>
      <c r="J646" s="4"/>
      <c r="K646" s="4"/>
      <c r="L646" s="4"/>
      <c r="M646" s="4"/>
      <c r="N646" s="4"/>
    </row>
    <row r="647" spans="1:14">
      <c r="A647" s="4"/>
      <c r="B647" s="4"/>
      <c r="C647" s="4"/>
      <c r="D647" s="4"/>
      <c r="E647" s="4"/>
      <c r="F647" s="4"/>
      <c r="G647" s="4"/>
      <c r="H647" s="4"/>
      <c r="J647" s="4"/>
      <c r="K647" s="4"/>
      <c r="L647" s="4"/>
      <c r="M647" s="4"/>
      <c r="N647" s="4"/>
    </row>
    <row r="648" spans="1:14">
      <c r="A648" s="4"/>
      <c r="B648" s="4"/>
      <c r="C648" s="4"/>
      <c r="D648" s="4"/>
      <c r="E648" s="4"/>
      <c r="F648" s="4"/>
      <c r="G648" s="4"/>
      <c r="H648" s="4"/>
      <c r="J648" s="4"/>
      <c r="K648" s="4"/>
      <c r="L648" s="4"/>
      <c r="M648" s="4"/>
      <c r="N648" s="4"/>
    </row>
    <row r="649" spans="1:14">
      <c r="A649" s="4"/>
      <c r="B649" s="4"/>
      <c r="C649" s="4"/>
      <c r="D649" s="4"/>
      <c r="E649" s="4"/>
      <c r="F649" s="4"/>
      <c r="G649" s="4"/>
      <c r="H649" s="4"/>
      <c r="J649" s="4"/>
      <c r="K649" s="4"/>
      <c r="L649" s="4"/>
      <c r="M649" s="4"/>
      <c r="N649" s="4"/>
    </row>
    <row r="650" spans="1:14">
      <c r="A650" s="4"/>
      <c r="B650" s="4"/>
      <c r="C650" s="4"/>
      <c r="D650" s="4"/>
      <c r="E650" s="4"/>
      <c r="F650" s="4"/>
      <c r="G650" s="4"/>
      <c r="H650" s="4"/>
      <c r="J650" s="4"/>
      <c r="K650" s="4"/>
      <c r="L650" s="4"/>
      <c r="M650" s="4"/>
      <c r="N650" s="4"/>
    </row>
    <row r="651" spans="1:14">
      <c r="A651" s="4"/>
      <c r="B651" s="4"/>
      <c r="C651" s="4"/>
      <c r="D651" s="4"/>
      <c r="E651" s="4"/>
      <c r="F651" s="4"/>
      <c r="G651" s="4"/>
      <c r="H651" s="4"/>
      <c r="J651" s="4"/>
      <c r="K651" s="4"/>
      <c r="L651" s="4"/>
      <c r="M651" s="4"/>
      <c r="N651" s="4"/>
    </row>
    <row r="652" spans="1:14">
      <c r="A652" s="4"/>
      <c r="B652" s="4"/>
      <c r="C652" s="4"/>
      <c r="D652" s="4"/>
      <c r="E652" s="4"/>
      <c r="F652" s="4"/>
      <c r="G652" s="4"/>
      <c r="H652" s="4"/>
      <c r="J652" s="4"/>
      <c r="K652" s="4"/>
      <c r="L652" s="4"/>
      <c r="M652" s="4"/>
      <c r="N652" s="4"/>
    </row>
    <row r="653" spans="1:14">
      <c r="A653" s="4"/>
      <c r="B653" s="4"/>
      <c r="C653" s="4"/>
      <c r="D653" s="4"/>
      <c r="E653" s="4"/>
      <c r="F653" s="4"/>
      <c r="G653" s="4"/>
      <c r="H653" s="4"/>
      <c r="J653" s="4"/>
      <c r="K653" s="4"/>
      <c r="L653" s="4"/>
      <c r="M653" s="4"/>
      <c r="N653" s="4"/>
    </row>
    <row r="654" spans="1:14">
      <c r="A654" s="4"/>
      <c r="B654" s="4"/>
      <c r="C654" s="4"/>
      <c r="D654" s="4"/>
      <c r="E654" s="4"/>
      <c r="F654" s="4"/>
      <c r="G654" s="4"/>
      <c r="H654" s="4"/>
      <c r="J654" s="4"/>
      <c r="K654" s="4"/>
      <c r="L654" s="4"/>
      <c r="M654" s="4"/>
      <c r="N654" s="4"/>
    </row>
    <row r="655" spans="1:14">
      <c r="A655" s="4"/>
      <c r="B655" s="4"/>
      <c r="C655" s="4"/>
      <c r="D655" s="4"/>
      <c r="E655" s="4"/>
      <c r="F655" s="4"/>
      <c r="G655" s="4"/>
      <c r="H655" s="4"/>
      <c r="J655" s="4"/>
      <c r="K655" s="4"/>
      <c r="L655" s="4"/>
      <c r="M655" s="4"/>
      <c r="N655" s="4"/>
    </row>
    <row r="656" spans="1:14">
      <c r="A656" s="4"/>
      <c r="B656" s="4"/>
      <c r="C656" s="4"/>
      <c r="D656" s="4"/>
      <c r="E656" s="4"/>
      <c r="F656" s="4"/>
      <c r="G656" s="4"/>
      <c r="H656" s="4"/>
      <c r="J656" s="4"/>
      <c r="K656" s="4"/>
      <c r="L656" s="4"/>
      <c r="M656" s="4"/>
      <c r="N656" s="4"/>
    </row>
    <row r="657" spans="1:14">
      <c r="A657" s="4"/>
      <c r="B657" s="4"/>
      <c r="C657" s="4"/>
      <c r="D657" s="4"/>
      <c r="E657" s="4"/>
      <c r="F657" s="4"/>
      <c r="G657" s="4"/>
      <c r="H657" s="4"/>
      <c r="J657" s="4"/>
      <c r="K657" s="4"/>
      <c r="L657" s="4"/>
      <c r="M657" s="4"/>
      <c r="N657" s="4"/>
    </row>
    <row r="658" spans="1:14">
      <c r="A658" s="4"/>
      <c r="B658" s="4"/>
      <c r="C658" s="4"/>
      <c r="D658" s="4"/>
      <c r="E658" s="4"/>
      <c r="F658" s="4"/>
      <c r="G658" s="4"/>
      <c r="H658" s="4"/>
      <c r="J658" s="4"/>
      <c r="K658" s="4"/>
      <c r="L658" s="4"/>
      <c r="M658" s="4"/>
      <c r="N658" s="4"/>
    </row>
    <row r="659" spans="1:14">
      <c r="A659" s="4"/>
      <c r="B659" s="4"/>
      <c r="C659" s="4"/>
      <c r="D659" s="4"/>
      <c r="E659" s="4"/>
      <c r="F659" s="4"/>
      <c r="G659" s="4"/>
      <c r="H659" s="4"/>
      <c r="J659" s="4"/>
      <c r="K659" s="4"/>
      <c r="L659" s="4"/>
      <c r="M659" s="4"/>
      <c r="N659" s="4"/>
    </row>
    <row r="660" spans="1:14">
      <c r="A660" s="4"/>
      <c r="B660" s="4"/>
      <c r="C660" s="4"/>
      <c r="D660" s="4"/>
      <c r="E660" s="4"/>
      <c r="F660" s="4"/>
      <c r="G660" s="4"/>
      <c r="H660" s="4"/>
      <c r="J660" s="4"/>
      <c r="K660" s="4"/>
      <c r="L660" s="4"/>
      <c r="M660" s="4"/>
      <c r="N660" s="4"/>
    </row>
    <row r="661" spans="1:14">
      <c r="A661" s="4"/>
      <c r="B661" s="4"/>
      <c r="C661" s="4"/>
      <c r="D661" s="4"/>
      <c r="E661" s="4"/>
      <c r="F661" s="4"/>
      <c r="G661" s="4"/>
      <c r="H661" s="4"/>
      <c r="J661" s="4"/>
      <c r="K661" s="4"/>
      <c r="L661" s="4"/>
      <c r="M661" s="4"/>
      <c r="N661" s="4"/>
    </row>
  </sheetData>
  <phoneticPr fontId="17" type="noConversion"/>
  <dataValidations count="1">
    <dataValidation type="list" allowBlank="1" showInputMessage="1" showErrorMessage="1" sqref="C6:C661 C3" xr:uid="{00000000-0002-0000-1000-000001000000}">
      <formula1>INDIRECT(B3)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1000-000000000000}">
          <x14:formula1>
            <xm:f>List!$P$2:$P$11</xm:f>
          </x14:formula1>
          <xm:sqref>B6:B661 B3</xm:sqref>
        </x14:dataValidation>
        <x14:dataValidation type="list" allowBlank="1" showInputMessage="1" showErrorMessage="1" xr:uid="{00000000-0002-0000-1000-000002000000}">
          <x14:formula1>
            <xm:f>List!$C$2:$C$3</xm:f>
          </x14:formula1>
          <xm:sqref>D6:D661 D2:D3</xm:sqref>
        </x14:dataValidation>
        <x14:dataValidation type="list" allowBlank="1" showInputMessage="1" showErrorMessage="1" xr:uid="{00000000-0002-0000-1000-000003000000}">
          <x14:formula1>
            <xm:f>List!$E$2:$E$32</xm:f>
          </x14:formula1>
          <xm:sqref>E6:E661 E2:E3</xm:sqref>
        </x14:dataValidation>
        <x14:dataValidation type="list" allowBlank="1" showInputMessage="1" showErrorMessage="1" xr:uid="{00000000-0002-0000-1000-000004000000}">
          <x14:formula1>
            <xm:f>List!$H$2:$H$13</xm:f>
          </x14:formula1>
          <xm:sqref>M6:M661 M2:M3</xm:sqref>
        </x14:dataValidation>
        <x14:dataValidation type="list" allowBlank="1" showInputMessage="1" showErrorMessage="1" xr:uid="{00000000-0002-0000-1000-000005000000}">
          <x14:formula1>
            <xm:f>List!$J$2:$J$4</xm:f>
          </x14:formula1>
          <xm:sqref>N6:N661 N2:N3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N539"/>
  <sheetViews>
    <sheetView workbookViewId="0">
      <selection activeCell="F1" sqref="F1"/>
    </sheetView>
  </sheetViews>
  <sheetFormatPr defaultColWidth="9" defaultRowHeight="14.5"/>
  <cols>
    <col min="1" max="1" width="5.36328125" customWidth="1"/>
    <col min="2" max="2" width="6.90625" customWidth="1"/>
    <col min="3" max="3" width="6.453125" customWidth="1"/>
    <col min="4" max="4" width="11.453125" customWidth="1"/>
    <col min="5" max="5" width="8.90625" customWidth="1"/>
    <col min="6" max="6" width="8.1796875" customWidth="1"/>
    <col min="7" max="7" width="10.08984375" customWidth="1"/>
    <col min="8" max="8" width="6.90625" customWidth="1"/>
    <col min="9" max="9" width="10.1796875" customWidth="1"/>
    <col min="10" max="10" width="10.08984375" customWidth="1"/>
    <col min="11" max="11" width="11.08984375" customWidth="1"/>
    <col min="12" max="12" width="10.453125" customWidth="1"/>
    <col min="13" max="13" width="6.453125" customWidth="1"/>
    <col min="14" max="14" width="4.54296875" customWidth="1"/>
  </cols>
  <sheetData>
    <row r="1" spans="1:14">
      <c r="A1" t="s">
        <v>0</v>
      </c>
      <c r="B1" t="s">
        <v>1</v>
      </c>
      <c r="C1" t="s">
        <v>2</v>
      </c>
      <c r="D1" t="s">
        <v>16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s="4"/>
      <c r="B2" s="4"/>
      <c r="C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>
      <c r="A3" s="4"/>
      <c r="B3" s="4"/>
      <c r="C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>
      <c r="A4" s="4"/>
      <c r="B4" s="4"/>
      <c r="C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>
      <c r="A5" s="4"/>
      <c r="B5" s="4"/>
      <c r="C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>
      <c r="A6" s="4"/>
      <c r="B6" s="4"/>
      <c r="C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>
      <c r="A7" s="4"/>
      <c r="B7" s="4"/>
      <c r="C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>
      <c r="A8" s="4"/>
      <c r="B8" s="4"/>
      <c r="C8" s="4"/>
      <c r="E8" s="4"/>
      <c r="F8" s="4"/>
      <c r="G8" s="4"/>
      <c r="H8" s="4"/>
      <c r="I8" s="4"/>
      <c r="J8" s="4"/>
      <c r="K8" s="4"/>
      <c r="L8" s="4"/>
      <c r="M8" s="4"/>
      <c r="N8" s="4"/>
    </row>
    <row r="9" spans="1:14">
      <c r="A9" s="4"/>
      <c r="B9" s="4"/>
      <c r="C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>
      <c r="A10" s="4"/>
      <c r="B10" s="4"/>
      <c r="C10" s="4"/>
      <c r="E10" s="4"/>
      <c r="F10" s="4"/>
      <c r="G10" s="4"/>
      <c r="H10" s="4"/>
      <c r="I10" s="4"/>
      <c r="J10" s="4"/>
      <c r="K10" s="4"/>
      <c r="L10" s="4"/>
      <c r="M10" s="4"/>
      <c r="N10" s="4"/>
    </row>
    <row r="11" spans="1:14">
      <c r="A11" s="4"/>
      <c r="B11" s="4"/>
      <c r="C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1:14">
      <c r="A12" s="4"/>
      <c r="B12" s="4"/>
      <c r="C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spans="1:14">
      <c r="A13" s="4"/>
      <c r="B13" s="4"/>
      <c r="C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4">
      <c r="A14" s="4"/>
      <c r="B14" s="4"/>
      <c r="C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spans="1:14">
      <c r="A15" s="4"/>
      <c r="B15" s="4"/>
      <c r="C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4">
      <c r="A16" s="4"/>
      <c r="B16" s="4"/>
      <c r="C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spans="1:14">
      <c r="A17" s="4"/>
      <c r="B17" s="4"/>
      <c r="C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1:14">
      <c r="A18" s="4"/>
      <c r="B18" s="4"/>
      <c r="C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spans="1:14">
      <c r="A19" s="4"/>
      <c r="B19" s="4"/>
      <c r="C19" s="4"/>
      <c r="E19" s="4"/>
      <c r="F19" s="4"/>
      <c r="G19" s="4"/>
      <c r="H19" s="4"/>
      <c r="I19" s="4"/>
      <c r="J19" s="4"/>
      <c r="K19" s="4"/>
      <c r="L19" s="4"/>
      <c r="M19" s="4"/>
      <c r="N19" s="4"/>
    </row>
    <row r="20" spans="1:14">
      <c r="A20" s="4"/>
      <c r="B20" s="4"/>
      <c r="C20" s="4"/>
      <c r="E20" s="4"/>
      <c r="F20" s="4"/>
      <c r="G20" s="4"/>
      <c r="H20" s="4"/>
      <c r="I20" s="4"/>
      <c r="J20" s="4"/>
      <c r="K20" s="4"/>
      <c r="L20" s="4"/>
      <c r="M20" s="4"/>
      <c r="N20" s="4"/>
    </row>
    <row r="21" spans="1:14">
      <c r="A21" s="4"/>
      <c r="B21" s="4"/>
      <c r="C21" s="4"/>
      <c r="E21" s="4"/>
      <c r="F21" s="4"/>
      <c r="G21" s="4"/>
      <c r="H21" s="4"/>
      <c r="I21" s="4"/>
      <c r="J21" s="4"/>
      <c r="K21" s="4"/>
      <c r="L21" s="4"/>
      <c r="M21" s="4"/>
      <c r="N21" s="4"/>
    </row>
    <row r="22" spans="1:14">
      <c r="A22" s="4"/>
      <c r="B22" s="4"/>
      <c r="C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spans="1:14">
      <c r="A23" s="4"/>
      <c r="B23" s="4"/>
      <c r="C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spans="1:14">
      <c r="A24" s="4"/>
      <c r="B24" s="4"/>
      <c r="C24" s="4"/>
      <c r="E24" s="4"/>
      <c r="F24" s="4"/>
      <c r="G24" s="4"/>
      <c r="H24" s="4"/>
      <c r="I24" s="4"/>
      <c r="J24" s="4"/>
      <c r="K24" s="4"/>
      <c r="L24" s="4"/>
      <c r="M24" s="4"/>
      <c r="N24" s="4"/>
    </row>
    <row r="25" spans="1:14">
      <c r="A25" s="4"/>
      <c r="B25" s="4"/>
      <c r="C25" s="4"/>
      <c r="E25" s="4"/>
      <c r="F25" s="4"/>
      <c r="G25" s="4"/>
      <c r="H25" s="4"/>
      <c r="I25" s="4"/>
      <c r="J25" s="4"/>
      <c r="K25" s="4"/>
      <c r="L25" s="4"/>
      <c r="M25" s="4"/>
      <c r="N25" s="4"/>
    </row>
    <row r="26" spans="1:14">
      <c r="A26" s="4"/>
      <c r="B26" s="4"/>
      <c r="C26" s="4"/>
      <c r="E26" s="4"/>
      <c r="F26" s="4"/>
      <c r="G26" s="4"/>
      <c r="H26" s="4"/>
      <c r="I26" s="4"/>
      <c r="J26" s="4"/>
      <c r="K26" s="4"/>
      <c r="L26" s="4"/>
      <c r="M26" s="4"/>
      <c r="N26" s="4"/>
    </row>
    <row r="27" spans="1:14">
      <c r="A27" s="4"/>
      <c r="B27" s="4"/>
      <c r="C27" s="4"/>
      <c r="E27" s="4"/>
      <c r="F27" s="4"/>
      <c r="G27" s="4"/>
      <c r="H27" s="4"/>
      <c r="I27" s="4"/>
      <c r="J27" s="4"/>
      <c r="K27" s="4"/>
      <c r="L27" s="4"/>
      <c r="M27" s="4"/>
      <c r="N27" s="4"/>
    </row>
    <row r="28" spans="1:14">
      <c r="A28" s="4"/>
      <c r="B28" s="4"/>
      <c r="C28" s="4"/>
      <c r="E28" s="4"/>
      <c r="F28" s="4"/>
      <c r="G28" s="4"/>
      <c r="H28" s="4"/>
      <c r="I28" s="4"/>
      <c r="J28" s="4"/>
      <c r="K28" s="4"/>
      <c r="L28" s="4"/>
      <c r="M28" s="4"/>
      <c r="N28" s="4"/>
    </row>
    <row r="29" spans="1:14">
      <c r="A29" s="4"/>
      <c r="B29" s="4"/>
      <c r="C29" s="4"/>
      <c r="E29" s="4"/>
      <c r="F29" s="4"/>
      <c r="G29" s="4"/>
      <c r="H29" s="4"/>
      <c r="I29" s="4"/>
      <c r="J29" s="4"/>
      <c r="K29" s="4"/>
      <c r="L29" s="4"/>
      <c r="M29" s="4"/>
      <c r="N29" s="4"/>
    </row>
    <row r="30" spans="1:14">
      <c r="A30" s="4"/>
      <c r="B30" s="4"/>
      <c r="C30" s="4"/>
      <c r="E30" s="4"/>
      <c r="F30" s="4"/>
      <c r="G30" s="4"/>
      <c r="H30" s="4"/>
      <c r="I30" s="4"/>
      <c r="J30" s="4"/>
      <c r="K30" s="4"/>
      <c r="L30" s="4"/>
      <c r="M30" s="4"/>
      <c r="N30" s="4"/>
    </row>
    <row r="31" spans="1:14">
      <c r="A31" s="4"/>
      <c r="B31" s="4"/>
      <c r="C31" s="4"/>
      <c r="E31" s="4"/>
      <c r="F31" s="4"/>
      <c r="G31" s="4"/>
      <c r="H31" s="4"/>
      <c r="I31" s="4"/>
      <c r="J31" s="4"/>
      <c r="K31" s="4"/>
      <c r="L31" s="4"/>
      <c r="M31" s="4"/>
      <c r="N31" s="4"/>
    </row>
    <row r="32" spans="1:14">
      <c r="A32" s="4"/>
      <c r="B32" s="4"/>
      <c r="C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spans="1:14">
      <c r="A33" s="4"/>
      <c r="B33" s="4"/>
      <c r="C33" s="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 spans="1:14">
      <c r="A34" s="4"/>
      <c r="B34" s="4"/>
      <c r="C34" s="4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 spans="1:14">
      <c r="A35" s="4"/>
      <c r="B35" s="4"/>
      <c r="C35" s="4"/>
      <c r="E35" s="4"/>
      <c r="F35" s="4"/>
      <c r="G35" s="4"/>
      <c r="H35" s="4"/>
      <c r="I35" s="4"/>
      <c r="J35" s="4"/>
      <c r="K35" s="4"/>
      <c r="L35" s="4"/>
      <c r="M35" s="4"/>
      <c r="N35" s="4"/>
    </row>
    <row r="36" spans="1:14">
      <c r="A36" s="4"/>
      <c r="B36" s="4"/>
      <c r="C36" s="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 spans="1:14">
      <c r="A37" s="4"/>
      <c r="B37" s="4"/>
      <c r="C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spans="1:14">
      <c r="A38" s="4"/>
      <c r="B38" s="4"/>
      <c r="C38" s="4"/>
      <c r="E38" s="4"/>
      <c r="F38" s="4"/>
      <c r="G38" s="4"/>
      <c r="H38" s="4"/>
      <c r="I38" s="4"/>
      <c r="J38" s="4"/>
      <c r="K38" s="4"/>
      <c r="L38" s="4"/>
      <c r="M38" s="4"/>
      <c r="N38" s="4"/>
    </row>
    <row r="39" spans="1:14">
      <c r="A39" s="4"/>
      <c r="B39" s="4"/>
      <c r="C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spans="1:14">
      <c r="A40" s="4"/>
      <c r="B40" s="4"/>
      <c r="C40" s="4"/>
      <c r="E40" s="4"/>
      <c r="F40" s="4"/>
      <c r="G40" s="4"/>
      <c r="H40" s="4"/>
      <c r="I40" s="4"/>
      <c r="J40" s="4"/>
      <c r="K40" s="4"/>
      <c r="L40" s="4"/>
      <c r="M40" s="4"/>
      <c r="N40" s="4"/>
    </row>
    <row r="41" spans="1:14">
      <c r="A41" s="4"/>
      <c r="B41" s="4"/>
      <c r="C41" s="4"/>
      <c r="E41" s="4"/>
      <c r="F41" s="4"/>
      <c r="G41" s="4"/>
      <c r="H41" s="4"/>
      <c r="I41" s="4"/>
      <c r="J41" s="4"/>
      <c r="K41" s="4"/>
      <c r="L41" s="4"/>
      <c r="M41" s="4"/>
      <c r="N41" s="4"/>
    </row>
    <row r="42" spans="1:14">
      <c r="A42" s="4"/>
      <c r="B42" s="4"/>
      <c r="C42" s="4"/>
      <c r="E42" s="4"/>
      <c r="F42" s="4"/>
      <c r="G42" s="4"/>
      <c r="H42" s="4"/>
      <c r="I42" s="4"/>
      <c r="J42" s="4"/>
      <c r="K42" s="4"/>
      <c r="L42" s="4"/>
      <c r="M42" s="4"/>
      <c r="N42" s="4"/>
    </row>
    <row r="43" spans="1:14">
      <c r="A43" s="4"/>
      <c r="B43" s="4"/>
      <c r="C43" s="4"/>
      <c r="E43" s="4"/>
      <c r="F43" s="4"/>
      <c r="G43" s="4"/>
      <c r="H43" s="4"/>
      <c r="I43" s="4"/>
      <c r="J43" s="4"/>
      <c r="K43" s="4"/>
      <c r="L43" s="4"/>
      <c r="M43" s="4"/>
      <c r="N43" s="4"/>
    </row>
    <row r="44" spans="1:14">
      <c r="A44" s="4"/>
      <c r="B44" s="4"/>
      <c r="C44" s="4"/>
      <c r="E44" s="4"/>
      <c r="F44" s="4"/>
      <c r="G44" s="4"/>
      <c r="H44" s="4"/>
      <c r="I44" s="4"/>
      <c r="J44" s="4"/>
      <c r="K44" s="4"/>
      <c r="L44" s="4"/>
      <c r="M44" s="4"/>
      <c r="N44" s="4"/>
    </row>
    <row r="45" spans="1:14">
      <c r="A45" s="4"/>
      <c r="B45" s="4"/>
      <c r="C45" s="4"/>
      <c r="E45" s="4"/>
      <c r="F45" s="4"/>
      <c r="G45" s="4"/>
      <c r="H45" s="4"/>
      <c r="I45" s="4"/>
      <c r="J45" s="4"/>
      <c r="K45" s="4"/>
      <c r="L45" s="4"/>
      <c r="M45" s="4"/>
      <c r="N45" s="4"/>
    </row>
    <row r="46" spans="1:14">
      <c r="A46" s="4"/>
      <c r="B46" s="4"/>
      <c r="C46" s="4"/>
      <c r="E46" s="4"/>
      <c r="F46" s="4"/>
      <c r="G46" s="4"/>
      <c r="H46" s="4"/>
      <c r="I46" s="4"/>
      <c r="J46" s="4"/>
      <c r="K46" s="4"/>
      <c r="L46" s="4"/>
      <c r="M46" s="4"/>
      <c r="N46" s="4"/>
    </row>
    <row r="47" spans="1:14">
      <c r="A47" s="4"/>
      <c r="B47" s="4"/>
      <c r="C47" s="4"/>
      <c r="E47" s="4"/>
      <c r="F47" s="4"/>
      <c r="G47" s="4"/>
      <c r="H47" s="4"/>
      <c r="I47" s="4"/>
      <c r="J47" s="4"/>
      <c r="K47" s="4"/>
      <c r="L47" s="4"/>
      <c r="M47" s="4"/>
      <c r="N47" s="4"/>
    </row>
    <row r="48" spans="1:14">
      <c r="A48" s="4"/>
      <c r="B48" s="4"/>
      <c r="C48" s="4"/>
      <c r="E48" s="4"/>
      <c r="F48" s="4"/>
      <c r="G48" s="4"/>
      <c r="H48" s="4"/>
      <c r="I48" s="4"/>
      <c r="J48" s="4"/>
      <c r="K48" s="4"/>
      <c r="L48" s="4"/>
      <c r="M48" s="4"/>
      <c r="N48" s="4"/>
    </row>
    <row r="49" spans="1:14">
      <c r="A49" s="4"/>
      <c r="B49" s="4"/>
      <c r="C49" s="4"/>
      <c r="E49" s="4"/>
      <c r="F49" s="4"/>
      <c r="G49" s="4"/>
      <c r="H49" s="4"/>
      <c r="I49" s="4"/>
      <c r="J49" s="4"/>
      <c r="K49" s="4"/>
      <c r="L49" s="4"/>
      <c r="M49" s="4"/>
      <c r="N49" s="4"/>
    </row>
    <row r="50" spans="1:14">
      <c r="A50" s="4"/>
      <c r="B50" s="4"/>
      <c r="C50" s="4"/>
      <c r="E50" s="4"/>
      <c r="F50" s="4"/>
      <c r="G50" s="4"/>
      <c r="H50" s="4"/>
      <c r="I50" s="4"/>
      <c r="J50" s="4"/>
      <c r="K50" s="4"/>
      <c r="L50" s="4"/>
      <c r="M50" s="4"/>
      <c r="N50" s="4"/>
    </row>
    <row r="51" spans="1:14">
      <c r="A51" s="4"/>
      <c r="B51" s="4"/>
      <c r="C51" s="4"/>
      <c r="E51" s="4"/>
      <c r="F51" s="4"/>
      <c r="G51" s="4"/>
      <c r="H51" s="4"/>
      <c r="I51" s="4"/>
      <c r="J51" s="4"/>
      <c r="K51" s="4"/>
      <c r="L51" s="4"/>
      <c r="M51" s="4"/>
      <c r="N51" s="4"/>
    </row>
    <row r="52" spans="1:14">
      <c r="A52" s="4"/>
      <c r="B52" s="4"/>
      <c r="C52" s="4"/>
      <c r="E52" s="4"/>
      <c r="F52" s="4"/>
      <c r="G52" s="4"/>
      <c r="H52" s="4"/>
      <c r="I52" s="4"/>
      <c r="J52" s="4"/>
      <c r="K52" s="4"/>
      <c r="L52" s="4"/>
      <c r="M52" s="4"/>
      <c r="N52" s="4"/>
    </row>
    <row r="53" spans="1:14">
      <c r="A53" s="4"/>
      <c r="B53" s="4"/>
      <c r="C53" s="4"/>
      <c r="E53" s="4"/>
      <c r="F53" s="4"/>
      <c r="G53" s="4"/>
      <c r="H53" s="4"/>
      <c r="I53" s="4"/>
      <c r="J53" s="4"/>
      <c r="K53" s="4"/>
      <c r="L53" s="4"/>
      <c r="M53" s="4"/>
      <c r="N53" s="4"/>
    </row>
    <row r="54" spans="1:14">
      <c r="A54" s="4"/>
      <c r="B54" s="4"/>
      <c r="C54" s="4"/>
      <c r="E54" s="4"/>
      <c r="F54" s="4"/>
      <c r="G54" s="4"/>
      <c r="H54" s="4"/>
      <c r="I54" s="4"/>
      <c r="J54" s="4"/>
      <c r="K54" s="4"/>
      <c r="L54" s="4"/>
      <c r="M54" s="4"/>
      <c r="N54" s="4"/>
    </row>
    <row r="55" spans="1:14">
      <c r="A55" s="4"/>
      <c r="B55" s="4"/>
      <c r="C55" s="4"/>
      <c r="E55" s="4"/>
      <c r="F55" s="4"/>
      <c r="G55" s="4"/>
      <c r="H55" s="4"/>
      <c r="I55" s="4"/>
      <c r="J55" s="4"/>
      <c r="K55" s="4"/>
      <c r="L55" s="4"/>
      <c r="M55" s="4"/>
      <c r="N55" s="4"/>
    </row>
    <row r="56" spans="1:14">
      <c r="A56" s="4"/>
      <c r="B56" s="4"/>
      <c r="C56" s="4"/>
      <c r="E56" s="4"/>
      <c r="F56" s="4"/>
      <c r="G56" s="4"/>
      <c r="H56" s="4"/>
      <c r="I56" s="4"/>
      <c r="J56" s="4"/>
      <c r="K56" s="4"/>
      <c r="L56" s="4"/>
      <c r="M56" s="4"/>
      <c r="N56" s="4"/>
    </row>
    <row r="57" spans="1:14">
      <c r="A57" s="4"/>
      <c r="B57" s="4"/>
      <c r="C57" s="4"/>
      <c r="E57" s="4"/>
      <c r="F57" s="4"/>
      <c r="G57" s="4"/>
      <c r="H57" s="4"/>
      <c r="I57" s="4"/>
      <c r="J57" s="4"/>
      <c r="K57" s="4"/>
      <c r="L57" s="4"/>
      <c r="M57" s="4"/>
      <c r="N57" s="4"/>
    </row>
    <row r="58" spans="1:14">
      <c r="A58" s="4"/>
      <c r="B58" s="4"/>
      <c r="C58" s="4"/>
      <c r="E58" s="4"/>
      <c r="F58" s="4"/>
      <c r="G58" s="4"/>
      <c r="H58" s="4"/>
      <c r="I58" s="4"/>
      <c r="J58" s="4"/>
      <c r="K58" s="4"/>
      <c r="L58" s="4"/>
      <c r="M58" s="4"/>
      <c r="N58" s="4"/>
    </row>
    <row r="59" spans="1:14">
      <c r="A59" s="4"/>
      <c r="B59" s="4"/>
      <c r="C59" s="4"/>
      <c r="E59" s="4"/>
      <c r="F59" s="4"/>
      <c r="G59" s="4"/>
      <c r="H59" s="4"/>
      <c r="I59" s="4"/>
      <c r="J59" s="4"/>
      <c r="K59" s="4"/>
      <c r="L59" s="4"/>
      <c r="M59" s="4"/>
      <c r="N59" s="4"/>
    </row>
    <row r="60" spans="1:14">
      <c r="A60" s="4"/>
      <c r="B60" s="4"/>
      <c r="C60" s="4"/>
      <c r="E60" s="4"/>
      <c r="F60" s="4"/>
      <c r="G60" s="4"/>
      <c r="H60" s="4"/>
      <c r="I60" s="4"/>
      <c r="J60" s="4"/>
      <c r="K60" s="4"/>
      <c r="L60" s="4"/>
      <c r="M60" s="4"/>
      <c r="N60" s="4"/>
    </row>
    <row r="61" spans="1:14">
      <c r="A61" s="4"/>
      <c r="B61" s="4"/>
      <c r="C61" s="4"/>
      <c r="E61" s="4"/>
      <c r="F61" s="4"/>
      <c r="G61" s="4"/>
      <c r="H61" s="4"/>
      <c r="I61" s="4"/>
      <c r="J61" s="4"/>
      <c r="K61" s="4"/>
      <c r="L61" s="4"/>
      <c r="M61" s="4"/>
      <c r="N61" s="4"/>
    </row>
    <row r="62" spans="1:14">
      <c r="A62" s="4"/>
      <c r="B62" s="4"/>
      <c r="C62" s="4"/>
      <c r="E62" s="4"/>
      <c r="F62" s="4"/>
      <c r="G62" s="4"/>
      <c r="H62" s="4"/>
      <c r="I62" s="4"/>
      <c r="J62" s="4"/>
      <c r="K62" s="4"/>
      <c r="L62" s="4"/>
      <c r="M62" s="4"/>
      <c r="N62" s="4"/>
    </row>
    <row r="63" spans="1:14">
      <c r="A63" s="4"/>
      <c r="B63" s="4"/>
      <c r="C63" s="4"/>
      <c r="E63" s="4"/>
      <c r="F63" s="4"/>
      <c r="G63" s="4"/>
      <c r="H63" s="4"/>
      <c r="I63" s="4"/>
      <c r="J63" s="4"/>
      <c r="K63" s="4"/>
      <c r="L63" s="4"/>
      <c r="M63" s="4"/>
      <c r="N63" s="4"/>
    </row>
    <row r="64" spans="1:14">
      <c r="A64" s="4"/>
      <c r="B64" s="4"/>
      <c r="C64" s="4"/>
      <c r="E64" s="4"/>
      <c r="F64" s="4"/>
      <c r="G64" s="4"/>
      <c r="H64" s="4"/>
      <c r="I64" s="4"/>
      <c r="J64" s="4"/>
      <c r="K64" s="4"/>
      <c r="L64" s="4"/>
      <c r="M64" s="4"/>
      <c r="N64" s="4"/>
    </row>
    <row r="65" spans="1:14">
      <c r="A65" s="4"/>
      <c r="B65" s="4"/>
      <c r="C65" s="4"/>
      <c r="E65" s="4"/>
      <c r="F65" s="4"/>
      <c r="G65" s="4"/>
      <c r="H65" s="4"/>
      <c r="I65" s="4"/>
      <c r="J65" s="4"/>
      <c r="K65" s="4"/>
      <c r="L65" s="4"/>
      <c r="M65" s="4"/>
      <c r="N65" s="4"/>
    </row>
    <row r="66" spans="1:14">
      <c r="A66" s="4"/>
      <c r="B66" s="4"/>
      <c r="C66" s="4"/>
      <c r="E66" s="4"/>
      <c r="F66" s="4"/>
      <c r="G66" s="4"/>
      <c r="H66" s="4"/>
      <c r="I66" s="4"/>
      <c r="J66" s="4"/>
      <c r="K66" s="4"/>
      <c r="L66" s="4"/>
      <c r="M66" s="4"/>
      <c r="N66" s="4"/>
    </row>
    <row r="67" spans="1:14">
      <c r="A67" s="4"/>
      <c r="B67" s="4"/>
      <c r="C67" s="4"/>
      <c r="E67" s="4"/>
      <c r="F67" s="4"/>
      <c r="G67" s="4"/>
      <c r="H67" s="4"/>
      <c r="I67" s="4"/>
      <c r="J67" s="4"/>
      <c r="K67" s="4"/>
      <c r="L67" s="4"/>
      <c r="M67" s="4"/>
      <c r="N67" s="4"/>
    </row>
    <row r="68" spans="1:14">
      <c r="A68" s="4"/>
      <c r="B68" s="4"/>
      <c r="C68" s="4"/>
      <c r="E68" s="4"/>
      <c r="F68" s="4"/>
      <c r="G68" s="4"/>
      <c r="H68" s="4"/>
      <c r="I68" s="4"/>
      <c r="J68" s="4"/>
      <c r="K68" s="4"/>
      <c r="L68" s="4"/>
      <c r="M68" s="4"/>
      <c r="N68" s="4"/>
    </row>
    <row r="69" spans="1:14">
      <c r="A69" s="4"/>
      <c r="B69" s="4"/>
      <c r="C69" s="4"/>
      <c r="E69" s="4"/>
      <c r="F69" s="4"/>
      <c r="G69" s="4"/>
      <c r="H69" s="4"/>
      <c r="I69" s="4"/>
      <c r="J69" s="4"/>
      <c r="K69" s="4"/>
      <c r="L69" s="4"/>
      <c r="M69" s="4"/>
      <c r="N69" s="4"/>
    </row>
    <row r="70" spans="1:14">
      <c r="A70" s="4"/>
      <c r="B70" s="4"/>
      <c r="C70" s="4"/>
      <c r="E70" s="4"/>
      <c r="F70" s="4"/>
      <c r="G70" s="4"/>
      <c r="H70" s="4"/>
      <c r="I70" s="4"/>
      <c r="J70" s="4"/>
      <c r="K70" s="4"/>
      <c r="L70" s="4"/>
      <c r="M70" s="4"/>
      <c r="N70" s="4"/>
    </row>
    <row r="71" spans="1:14">
      <c r="A71" s="4"/>
      <c r="B71" s="4"/>
      <c r="C71" s="4"/>
      <c r="E71" s="4"/>
      <c r="F71" s="4"/>
      <c r="G71" s="4"/>
      <c r="H71" s="4"/>
      <c r="I71" s="4"/>
      <c r="J71" s="4"/>
      <c r="K71" s="4"/>
      <c r="L71" s="4"/>
      <c r="M71" s="4"/>
      <c r="N71" s="4"/>
    </row>
    <row r="72" spans="1:14">
      <c r="A72" s="4"/>
      <c r="B72" s="4"/>
      <c r="C72" s="4"/>
      <c r="E72" s="4"/>
      <c r="F72" s="4"/>
      <c r="G72" s="4"/>
      <c r="H72" s="4"/>
      <c r="I72" s="4"/>
      <c r="J72" s="4"/>
      <c r="K72" s="4"/>
      <c r="L72" s="4"/>
      <c r="M72" s="4"/>
      <c r="N72" s="4"/>
    </row>
    <row r="73" spans="1:14">
      <c r="A73" s="4"/>
      <c r="B73" s="4"/>
      <c r="C73" s="4"/>
      <c r="E73" s="4"/>
      <c r="F73" s="4"/>
      <c r="G73" s="4"/>
      <c r="H73" s="4"/>
      <c r="I73" s="4"/>
      <c r="J73" s="4"/>
      <c r="K73" s="4"/>
      <c r="L73" s="4"/>
      <c r="M73" s="4"/>
      <c r="N73" s="4"/>
    </row>
    <row r="74" spans="1:14">
      <c r="A74" s="4"/>
      <c r="B74" s="4"/>
      <c r="C74" s="4"/>
      <c r="E74" s="4"/>
      <c r="F74" s="4"/>
      <c r="G74" s="4"/>
      <c r="H74" s="4"/>
      <c r="I74" s="4"/>
      <c r="J74" s="4"/>
      <c r="K74" s="4"/>
      <c r="L74" s="4"/>
      <c r="M74" s="4"/>
      <c r="N74" s="4"/>
    </row>
    <row r="75" spans="1:14">
      <c r="A75" s="4"/>
      <c r="B75" s="4"/>
      <c r="C75" s="4"/>
      <c r="E75" s="4"/>
      <c r="F75" s="4"/>
      <c r="G75" s="4"/>
      <c r="H75" s="4"/>
      <c r="I75" s="4"/>
      <c r="J75" s="4"/>
      <c r="K75" s="4"/>
      <c r="L75" s="4"/>
      <c r="M75" s="4"/>
      <c r="N75" s="4"/>
    </row>
    <row r="76" spans="1:14">
      <c r="A76" s="4"/>
      <c r="B76" s="4"/>
      <c r="C76" s="4"/>
      <c r="E76" s="4"/>
      <c r="F76" s="4"/>
      <c r="G76" s="4"/>
      <c r="H76" s="4"/>
      <c r="I76" s="4"/>
      <c r="J76" s="4"/>
      <c r="K76" s="4"/>
      <c r="L76" s="4"/>
      <c r="M76" s="4"/>
      <c r="N76" s="4"/>
    </row>
    <row r="77" spans="1:14">
      <c r="A77" s="4"/>
      <c r="B77" s="4"/>
      <c r="C77" s="4"/>
      <c r="E77" s="4"/>
      <c r="F77" s="4"/>
      <c r="G77" s="4"/>
      <c r="H77" s="4"/>
      <c r="I77" s="4"/>
      <c r="J77" s="4"/>
      <c r="K77" s="4"/>
      <c r="L77" s="4"/>
      <c r="M77" s="4"/>
      <c r="N77" s="4"/>
    </row>
    <row r="78" spans="1:14">
      <c r="A78" s="4"/>
      <c r="B78" s="4"/>
      <c r="C78" s="4"/>
      <c r="E78" s="4"/>
      <c r="F78" s="4"/>
      <c r="G78" s="4"/>
      <c r="H78" s="4"/>
      <c r="I78" s="4"/>
      <c r="J78" s="4"/>
      <c r="K78" s="4"/>
      <c r="L78" s="4"/>
      <c r="M78" s="4"/>
      <c r="N78" s="4"/>
    </row>
    <row r="79" spans="1:14">
      <c r="A79" s="4"/>
      <c r="B79" s="4"/>
      <c r="C79" s="4"/>
      <c r="E79" s="4"/>
      <c r="F79" s="4"/>
      <c r="G79" s="4"/>
      <c r="H79" s="4"/>
      <c r="I79" s="4"/>
      <c r="J79" s="4"/>
      <c r="K79" s="4"/>
      <c r="L79" s="4"/>
      <c r="M79" s="4"/>
      <c r="N79" s="4"/>
    </row>
    <row r="80" spans="1:14">
      <c r="A80" s="4"/>
      <c r="B80" s="4"/>
      <c r="C80" s="4"/>
      <c r="E80" s="4"/>
      <c r="F80" s="4"/>
      <c r="G80" s="4"/>
      <c r="H80" s="4"/>
      <c r="I80" s="4"/>
      <c r="J80" s="4"/>
      <c r="K80" s="4"/>
      <c r="L80" s="4"/>
      <c r="M80" s="4"/>
      <c r="N80" s="4"/>
    </row>
    <row r="81" spans="1:14">
      <c r="A81" s="4"/>
      <c r="B81" s="4"/>
      <c r="C81" s="4"/>
      <c r="E81" s="4"/>
      <c r="F81" s="4"/>
      <c r="G81" s="4"/>
      <c r="H81" s="4"/>
      <c r="I81" s="4"/>
      <c r="J81" s="4"/>
      <c r="K81" s="4"/>
      <c r="L81" s="4"/>
      <c r="M81" s="4"/>
      <c r="N81" s="4"/>
    </row>
    <row r="82" spans="1:14">
      <c r="A82" s="4"/>
      <c r="B82" s="4"/>
      <c r="C82" s="4"/>
      <c r="E82" s="4"/>
      <c r="F82" s="4"/>
      <c r="G82" s="4"/>
      <c r="H82" s="4"/>
      <c r="I82" s="4"/>
      <c r="J82" s="4"/>
      <c r="K82" s="4"/>
      <c r="L82" s="4"/>
      <c r="M82" s="4"/>
      <c r="N82" s="4"/>
    </row>
    <row r="83" spans="1:14">
      <c r="A83" s="4"/>
      <c r="B83" s="4"/>
      <c r="C83" s="4"/>
      <c r="E83" s="4"/>
      <c r="F83" s="4"/>
      <c r="G83" s="4"/>
      <c r="H83" s="4"/>
      <c r="I83" s="4"/>
      <c r="J83" s="4"/>
      <c r="K83" s="4"/>
      <c r="L83" s="4"/>
      <c r="M83" s="4"/>
      <c r="N83" s="4"/>
    </row>
    <row r="84" spans="1:14">
      <c r="A84" s="4"/>
      <c r="B84" s="4"/>
      <c r="C84" s="4"/>
      <c r="E84" s="4"/>
      <c r="F84" s="4"/>
      <c r="G84" s="4"/>
      <c r="H84" s="4"/>
      <c r="I84" s="4"/>
      <c r="J84" s="4"/>
      <c r="K84" s="4"/>
      <c r="L84" s="4"/>
      <c r="M84" s="4"/>
      <c r="N84" s="4"/>
    </row>
    <row r="85" spans="1:14">
      <c r="A85" s="4"/>
      <c r="B85" s="4"/>
      <c r="C85" s="4"/>
      <c r="E85" s="4"/>
      <c r="F85" s="4"/>
      <c r="G85" s="4"/>
      <c r="H85" s="4"/>
      <c r="I85" s="4"/>
      <c r="J85" s="4"/>
      <c r="K85" s="4"/>
      <c r="L85" s="4"/>
      <c r="M85" s="4"/>
      <c r="N85" s="4"/>
    </row>
    <row r="86" spans="1:14">
      <c r="A86" s="4"/>
      <c r="B86" s="4"/>
      <c r="C86" s="4"/>
      <c r="E86" s="4"/>
      <c r="F86" s="4"/>
      <c r="G86" s="4"/>
      <c r="H86" s="4"/>
      <c r="I86" s="4"/>
      <c r="J86" s="4"/>
      <c r="K86" s="4"/>
      <c r="L86" s="4"/>
      <c r="M86" s="4"/>
      <c r="N86" s="4"/>
    </row>
    <row r="87" spans="1:14">
      <c r="A87" s="4"/>
      <c r="B87" s="4"/>
      <c r="C87" s="4"/>
      <c r="E87" s="4"/>
      <c r="F87" s="4"/>
      <c r="G87" s="4"/>
      <c r="H87" s="4"/>
      <c r="I87" s="4"/>
      <c r="J87" s="4"/>
      <c r="K87" s="4"/>
      <c r="L87" s="4"/>
      <c r="M87" s="4"/>
      <c r="N87" s="4"/>
    </row>
    <row r="88" spans="1:14">
      <c r="A88" s="4"/>
      <c r="B88" s="4"/>
      <c r="C88" s="4"/>
      <c r="E88" s="4"/>
      <c r="F88" s="4"/>
      <c r="G88" s="4"/>
      <c r="H88" s="4"/>
      <c r="I88" s="4"/>
      <c r="J88" s="4"/>
      <c r="K88" s="4"/>
      <c r="L88" s="4"/>
      <c r="M88" s="4"/>
      <c r="N88" s="4"/>
    </row>
    <row r="89" spans="1:14">
      <c r="A89" s="4"/>
      <c r="B89" s="4"/>
      <c r="C89" s="4"/>
      <c r="E89" s="4"/>
      <c r="F89" s="4"/>
      <c r="G89" s="4"/>
      <c r="H89" s="4"/>
      <c r="I89" s="4"/>
      <c r="J89" s="4"/>
      <c r="K89" s="4"/>
      <c r="L89" s="4"/>
      <c r="M89" s="4"/>
      <c r="N89" s="4"/>
    </row>
    <row r="90" spans="1:14">
      <c r="A90" s="4"/>
      <c r="B90" s="4"/>
      <c r="C90" s="4"/>
      <c r="E90" s="4"/>
      <c r="F90" s="4"/>
      <c r="G90" s="4"/>
      <c r="H90" s="4"/>
      <c r="I90" s="4"/>
      <c r="J90" s="4"/>
      <c r="K90" s="4"/>
      <c r="L90" s="4"/>
      <c r="M90" s="4"/>
      <c r="N90" s="4"/>
    </row>
    <row r="91" spans="1:14">
      <c r="A91" s="4"/>
      <c r="B91" s="4"/>
      <c r="C91" s="4"/>
      <c r="E91" s="4"/>
      <c r="F91" s="4"/>
      <c r="G91" s="4"/>
      <c r="H91" s="4"/>
      <c r="I91" s="4"/>
      <c r="J91" s="4"/>
      <c r="K91" s="4"/>
      <c r="L91" s="4"/>
      <c r="M91" s="4"/>
      <c r="N91" s="4"/>
    </row>
    <row r="92" spans="1:14">
      <c r="A92" s="4"/>
      <c r="B92" s="4"/>
      <c r="C92" s="4"/>
      <c r="E92" s="4"/>
      <c r="F92" s="4"/>
      <c r="G92" s="4"/>
      <c r="H92" s="4"/>
      <c r="I92" s="4"/>
      <c r="J92" s="4"/>
      <c r="K92" s="4"/>
      <c r="L92" s="4"/>
      <c r="M92" s="4"/>
      <c r="N92" s="4"/>
    </row>
    <row r="93" spans="1:14">
      <c r="A93" s="4"/>
      <c r="B93" s="4"/>
      <c r="C93" s="4"/>
      <c r="E93" s="4"/>
      <c r="F93" s="4"/>
      <c r="G93" s="4"/>
      <c r="H93" s="4"/>
      <c r="I93" s="4"/>
      <c r="J93" s="4"/>
      <c r="K93" s="4"/>
      <c r="L93" s="4"/>
      <c r="M93" s="4"/>
      <c r="N93" s="4"/>
    </row>
    <row r="94" spans="1:14">
      <c r="A94" s="4"/>
      <c r="B94" s="4"/>
      <c r="C94" s="4"/>
      <c r="E94" s="4"/>
      <c r="F94" s="4"/>
      <c r="G94" s="4"/>
      <c r="H94" s="4"/>
      <c r="I94" s="4"/>
      <c r="J94" s="4"/>
      <c r="K94" s="4"/>
      <c r="L94" s="4"/>
      <c r="M94" s="4"/>
      <c r="N94" s="4"/>
    </row>
    <row r="95" spans="1:14">
      <c r="A95" s="4"/>
      <c r="B95" s="4"/>
      <c r="C95" s="4"/>
      <c r="E95" s="4"/>
      <c r="F95" s="4"/>
      <c r="G95" s="4"/>
      <c r="H95" s="4"/>
      <c r="I95" s="4"/>
      <c r="J95" s="4"/>
      <c r="K95" s="4"/>
      <c r="L95" s="4"/>
      <c r="M95" s="4"/>
      <c r="N95" s="4"/>
    </row>
    <row r="96" spans="1:14">
      <c r="A96" s="4"/>
      <c r="B96" s="4"/>
      <c r="C96" s="4"/>
      <c r="E96" s="4"/>
      <c r="F96" s="4"/>
      <c r="G96" s="4"/>
      <c r="H96" s="4"/>
      <c r="I96" s="4"/>
      <c r="J96" s="4"/>
      <c r="K96" s="4"/>
      <c r="L96" s="4"/>
      <c r="M96" s="4"/>
      <c r="N96" s="4"/>
    </row>
    <row r="97" spans="1:14">
      <c r="A97" s="4"/>
      <c r="B97" s="4"/>
      <c r="C97" s="4"/>
      <c r="E97" s="4"/>
      <c r="F97" s="4"/>
      <c r="G97" s="4"/>
      <c r="H97" s="4"/>
      <c r="I97" s="4"/>
      <c r="J97" s="4"/>
      <c r="K97" s="4"/>
      <c r="L97" s="4"/>
      <c r="M97" s="4"/>
      <c r="N97" s="4"/>
    </row>
    <row r="98" spans="1:14">
      <c r="A98" s="4"/>
      <c r="B98" s="4"/>
      <c r="C98" s="4"/>
      <c r="E98" s="4"/>
      <c r="F98" s="4"/>
      <c r="G98" s="4"/>
      <c r="H98" s="4"/>
      <c r="I98" s="4"/>
      <c r="J98" s="4"/>
      <c r="K98" s="4"/>
      <c r="L98" s="4"/>
      <c r="M98" s="4"/>
      <c r="N98" s="4"/>
    </row>
    <row r="99" spans="1:14">
      <c r="A99" s="4"/>
      <c r="B99" s="4"/>
      <c r="C99" s="4"/>
      <c r="E99" s="4"/>
      <c r="F99" s="4"/>
      <c r="G99" s="4"/>
      <c r="H99" s="4"/>
      <c r="I99" s="4"/>
      <c r="J99" s="4"/>
      <c r="K99" s="4"/>
      <c r="L99" s="4"/>
      <c r="M99" s="4"/>
      <c r="N99" s="4"/>
    </row>
    <row r="100" spans="1:14">
      <c r="A100" s="4"/>
      <c r="B100" s="4"/>
      <c r="C100" s="4"/>
      <c r="E100" s="4"/>
      <c r="F100" s="4"/>
      <c r="G100" s="4"/>
      <c r="H100" s="4"/>
      <c r="I100" s="4"/>
      <c r="J100" s="4"/>
      <c r="K100" s="4"/>
      <c r="L100" s="4"/>
      <c r="M100" s="4"/>
      <c r="N100" s="4"/>
    </row>
    <row r="101" spans="1:14">
      <c r="A101" s="4"/>
      <c r="B101" s="4"/>
      <c r="C101" s="4"/>
      <c r="E101" s="4"/>
      <c r="F101" s="4"/>
      <c r="G101" s="4"/>
      <c r="H101" s="4"/>
      <c r="I101" s="4"/>
      <c r="J101" s="4"/>
      <c r="K101" s="4"/>
      <c r="L101" s="4"/>
      <c r="M101" s="4"/>
      <c r="N101" s="4"/>
    </row>
    <row r="102" spans="1:14">
      <c r="A102" s="4"/>
      <c r="B102" s="4"/>
      <c r="C102" s="4"/>
      <c r="E102" s="4"/>
      <c r="F102" s="4"/>
      <c r="G102" s="4"/>
      <c r="H102" s="4"/>
      <c r="I102" s="4"/>
      <c r="J102" s="4"/>
      <c r="K102" s="4"/>
      <c r="L102" s="4"/>
      <c r="M102" s="4"/>
      <c r="N102" s="4"/>
    </row>
    <row r="103" spans="1:14">
      <c r="A103" s="4"/>
      <c r="B103" s="4"/>
      <c r="C103" s="4"/>
      <c r="E103" s="4"/>
      <c r="F103" s="4"/>
      <c r="G103" s="4"/>
      <c r="H103" s="4"/>
      <c r="I103" s="4"/>
      <c r="J103" s="4"/>
      <c r="K103" s="4"/>
      <c r="L103" s="4"/>
      <c r="M103" s="4"/>
      <c r="N103" s="4"/>
    </row>
    <row r="104" spans="1:14">
      <c r="A104" s="4"/>
      <c r="B104" s="4"/>
      <c r="C104" s="4"/>
      <c r="E104" s="4"/>
      <c r="F104" s="4"/>
      <c r="G104" s="4"/>
      <c r="H104" s="4"/>
      <c r="I104" s="4"/>
      <c r="J104" s="4"/>
      <c r="K104" s="4"/>
      <c r="L104" s="4"/>
      <c r="M104" s="4"/>
      <c r="N104" s="4"/>
    </row>
    <row r="105" spans="1:14">
      <c r="A105" s="4"/>
      <c r="B105" s="4"/>
      <c r="C105" s="4"/>
      <c r="E105" s="4"/>
      <c r="F105" s="4"/>
      <c r="G105" s="4"/>
      <c r="H105" s="4"/>
      <c r="I105" s="4"/>
      <c r="J105" s="4"/>
      <c r="K105" s="4"/>
      <c r="L105" s="4"/>
      <c r="M105" s="4"/>
      <c r="N105" s="4"/>
    </row>
    <row r="106" spans="1:14">
      <c r="A106" s="4"/>
      <c r="B106" s="4"/>
      <c r="C106" s="4"/>
      <c r="E106" s="4"/>
      <c r="F106" s="4"/>
      <c r="G106" s="4"/>
      <c r="H106" s="4"/>
      <c r="I106" s="4"/>
      <c r="J106" s="4"/>
      <c r="K106" s="4"/>
      <c r="L106" s="4"/>
      <c r="M106" s="4"/>
      <c r="N106" s="4"/>
    </row>
    <row r="107" spans="1:14">
      <c r="A107" s="4"/>
      <c r="B107" s="4"/>
      <c r="C107" s="4"/>
      <c r="E107" s="4"/>
      <c r="F107" s="4"/>
      <c r="G107" s="4"/>
      <c r="H107" s="4"/>
      <c r="I107" s="4"/>
      <c r="J107" s="4"/>
      <c r="K107" s="4"/>
      <c r="L107" s="4"/>
      <c r="M107" s="4"/>
      <c r="N107" s="4"/>
    </row>
    <row r="108" spans="1:14">
      <c r="A108" s="4"/>
      <c r="B108" s="4"/>
      <c r="C108" s="4"/>
      <c r="E108" s="4"/>
      <c r="F108" s="4"/>
      <c r="G108" s="4"/>
      <c r="H108" s="4"/>
      <c r="I108" s="4"/>
      <c r="J108" s="4"/>
      <c r="K108" s="4"/>
      <c r="L108" s="4"/>
      <c r="M108" s="4"/>
      <c r="N108" s="4"/>
    </row>
    <row r="109" spans="1:14">
      <c r="A109" s="4"/>
      <c r="B109" s="4"/>
      <c r="C109" s="4"/>
      <c r="E109" s="4"/>
      <c r="F109" s="4"/>
      <c r="G109" s="4"/>
      <c r="H109" s="4"/>
      <c r="I109" s="4"/>
      <c r="J109" s="4"/>
      <c r="K109" s="4"/>
      <c r="L109" s="4"/>
      <c r="M109" s="4"/>
      <c r="N109" s="4"/>
    </row>
    <row r="110" spans="1:14">
      <c r="A110" s="4"/>
      <c r="B110" s="4"/>
      <c r="C110" s="4"/>
      <c r="E110" s="4"/>
      <c r="F110" s="4"/>
      <c r="G110" s="4"/>
      <c r="H110" s="4"/>
      <c r="I110" s="4"/>
      <c r="J110" s="4"/>
      <c r="K110" s="4"/>
      <c r="L110" s="4"/>
      <c r="M110" s="4"/>
      <c r="N110" s="4"/>
    </row>
    <row r="111" spans="1:14">
      <c r="A111" s="4"/>
      <c r="B111" s="4"/>
      <c r="C111" s="4"/>
      <c r="E111" s="4"/>
      <c r="F111" s="4"/>
      <c r="G111" s="4"/>
      <c r="H111" s="4"/>
      <c r="I111" s="4"/>
      <c r="J111" s="4"/>
      <c r="K111" s="4"/>
      <c r="L111" s="4"/>
      <c r="M111" s="4"/>
      <c r="N111" s="4"/>
    </row>
    <row r="112" spans="1:14">
      <c r="A112" s="4"/>
      <c r="B112" s="4"/>
      <c r="C112" s="4"/>
      <c r="E112" s="4"/>
      <c r="F112" s="4"/>
      <c r="G112" s="4"/>
      <c r="H112" s="4"/>
      <c r="I112" s="4"/>
      <c r="J112" s="4"/>
      <c r="K112" s="4"/>
      <c r="L112" s="4"/>
      <c r="M112" s="4"/>
      <c r="N112" s="4"/>
    </row>
    <row r="113" spans="1:14">
      <c r="A113" s="4"/>
      <c r="B113" s="4"/>
      <c r="C113" s="4"/>
      <c r="E113" s="4"/>
      <c r="F113" s="4"/>
      <c r="G113" s="4"/>
      <c r="H113" s="4"/>
      <c r="I113" s="4"/>
      <c r="J113" s="4"/>
      <c r="K113" s="4"/>
      <c r="L113" s="4"/>
      <c r="M113" s="4"/>
      <c r="N113" s="4"/>
    </row>
    <row r="114" spans="1:14">
      <c r="A114" s="4"/>
      <c r="B114" s="4"/>
      <c r="C114" s="4"/>
      <c r="E114" s="4"/>
      <c r="F114" s="4"/>
      <c r="G114" s="4"/>
      <c r="H114" s="4"/>
      <c r="I114" s="4"/>
      <c r="J114" s="4"/>
      <c r="K114" s="4"/>
      <c r="L114" s="4"/>
      <c r="M114" s="4"/>
      <c r="N114" s="4"/>
    </row>
    <row r="115" spans="1:14">
      <c r="A115" s="4"/>
      <c r="B115" s="4"/>
      <c r="C115" s="4"/>
      <c r="E115" s="4"/>
      <c r="F115" s="4"/>
      <c r="G115" s="4"/>
      <c r="H115" s="4"/>
      <c r="I115" s="4"/>
      <c r="J115" s="4"/>
      <c r="K115" s="4"/>
      <c r="L115" s="4"/>
      <c r="M115" s="4"/>
      <c r="N115" s="4"/>
    </row>
    <row r="116" spans="1:14">
      <c r="A116" s="4"/>
      <c r="B116" s="4"/>
      <c r="C116" s="4"/>
      <c r="E116" s="4"/>
      <c r="F116" s="4"/>
      <c r="G116" s="4"/>
      <c r="H116" s="4"/>
      <c r="I116" s="4"/>
      <c r="J116" s="4"/>
      <c r="K116" s="4"/>
      <c r="L116" s="4"/>
      <c r="M116" s="4"/>
      <c r="N116" s="4"/>
    </row>
    <row r="117" spans="1:14">
      <c r="A117" s="4"/>
      <c r="B117" s="4"/>
      <c r="C117" s="4"/>
      <c r="E117" s="4"/>
      <c r="F117" s="4"/>
      <c r="G117" s="4"/>
      <c r="H117" s="4"/>
      <c r="I117" s="4"/>
      <c r="J117" s="4"/>
      <c r="K117" s="4"/>
      <c r="L117" s="4"/>
      <c r="M117" s="4"/>
      <c r="N117" s="4"/>
    </row>
    <row r="118" spans="1:14">
      <c r="A118" s="4"/>
      <c r="B118" s="4"/>
      <c r="C118" s="4"/>
      <c r="E118" s="4"/>
      <c r="F118" s="4"/>
      <c r="G118" s="4"/>
      <c r="H118" s="4"/>
      <c r="I118" s="4"/>
      <c r="J118" s="4"/>
      <c r="K118" s="4"/>
      <c r="L118" s="4"/>
      <c r="M118" s="4"/>
      <c r="N118" s="4"/>
    </row>
    <row r="119" spans="1:14">
      <c r="A119" s="4"/>
      <c r="B119" s="4"/>
      <c r="C119" s="4"/>
      <c r="E119" s="4"/>
      <c r="F119" s="4"/>
      <c r="G119" s="4"/>
      <c r="H119" s="4"/>
      <c r="I119" s="4"/>
      <c r="J119" s="4"/>
      <c r="K119" s="4"/>
      <c r="L119" s="4"/>
      <c r="M119" s="4"/>
      <c r="N119" s="4"/>
    </row>
    <row r="120" spans="1:14">
      <c r="A120" s="4"/>
      <c r="B120" s="4"/>
      <c r="C120" s="4"/>
      <c r="E120" s="4"/>
      <c r="F120" s="4"/>
      <c r="G120" s="4"/>
      <c r="H120" s="4"/>
      <c r="I120" s="4"/>
      <c r="J120" s="4"/>
      <c r="K120" s="4"/>
      <c r="L120" s="4"/>
      <c r="M120" s="4"/>
      <c r="N120" s="4"/>
    </row>
    <row r="121" spans="1:14">
      <c r="A121" s="4"/>
      <c r="B121" s="4"/>
      <c r="C121" s="4"/>
      <c r="E121" s="4"/>
      <c r="F121" s="4"/>
      <c r="G121" s="4"/>
      <c r="H121" s="4"/>
      <c r="I121" s="4"/>
      <c r="J121" s="4"/>
      <c r="K121" s="4"/>
      <c r="L121" s="4"/>
      <c r="M121" s="4"/>
      <c r="N121" s="4"/>
    </row>
    <row r="122" spans="1:14">
      <c r="A122" s="4"/>
      <c r="B122" s="4"/>
      <c r="C122" s="4"/>
      <c r="E122" s="4"/>
      <c r="F122" s="4"/>
      <c r="G122" s="4"/>
      <c r="H122" s="4"/>
      <c r="I122" s="4"/>
      <c r="J122" s="4"/>
      <c r="K122" s="4"/>
      <c r="L122" s="4"/>
      <c r="M122" s="4"/>
      <c r="N122" s="4"/>
    </row>
    <row r="123" spans="1:14">
      <c r="A123" s="4"/>
      <c r="B123" s="4"/>
      <c r="C123" s="4"/>
      <c r="E123" s="4"/>
      <c r="F123" s="4"/>
      <c r="G123" s="4"/>
      <c r="H123" s="4"/>
      <c r="I123" s="4"/>
      <c r="J123" s="4"/>
      <c r="K123" s="4"/>
      <c r="L123" s="4"/>
      <c r="M123" s="4"/>
      <c r="N123" s="4"/>
    </row>
    <row r="124" spans="1:14">
      <c r="A124" s="4"/>
      <c r="B124" s="4"/>
      <c r="C124" s="4"/>
      <c r="E124" s="4"/>
      <c r="F124" s="4"/>
      <c r="G124" s="4"/>
      <c r="H124" s="4"/>
      <c r="I124" s="4"/>
      <c r="J124" s="4"/>
      <c r="K124" s="4"/>
      <c r="L124" s="4"/>
      <c r="M124" s="4"/>
      <c r="N124" s="4"/>
    </row>
    <row r="125" spans="1:14">
      <c r="A125" s="4"/>
      <c r="B125" s="4"/>
      <c r="C125" s="4"/>
      <c r="E125" s="4"/>
      <c r="F125" s="4"/>
      <c r="G125" s="4"/>
      <c r="H125" s="4"/>
      <c r="I125" s="4"/>
      <c r="J125" s="4"/>
      <c r="K125" s="4"/>
      <c r="L125" s="4"/>
      <c r="M125" s="4"/>
      <c r="N125" s="4"/>
    </row>
    <row r="126" spans="1:14">
      <c r="A126" s="4"/>
      <c r="B126" s="4"/>
      <c r="C126" s="4"/>
      <c r="E126" s="4"/>
      <c r="F126" s="4"/>
      <c r="G126" s="4"/>
      <c r="H126" s="4"/>
      <c r="I126" s="4"/>
      <c r="J126" s="4"/>
      <c r="K126" s="4"/>
      <c r="L126" s="4"/>
      <c r="M126" s="4"/>
      <c r="N126" s="4"/>
    </row>
    <row r="127" spans="1:14">
      <c r="A127" s="4"/>
      <c r="B127" s="4"/>
      <c r="C127" s="4"/>
      <c r="E127" s="4"/>
      <c r="F127" s="4"/>
      <c r="G127" s="4"/>
      <c r="H127" s="4"/>
      <c r="I127" s="4"/>
      <c r="J127" s="4"/>
      <c r="K127" s="4"/>
      <c r="L127" s="4"/>
      <c r="M127" s="4"/>
      <c r="N127" s="4"/>
    </row>
    <row r="128" spans="1:14">
      <c r="A128" s="4"/>
      <c r="B128" s="4"/>
      <c r="C128" s="4"/>
      <c r="E128" s="4"/>
      <c r="F128" s="4"/>
      <c r="G128" s="4"/>
      <c r="H128" s="4"/>
      <c r="I128" s="4"/>
      <c r="J128" s="4"/>
      <c r="K128" s="4"/>
      <c r="L128" s="4"/>
      <c r="M128" s="4"/>
      <c r="N128" s="4"/>
    </row>
    <row r="129" spans="1:14">
      <c r="A129" s="4"/>
      <c r="B129" s="4"/>
      <c r="C129" s="4"/>
      <c r="E129" s="4"/>
      <c r="F129" s="4"/>
      <c r="G129" s="4"/>
      <c r="H129" s="4"/>
      <c r="I129" s="4"/>
      <c r="J129" s="4"/>
      <c r="K129" s="4"/>
      <c r="L129" s="4"/>
      <c r="M129" s="4"/>
      <c r="N129" s="4"/>
    </row>
    <row r="130" spans="1:14">
      <c r="A130" s="4"/>
      <c r="B130" s="4"/>
      <c r="C130" s="4"/>
      <c r="E130" s="4"/>
      <c r="F130" s="4"/>
      <c r="G130" s="4"/>
      <c r="H130" s="4"/>
      <c r="I130" s="4"/>
      <c r="J130" s="4"/>
      <c r="K130" s="4"/>
      <c r="L130" s="4"/>
      <c r="M130" s="4"/>
      <c r="N130" s="4"/>
    </row>
    <row r="131" spans="1:14">
      <c r="A131" s="4"/>
      <c r="B131" s="4"/>
      <c r="C131" s="4"/>
      <c r="E131" s="4"/>
      <c r="F131" s="4"/>
      <c r="G131" s="4"/>
      <c r="H131" s="4"/>
      <c r="I131" s="4"/>
      <c r="J131" s="4"/>
      <c r="K131" s="4"/>
      <c r="L131" s="4"/>
      <c r="M131" s="4"/>
      <c r="N131" s="4"/>
    </row>
    <row r="132" spans="1:14">
      <c r="A132" s="4"/>
      <c r="B132" s="4"/>
      <c r="C132" s="4"/>
      <c r="E132" s="4"/>
      <c r="F132" s="4"/>
      <c r="G132" s="4"/>
      <c r="H132" s="4"/>
      <c r="I132" s="4"/>
      <c r="J132" s="4"/>
      <c r="K132" s="4"/>
      <c r="L132" s="4"/>
      <c r="M132" s="4"/>
      <c r="N132" s="4"/>
    </row>
    <row r="133" spans="1:14">
      <c r="A133" s="4"/>
      <c r="B133" s="4"/>
      <c r="C133" s="4"/>
      <c r="E133" s="4"/>
      <c r="F133" s="4"/>
      <c r="G133" s="4"/>
      <c r="H133" s="4"/>
      <c r="I133" s="4"/>
      <c r="J133" s="4"/>
      <c r="K133" s="4"/>
      <c r="L133" s="4"/>
      <c r="M133" s="4"/>
      <c r="N133" s="4"/>
    </row>
    <row r="134" spans="1:14">
      <c r="A134" s="4"/>
      <c r="B134" s="4"/>
      <c r="C134" s="4"/>
      <c r="E134" s="4"/>
      <c r="F134" s="4"/>
      <c r="G134" s="4"/>
      <c r="H134" s="4"/>
      <c r="I134" s="4"/>
      <c r="J134" s="4"/>
      <c r="K134" s="4"/>
      <c r="L134" s="4"/>
      <c r="M134" s="4"/>
      <c r="N134" s="4"/>
    </row>
    <row r="135" spans="1:14">
      <c r="A135" s="4"/>
      <c r="B135" s="4"/>
      <c r="C135" s="4"/>
      <c r="E135" s="4"/>
      <c r="F135" s="4"/>
      <c r="G135" s="4"/>
      <c r="H135" s="4"/>
      <c r="I135" s="4"/>
      <c r="J135" s="4"/>
      <c r="K135" s="4"/>
      <c r="L135" s="4"/>
      <c r="M135" s="4"/>
      <c r="N135" s="4"/>
    </row>
    <row r="136" spans="1:14">
      <c r="A136" s="4"/>
      <c r="B136" s="4"/>
      <c r="C136" s="4"/>
      <c r="E136" s="4"/>
      <c r="F136" s="4"/>
      <c r="G136" s="4"/>
      <c r="H136" s="4"/>
      <c r="I136" s="4"/>
      <c r="J136" s="4"/>
      <c r="K136" s="4"/>
      <c r="L136" s="4"/>
      <c r="M136" s="4"/>
      <c r="N136" s="4"/>
    </row>
    <row r="137" spans="1:14">
      <c r="A137" s="4"/>
      <c r="B137" s="4"/>
      <c r="C137" s="4"/>
      <c r="E137" s="4"/>
      <c r="F137" s="4"/>
      <c r="G137" s="4"/>
      <c r="H137" s="4"/>
      <c r="I137" s="4"/>
      <c r="J137" s="4"/>
      <c r="K137" s="4"/>
      <c r="L137" s="4"/>
      <c r="M137" s="4"/>
      <c r="N137" s="4"/>
    </row>
    <row r="138" spans="1:14">
      <c r="A138" s="4"/>
      <c r="B138" s="4"/>
      <c r="C138" s="4"/>
      <c r="E138" s="4"/>
      <c r="F138" s="4"/>
      <c r="G138" s="4"/>
      <c r="H138" s="4"/>
      <c r="I138" s="4"/>
      <c r="J138" s="4"/>
      <c r="K138" s="4"/>
      <c r="L138" s="4"/>
      <c r="M138" s="4"/>
      <c r="N138" s="4"/>
    </row>
    <row r="139" spans="1:14">
      <c r="A139" s="4"/>
      <c r="B139" s="4"/>
      <c r="C139" s="4"/>
      <c r="E139" s="4"/>
      <c r="F139" s="4"/>
      <c r="G139" s="4"/>
      <c r="H139" s="4"/>
      <c r="I139" s="4"/>
      <c r="J139" s="4"/>
      <c r="K139" s="4"/>
      <c r="L139" s="4"/>
      <c r="M139" s="4"/>
      <c r="N139" s="4"/>
    </row>
    <row r="140" spans="1:14">
      <c r="A140" s="4"/>
      <c r="B140" s="4"/>
      <c r="C140" s="4"/>
      <c r="E140" s="4"/>
      <c r="F140" s="4"/>
      <c r="G140" s="4"/>
      <c r="H140" s="4"/>
      <c r="I140" s="4"/>
      <c r="J140" s="4"/>
      <c r="K140" s="4"/>
      <c r="L140" s="4"/>
      <c r="M140" s="4"/>
      <c r="N140" s="4"/>
    </row>
    <row r="141" spans="1:14">
      <c r="A141" s="4"/>
      <c r="B141" s="4"/>
      <c r="C141" s="4"/>
      <c r="E141" s="4"/>
      <c r="F141" s="4"/>
      <c r="G141" s="4"/>
      <c r="H141" s="4"/>
      <c r="I141" s="4"/>
      <c r="J141" s="4"/>
      <c r="K141" s="4"/>
      <c r="L141" s="4"/>
      <c r="M141" s="4"/>
      <c r="N141" s="4"/>
    </row>
    <row r="142" spans="1:14">
      <c r="A142" s="4"/>
      <c r="B142" s="4"/>
      <c r="C142" s="4"/>
      <c r="E142" s="4"/>
      <c r="F142" s="4"/>
      <c r="G142" s="4"/>
      <c r="H142" s="4"/>
      <c r="I142" s="4"/>
      <c r="J142" s="4"/>
      <c r="K142" s="4"/>
      <c r="L142" s="4"/>
      <c r="M142" s="4"/>
      <c r="N142" s="4"/>
    </row>
    <row r="143" spans="1:14">
      <c r="A143" s="4"/>
      <c r="B143" s="4"/>
      <c r="C143" s="4"/>
      <c r="E143" s="4"/>
      <c r="F143" s="4"/>
      <c r="G143" s="4"/>
      <c r="H143" s="4"/>
      <c r="I143" s="4"/>
      <c r="J143" s="4"/>
      <c r="K143" s="4"/>
      <c r="L143" s="4"/>
      <c r="M143" s="4"/>
      <c r="N143" s="4"/>
    </row>
    <row r="144" spans="1:14">
      <c r="A144" s="4"/>
      <c r="B144" s="4"/>
      <c r="C144" s="4"/>
      <c r="E144" s="4"/>
      <c r="F144" s="4"/>
      <c r="G144" s="4"/>
      <c r="H144" s="4"/>
      <c r="I144" s="4"/>
      <c r="J144" s="4"/>
      <c r="K144" s="4"/>
      <c r="L144" s="4"/>
      <c r="M144" s="4"/>
      <c r="N144" s="4"/>
    </row>
    <row r="145" spans="1:14">
      <c r="A145" s="4"/>
      <c r="B145" s="4"/>
      <c r="C145" s="4"/>
      <c r="E145" s="4"/>
      <c r="F145" s="4"/>
      <c r="G145" s="4"/>
      <c r="H145" s="4"/>
      <c r="I145" s="4"/>
      <c r="J145" s="4"/>
      <c r="K145" s="4"/>
      <c r="L145" s="4"/>
      <c r="M145" s="4"/>
      <c r="N145" s="4"/>
    </row>
    <row r="146" spans="1:14">
      <c r="A146" s="4"/>
      <c r="B146" s="4"/>
      <c r="C146" s="4"/>
      <c r="E146" s="4"/>
      <c r="F146" s="4"/>
      <c r="G146" s="4"/>
      <c r="H146" s="4"/>
      <c r="I146" s="4"/>
      <c r="J146" s="4"/>
      <c r="K146" s="4"/>
      <c r="L146" s="4"/>
      <c r="M146" s="4"/>
      <c r="N146" s="4"/>
    </row>
    <row r="147" spans="1:14">
      <c r="A147" s="4"/>
      <c r="B147" s="4"/>
      <c r="C147" s="4"/>
      <c r="E147" s="4"/>
      <c r="F147" s="4"/>
      <c r="G147" s="4"/>
      <c r="H147" s="4"/>
      <c r="I147" s="4"/>
      <c r="J147" s="4"/>
      <c r="K147" s="4"/>
      <c r="L147" s="4"/>
      <c r="M147" s="4"/>
      <c r="N147" s="4"/>
    </row>
    <row r="148" spans="1:14">
      <c r="A148" s="4"/>
      <c r="B148" s="4"/>
      <c r="C148" s="4"/>
      <c r="E148" s="4"/>
      <c r="F148" s="4"/>
      <c r="G148" s="4"/>
      <c r="H148" s="4"/>
      <c r="I148" s="4"/>
      <c r="J148" s="4"/>
      <c r="K148" s="4"/>
      <c r="L148" s="4"/>
      <c r="M148" s="4"/>
      <c r="N148" s="4"/>
    </row>
    <row r="149" spans="1:14">
      <c r="A149" s="4"/>
      <c r="B149" s="4"/>
      <c r="C149" s="4"/>
      <c r="E149" s="4"/>
      <c r="F149" s="4"/>
      <c r="G149" s="4"/>
      <c r="H149" s="4"/>
      <c r="I149" s="4"/>
      <c r="J149" s="4"/>
      <c r="K149" s="4"/>
      <c r="L149" s="4"/>
      <c r="M149" s="4"/>
      <c r="N149" s="4"/>
    </row>
    <row r="150" spans="1:14">
      <c r="A150" s="4"/>
      <c r="B150" s="4"/>
      <c r="C150" s="4"/>
      <c r="E150" s="4"/>
      <c r="F150" s="4"/>
      <c r="G150" s="4"/>
      <c r="H150" s="4"/>
      <c r="I150" s="4"/>
      <c r="J150" s="4"/>
      <c r="K150" s="4"/>
      <c r="L150" s="4"/>
      <c r="M150" s="4"/>
      <c r="N150" s="4"/>
    </row>
    <row r="151" spans="1:14">
      <c r="A151" s="4"/>
      <c r="B151" s="4"/>
      <c r="C151" s="4"/>
      <c r="E151" s="4"/>
      <c r="F151" s="4"/>
      <c r="G151" s="4"/>
      <c r="H151" s="4"/>
      <c r="I151" s="4"/>
      <c r="J151" s="4"/>
      <c r="K151" s="4"/>
      <c r="L151" s="4"/>
      <c r="M151" s="4"/>
      <c r="N151" s="4"/>
    </row>
    <row r="152" spans="1:14">
      <c r="A152" s="4"/>
      <c r="B152" s="4"/>
      <c r="C152" s="4"/>
      <c r="E152" s="4"/>
      <c r="F152" s="4"/>
      <c r="G152" s="4"/>
      <c r="H152" s="4"/>
      <c r="I152" s="4"/>
      <c r="J152" s="4"/>
      <c r="K152" s="4"/>
      <c r="L152" s="4"/>
      <c r="M152" s="4"/>
      <c r="N152" s="4"/>
    </row>
    <row r="153" spans="1:14">
      <c r="A153" s="4"/>
      <c r="B153" s="4"/>
      <c r="C153" s="4"/>
      <c r="E153" s="4"/>
      <c r="F153" s="4"/>
      <c r="G153" s="4"/>
      <c r="H153" s="4"/>
      <c r="I153" s="4"/>
      <c r="J153" s="4"/>
      <c r="K153" s="4"/>
      <c r="L153" s="4"/>
      <c r="M153" s="4"/>
      <c r="N153" s="4"/>
    </row>
    <row r="154" spans="1:14">
      <c r="A154" s="4"/>
      <c r="B154" s="4"/>
      <c r="C154" s="4"/>
      <c r="E154" s="4"/>
      <c r="F154" s="4"/>
      <c r="G154" s="4"/>
      <c r="H154" s="4"/>
      <c r="I154" s="4"/>
      <c r="J154" s="4"/>
      <c r="K154" s="4"/>
      <c r="L154" s="4"/>
      <c r="M154" s="4"/>
      <c r="N154" s="4"/>
    </row>
    <row r="155" spans="1:14">
      <c r="A155" s="4"/>
      <c r="B155" s="4"/>
      <c r="C155" s="4"/>
      <c r="E155" s="4"/>
      <c r="F155" s="4"/>
      <c r="G155" s="4"/>
      <c r="H155" s="4"/>
      <c r="I155" s="4"/>
      <c r="J155" s="4"/>
      <c r="K155" s="4"/>
      <c r="L155" s="4"/>
      <c r="M155" s="4"/>
      <c r="N155" s="4"/>
    </row>
    <row r="156" spans="1:14">
      <c r="A156" s="4"/>
      <c r="B156" s="4"/>
      <c r="C156" s="4"/>
      <c r="E156" s="4"/>
      <c r="F156" s="4"/>
      <c r="G156" s="4"/>
      <c r="H156" s="4"/>
      <c r="I156" s="4"/>
      <c r="J156" s="4"/>
      <c r="K156" s="4"/>
      <c r="L156" s="4"/>
      <c r="M156" s="4"/>
      <c r="N156" s="4"/>
    </row>
    <row r="157" spans="1:14">
      <c r="A157" s="4"/>
      <c r="B157" s="4"/>
      <c r="C157" s="4"/>
      <c r="E157" s="4"/>
      <c r="F157" s="4"/>
      <c r="G157" s="4"/>
      <c r="H157" s="4"/>
      <c r="I157" s="4"/>
      <c r="J157" s="4"/>
      <c r="K157" s="4"/>
      <c r="L157" s="4"/>
      <c r="M157" s="4"/>
      <c r="N157" s="4"/>
    </row>
    <row r="158" spans="1:14">
      <c r="A158" s="4"/>
      <c r="B158" s="4"/>
      <c r="C158" s="4"/>
      <c r="E158" s="4"/>
      <c r="F158" s="4"/>
      <c r="G158" s="4"/>
      <c r="H158" s="4"/>
      <c r="I158" s="4"/>
      <c r="J158" s="4"/>
      <c r="K158" s="4"/>
      <c r="L158" s="4"/>
      <c r="M158" s="4"/>
      <c r="N158" s="4"/>
    </row>
    <row r="159" spans="1:14">
      <c r="A159" s="4"/>
      <c r="B159" s="4"/>
      <c r="C159" s="4"/>
      <c r="E159" s="4"/>
      <c r="F159" s="4"/>
      <c r="G159" s="4"/>
      <c r="H159" s="4"/>
      <c r="I159" s="4"/>
      <c r="J159" s="4"/>
      <c r="K159" s="4"/>
      <c r="L159" s="4"/>
      <c r="M159" s="4"/>
      <c r="N159" s="4"/>
    </row>
    <row r="160" spans="1:14">
      <c r="A160" s="4"/>
      <c r="B160" s="4"/>
      <c r="C160" s="4"/>
      <c r="E160" s="4"/>
      <c r="F160" s="4"/>
      <c r="G160" s="4"/>
      <c r="H160" s="4"/>
      <c r="I160" s="4"/>
      <c r="J160" s="4"/>
      <c r="K160" s="4"/>
      <c r="L160" s="4"/>
      <c r="M160" s="4"/>
      <c r="N160" s="4"/>
    </row>
    <row r="161" spans="1:14">
      <c r="A161" s="4"/>
      <c r="B161" s="4"/>
      <c r="C161" s="4"/>
      <c r="E161" s="4"/>
      <c r="F161" s="4"/>
      <c r="G161" s="4"/>
      <c r="H161" s="4"/>
      <c r="I161" s="4"/>
      <c r="J161" s="4"/>
      <c r="K161" s="4"/>
      <c r="L161" s="4"/>
      <c r="M161" s="4"/>
      <c r="N161" s="4"/>
    </row>
    <row r="162" spans="1:14">
      <c r="A162" s="4"/>
      <c r="B162" s="4"/>
      <c r="C162" s="4"/>
      <c r="E162" s="4"/>
      <c r="F162" s="4"/>
      <c r="G162" s="4"/>
      <c r="H162" s="4"/>
      <c r="I162" s="4"/>
      <c r="J162" s="4"/>
      <c r="K162" s="4"/>
      <c r="L162" s="4"/>
      <c r="M162" s="4"/>
      <c r="N162" s="4"/>
    </row>
    <row r="163" spans="1:14">
      <c r="A163" s="4"/>
      <c r="B163" s="4"/>
      <c r="C163" s="4"/>
      <c r="E163" s="4"/>
      <c r="F163" s="4"/>
      <c r="G163" s="4"/>
      <c r="H163" s="4"/>
      <c r="I163" s="4"/>
      <c r="J163" s="4"/>
      <c r="K163" s="4"/>
      <c r="L163" s="4"/>
      <c r="M163" s="4"/>
      <c r="N163" s="4"/>
    </row>
    <row r="164" spans="1:14">
      <c r="A164" s="4"/>
      <c r="B164" s="4"/>
      <c r="C164" s="4"/>
      <c r="E164" s="4"/>
      <c r="F164" s="4"/>
      <c r="G164" s="4"/>
      <c r="H164" s="4"/>
      <c r="I164" s="4"/>
      <c r="J164" s="4"/>
      <c r="K164" s="4"/>
      <c r="L164" s="4"/>
      <c r="M164" s="4"/>
      <c r="N164" s="4"/>
    </row>
    <row r="165" spans="1:14">
      <c r="A165" s="4"/>
      <c r="B165" s="4"/>
      <c r="C165" s="4"/>
      <c r="E165" s="4"/>
      <c r="F165" s="4"/>
      <c r="G165" s="4"/>
      <c r="H165" s="4"/>
      <c r="I165" s="4"/>
      <c r="J165" s="4"/>
      <c r="K165" s="4"/>
      <c r="L165" s="4"/>
      <c r="M165" s="4"/>
      <c r="N165" s="4"/>
    </row>
    <row r="166" spans="1:14">
      <c r="A166" s="4"/>
      <c r="B166" s="4"/>
      <c r="C166" s="4"/>
      <c r="E166" s="4"/>
      <c r="F166" s="4"/>
      <c r="G166" s="4"/>
      <c r="H166" s="4"/>
      <c r="I166" s="4"/>
      <c r="J166" s="4"/>
      <c r="K166" s="4"/>
      <c r="L166" s="4"/>
      <c r="M166" s="4"/>
      <c r="N166" s="4"/>
    </row>
    <row r="167" spans="1:14">
      <c r="A167" s="4"/>
      <c r="B167" s="4"/>
      <c r="C167" s="4"/>
      <c r="E167" s="4"/>
      <c r="F167" s="4"/>
      <c r="G167" s="4"/>
      <c r="H167" s="4"/>
      <c r="I167" s="4"/>
      <c r="J167" s="4"/>
      <c r="K167" s="4"/>
      <c r="L167" s="4"/>
      <c r="M167" s="4"/>
      <c r="N167" s="4"/>
    </row>
    <row r="168" spans="1:14">
      <c r="A168" s="4"/>
      <c r="B168" s="4"/>
      <c r="C168" s="4"/>
      <c r="E168" s="4"/>
      <c r="F168" s="4"/>
      <c r="G168" s="4"/>
      <c r="H168" s="4"/>
      <c r="I168" s="4"/>
      <c r="J168" s="4"/>
      <c r="K168" s="4"/>
      <c r="L168" s="4"/>
      <c r="M168" s="4"/>
      <c r="N168" s="4"/>
    </row>
    <row r="169" spans="1:14">
      <c r="A169" s="4"/>
      <c r="B169" s="4"/>
      <c r="C169" s="4"/>
      <c r="E169" s="4"/>
      <c r="F169" s="4"/>
      <c r="G169" s="4"/>
      <c r="H169" s="4"/>
      <c r="I169" s="4"/>
      <c r="J169" s="4"/>
      <c r="K169" s="4"/>
      <c r="L169" s="4"/>
      <c r="M169" s="4"/>
      <c r="N169" s="4"/>
    </row>
    <row r="170" spans="1:14">
      <c r="A170" s="4"/>
      <c r="B170" s="4"/>
      <c r="C170" s="4"/>
      <c r="E170" s="4"/>
      <c r="F170" s="4"/>
      <c r="G170" s="4"/>
      <c r="H170" s="4"/>
      <c r="I170" s="4"/>
      <c r="J170" s="4"/>
      <c r="K170" s="4"/>
      <c r="L170" s="4"/>
      <c r="M170" s="4"/>
      <c r="N170" s="4"/>
    </row>
    <row r="171" spans="1:14">
      <c r="A171" s="4"/>
      <c r="B171" s="4"/>
      <c r="C171" s="4"/>
      <c r="E171" s="4"/>
      <c r="F171" s="4"/>
      <c r="G171" s="4"/>
      <c r="H171" s="4"/>
      <c r="I171" s="4"/>
      <c r="J171" s="4"/>
      <c r="K171" s="4"/>
      <c r="L171" s="4"/>
      <c r="M171" s="4"/>
      <c r="N171" s="4"/>
    </row>
    <row r="172" spans="1:14">
      <c r="A172" s="4"/>
      <c r="B172" s="4"/>
      <c r="C172" s="4"/>
      <c r="E172" s="4"/>
      <c r="F172" s="4"/>
      <c r="G172" s="4"/>
      <c r="H172" s="4"/>
      <c r="I172" s="4"/>
      <c r="J172" s="4"/>
      <c r="K172" s="4"/>
      <c r="L172" s="4"/>
      <c r="M172" s="4"/>
      <c r="N172" s="4"/>
    </row>
    <row r="173" spans="1:14">
      <c r="A173" s="4"/>
      <c r="B173" s="4"/>
      <c r="C173" s="4"/>
      <c r="E173" s="4"/>
      <c r="F173" s="4"/>
      <c r="G173" s="4"/>
      <c r="H173" s="4"/>
      <c r="I173" s="4"/>
      <c r="J173" s="4"/>
      <c r="K173" s="4"/>
      <c r="L173" s="4"/>
      <c r="M173" s="4"/>
      <c r="N173" s="4"/>
    </row>
    <row r="174" spans="1:14">
      <c r="A174" s="4"/>
      <c r="B174" s="4"/>
      <c r="C174" s="4"/>
      <c r="E174" s="4"/>
      <c r="F174" s="4"/>
      <c r="G174" s="4"/>
      <c r="H174" s="4"/>
      <c r="I174" s="4"/>
      <c r="J174" s="4"/>
      <c r="K174" s="4"/>
      <c r="L174" s="4"/>
      <c r="M174" s="4"/>
      <c r="N174" s="4"/>
    </row>
    <row r="175" spans="1:14">
      <c r="A175" s="4"/>
      <c r="B175" s="4"/>
      <c r="C175" s="4"/>
      <c r="E175" s="4"/>
      <c r="F175" s="4"/>
      <c r="G175" s="4"/>
      <c r="H175" s="4"/>
      <c r="I175" s="4"/>
      <c r="J175" s="4"/>
      <c r="K175" s="4"/>
      <c r="L175" s="4"/>
      <c r="M175" s="4"/>
      <c r="N175" s="4"/>
    </row>
    <row r="176" spans="1:14">
      <c r="A176" s="4"/>
      <c r="B176" s="4"/>
      <c r="C176" s="4"/>
      <c r="E176" s="4"/>
      <c r="F176" s="4"/>
      <c r="G176" s="4"/>
      <c r="H176" s="4"/>
      <c r="I176" s="4"/>
      <c r="J176" s="4"/>
      <c r="K176" s="4"/>
      <c r="L176" s="4"/>
      <c r="M176" s="4"/>
      <c r="N176" s="4"/>
    </row>
    <row r="177" spans="1:14">
      <c r="A177" s="4"/>
      <c r="B177" s="4"/>
      <c r="C177" s="4"/>
      <c r="E177" s="4"/>
      <c r="F177" s="4"/>
      <c r="G177" s="4"/>
      <c r="H177" s="4"/>
      <c r="I177" s="4"/>
      <c r="J177" s="4"/>
      <c r="K177" s="4"/>
      <c r="L177" s="4"/>
      <c r="M177" s="4"/>
      <c r="N177" s="4"/>
    </row>
    <row r="178" spans="1:14">
      <c r="A178" s="4"/>
      <c r="B178" s="4"/>
      <c r="C178" s="4"/>
      <c r="E178" s="4"/>
      <c r="F178" s="4"/>
      <c r="G178" s="4"/>
      <c r="H178" s="4"/>
      <c r="I178" s="4"/>
      <c r="J178" s="4"/>
      <c r="K178" s="4"/>
      <c r="L178" s="4"/>
      <c r="M178" s="4"/>
      <c r="N178" s="4"/>
    </row>
    <row r="179" spans="1:14">
      <c r="A179" s="4"/>
      <c r="B179" s="4"/>
      <c r="C179" s="4"/>
      <c r="E179" s="4"/>
      <c r="F179" s="4"/>
      <c r="G179" s="4"/>
      <c r="H179" s="4"/>
      <c r="I179" s="4"/>
      <c r="J179" s="4"/>
      <c r="K179" s="4"/>
      <c r="L179" s="4"/>
      <c r="M179" s="4"/>
      <c r="N179" s="4"/>
    </row>
    <row r="180" spans="1:14">
      <c r="A180" s="4"/>
      <c r="B180" s="4"/>
      <c r="C180" s="4"/>
      <c r="E180" s="4"/>
      <c r="F180" s="4"/>
      <c r="G180" s="4"/>
      <c r="H180" s="4"/>
      <c r="I180" s="4"/>
      <c r="J180" s="4"/>
      <c r="K180" s="4"/>
      <c r="L180" s="4"/>
      <c r="M180" s="4"/>
      <c r="N180" s="4"/>
    </row>
    <row r="181" spans="1:14">
      <c r="A181" s="4"/>
      <c r="B181" s="4"/>
      <c r="C181" s="4"/>
      <c r="E181" s="4"/>
      <c r="F181" s="4"/>
      <c r="G181" s="4"/>
      <c r="H181" s="4"/>
      <c r="I181" s="4"/>
      <c r="J181" s="4"/>
      <c r="K181" s="4"/>
      <c r="L181" s="4"/>
      <c r="M181" s="4"/>
      <c r="N181" s="4"/>
    </row>
    <row r="182" spans="1:14">
      <c r="A182" s="4"/>
      <c r="B182" s="4"/>
      <c r="C182" s="4"/>
      <c r="E182" s="4"/>
      <c r="F182" s="4"/>
      <c r="G182" s="4"/>
      <c r="H182" s="4"/>
      <c r="I182" s="4"/>
      <c r="J182" s="4"/>
      <c r="K182" s="4"/>
      <c r="L182" s="4"/>
      <c r="M182" s="4"/>
      <c r="N182" s="4"/>
    </row>
    <row r="183" spans="1:14">
      <c r="A183" s="4"/>
      <c r="B183" s="4"/>
      <c r="C183" s="4"/>
      <c r="E183" s="4"/>
      <c r="F183" s="4"/>
      <c r="G183" s="4"/>
      <c r="H183" s="4"/>
      <c r="I183" s="4"/>
      <c r="J183" s="4"/>
      <c r="K183" s="4"/>
      <c r="L183" s="4"/>
      <c r="M183" s="4"/>
      <c r="N183" s="4"/>
    </row>
    <row r="184" spans="1:14">
      <c r="A184" s="4"/>
      <c r="B184" s="4"/>
      <c r="C184" s="4"/>
      <c r="E184" s="4"/>
      <c r="F184" s="4"/>
      <c r="G184" s="4"/>
      <c r="H184" s="4"/>
      <c r="I184" s="4"/>
      <c r="J184" s="4"/>
      <c r="K184" s="4"/>
      <c r="L184" s="4"/>
      <c r="M184" s="4"/>
      <c r="N184" s="4"/>
    </row>
    <row r="185" spans="1:14">
      <c r="A185" s="4"/>
      <c r="B185" s="4"/>
      <c r="C185" s="4"/>
      <c r="E185" s="4"/>
      <c r="F185" s="4"/>
      <c r="G185" s="4"/>
      <c r="H185" s="4"/>
      <c r="I185" s="4"/>
      <c r="J185" s="4"/>
      <c r="K185" s="4"/>
      <c r="L185" s="4"/>
      <c r="M185" s="4"/>
      <c r="N185" s="4"/>
    </row>
    <row r="186" spans="1:14">
      <c r="A186" s="4"/>
      <c r="B186" s="4"/>
      <c r="C186" s="4"/>
      <c r="E186" s="4"/>
      <c r="F186" s="4"/>
      <c r="G186" s="4"/>
      <c r="H186" s="4"/>
      <c r="I186" s="4"/>
      <c r="J186" s="4"/>
      <c r="K186" s="4"/>
      <c r="L186" s="4"/>
      <c r="M186" s="4"/>
      <c r="N186" s="4"/>
    </row>
    <row r="187" spans="1:14">
      <c r="A187" s="4"/>
      <c r="B187" s="4"/>
      <c r="C187" s="4"/>
      <c r="E187" s="4"/>
      <c r="F187" s="4"/>
      <c r="G187" s="4"/>
      <c r="H187" s="4"/>
      <c r="I187" s="4"/>
      <c r="J187" s="4"/>
      <c r="K187" s="4"/>
      <c r="L187" s="4"/>
      <c r="M187" s="4"/>
      <c r="N187" s="4"/>
    </row>
    <row r="188" spans="1:14">
      <c r="A188" s="4"/>
      <c r="B188" s="4"/>
      <c r="C188" s="4"/>
      <c r="E188" s="4"/>
      <c r="F188" s="4"/>
      <c r="G188" s="4"/>
      <c r="H188" s="4"/>
      <c r="I188" s="4"/>
      <c r="J188" s="4"/>
      <c r="K188" s="4"/>
      <c r="L188" s="4"/>
      <c r="M188" s="4"/>
      <c r="N188" s="4"/>
    </row>
    <row r="189" spans="1:14">
      <c r="A189" s="4"/>
      <c r="B189" s="4"/>
      <c r="C189" s="4"/>
      <c r="E189" s="4"/>
      <c r="F189" s="4"/>
      <c r="G189" s="4"/>
      <c r="H189" s="4"/>
      <c r="I189" s="4"/>
      <c r="J189" s="4"/>
      <c r="K189" s="4"/>
      <c r="L189" s="4"/>
      <c r="M189" s="4"/>
      <c r="N189" s="4"/>
    </row>
    <row r="190" spans="1:14">
      <c r="A190" s="4"/>
      <c r="B190" s="4"/>
      <c r="C190" s="4"/>
      <c r="E190" s="4"/>
      <c r="F190" s="4"/>
      <c r="G190" s="4"/>
      <c r="H190" s="4"/>
      <c r="I190" s="4"/>
      <c r="J190" s="4"/>
      <c r="K190" s="4"/>
      <c r="L190" s="4"/>
      <c r="M190" s="4"/>
      <c r="N190" s="4"/>
    </row>
    <row r="191" spans="1:14">
      <c r="A191" s="4"/>
      <c r="B191" s="4"/>
      <c r="C191" s="4"/>
      <c r="E191" s="4"/>
      <c r="F191" s="4"/>
      <c r="G191" s="4"/>
      <c r="H191" s="4"/>
      <c r="I191" s="4"/>
      <c r="J191" s="4"/>
      <c r="K191" s="4"/>
      <c r="L191" s="4"/>
      <c r="M191" s="4"/>
      <c r="N191" s="4"/>
    </row>
    <row r="192" spans="1:14">
      <c r="A192" s="4"/>
      <c r="B192" s="4"/>
      <c r="C192" s="4"/>
      <c r="E192" s="4"/>
      <c r="F192" s="4"/>
      <c r="G192" s="4"/>
      <c r="H192" s="4"/>
      <c r="I192" s="4"/>
      <c r="J192" s="4"/>
      <c r="K192" s="4"/>
      <c r="L192" s="4"/>
      <c r="M192" s="4"/>
      <c r="N192" s="4"/>
    </row>
    <row r="193" spans="1:14">
      <c r="A193" s="4"/>
      <c r="B193" s="4"/>
      <c r="C193" s="4"/>
      <c r="E193" s="4"/>
      <c r="F193" s="4"/>
      <c r="G193" s="4"/>
      <c r="H193" s="4"/>
      <c r="I193" s="4"/>
      <c r="J193" s="4"/>
      <c r="K193" s="4"/>
      <c r="L193" s="4"/>
      <c r="M193" s="4"/>
      <c r="N193" s="4"/>
    </row>
    <row r="194" spans="1:14">
      <c r="A194" s="4"/>
      <c r="B194" s="4"/>
      <c r="C194" s="4"/>
      <c r="E194" s="4"/>
      <c r="F194" s="4"/>
      <c r="G194" s="4"/>
      <c r="H194" s="4"/>
      <c r="I194" s="4"/>
      <c r="J194" s="4"/>
      <c r="K194" s="4"/>
      <c r="L194" s="4"/>
      <c r="M194" s="4"/>
      <c r="N194" s="4"/>
    </row>
    <row r="195" spans="1:14">
      <c r="A195" s="4"/>
      <c r="B195" s="4"/>
      <c r="C195" s="4"/>
      <c r="E195" s="4"/>
      <c r="F195" s="4"/>
      <c r="G195" s="4"/>
      <c r="H195" s="4"/>
      <c r="I195" s="4"/>
      <c r="J195" s="4"/>
      <c r="K195" s="4"/>
      <c r="L195" s="4"/>
      <c r="M195" s="4"/>
      <c r="N195" s="4"/>
    </row>
    <row r="196" spans="1:14">
      <c r="A196" s="4"/>
      <c r="B196" s="4"/>
      <c r="C196" s="4"/>
      <c r="E196" s="4"/>
      <c r="F196" s="4"/>
      <c r="G196" s="4"/>
      <c r="H196" s="4"/>
      <c r="I196" s="4"/>
      <c r="J196" s="4"/>
      <c r="K196" s="4"/>
      <c r="L196" s="4"/>
      <c r="M196" s="4"/>
      <c r="N196" s="4"/>
    </row>
    <row r="197" spans="1:14">
      <c r="A197" s="4"/>
      <c r="B197" s="4"/>
      <c r="C197" s="4"/>
      <c r="E197" s="4"/>
      <c r="F197" s="4"/>
      <c r="G197" s="4"/>
      <c r="H197" s="4"/>
      <c r="I197" s="4"/>
      <c r="J197" s="4"/>
      <c r="K197" s="4"/>
      <c r="L197" s="4"/>
      <c r="M197" s="4"/>
      <c r="N197" s="4"/>
    </row>
    <row r="198" spans="1:14">
      <c r="A198" s="4"/>
      <c r="B198" s="4"/>
      <c r="C198" s="4"/>
      <c r="E198" s="4"/>
      <c r="F198" s="4"/>
      <c r="G198" s="4"/>
      <c r="H198" s="4"/>
      <c r="I198" s="4"/>
      <c r="J198" s="4"/>
      <c r="K198" s="4"/>
      <c r="L198" s="4"/>
      <c r="M198" s="4"/>
      <c r="N198" s="4"/>
    </row>
    <row r="199" spans="1:14">
      <c r="A199" s="4"/>
      <c r="B199" s="4"/>
      <c r="C199" s="4"/>
      <c r="E199" s="4"/>
      <c r="F199" s="4"/>
      <c r="G199" s="4"/>
      <c r="H199" s="4"/>
      <c r="I199" s="4"/>
      <c r="J199" s="4"/>
      <c r="K199" s="4"/>
      <c r="L199" s="4"/>
      <c r="M199" s="4"/>
      <c r="N199" s="4"/>
    </row>
    <row r="200" spans="1:14">
      <c r="A200" s="4"/>
      <c r="B200" s="4"/>
      <c r="C200" s="4"/>
      <c r="E200" s="4"/>
      <c r="F200" s="4"/>
      <c r="G200" s="4"/>
      <c r="H200" s="4"/>
      <c r="I200" s="4"/>
      <c r="J200" s="4"/>
      <c r="K200" s="4"/>
      <c r="L200" s="4"/>
      <c r="M200" s="4"/>
      <c r="N200" s="4"/>
    </row>
    <row r="201" spans="1:14">
      <c r="A201" s="4"/>
      <c r="B201" s="4"/>
      <c r="C201" s="4"/>
      <c r="E201" s="4"/>
      <c r="F201" s="4"/>
      <c r="G201" s="4"/>
      <c r="H201" s="4"/>
      <c r="I201" s="4"/>
      <c r="J201" s="4"/>
      <c r="K201" s="4"/>
      <c r="L201" s="4"/>
      <c r="M201" s="4"/>
      <c r="N201" s="4"/>
    </row>
    <row r="202" spans="1:14">
      <c r="A202" s="4"/>
      <c r="B202" s="4"/>
      <c r="C202" s="4"/>
      <c r="E202" s="4"/>
      <c r="F202" s="4"/>
      <c r="G202" s="4"/>
      <c r="H202" s="4"/>
      <c r="I202" s="4"/>
      <c r="J202" s="4"/>
      <c r="K202" s="4"/>
      <c r="L202" s="4"/>
      <c r="M202" s="4"/>
      <c r="N202" s="4"/>
    </row>
    <row r="203" spans="1:14">
      <c r="A203" s="4"/>
      <c r="B203" s="4"/>
      <c r="C203" s="4"/>
      <c r="E203" s="4"/>
      <c r="F203" s="4"/>
      <c r="G203" s="4"/>
      <c r="H203" s="4"/>
      <c r="I203" s="4"/>
      <c r="J203" s="4"/>
      <c r="K203" s="4"/>
      <c r="L203" s="4"/>
      <c r="M203" s="4"/>
      <c r="N203" s="4"/>
    </row>
    <row r="204" spans="1:14">
      <c r="A204" s="4"/>
      <c r="B204" s="4"/>
      <c r="C204" s="4"/>
      <c r="E204" s="4"/>
      <c r="F204" s="4"/>
      <c r="G204" s="4"/>
      <c r="H204" s="4"/>
      <c r="I204" s="4"/>
      <c r="J204" s="4"/>
      <c r="K204" s="4"/>
      <c r="L204" s="4"/>
      <c r="M204" s="4"/>
      <c r="N204" s="4"/>
    </row>
    <row r="205" spans="1:14">
      <c r="A205" s="4"/>
      <c r="B205" s="4"/>
      <c r="C205" s="4"/>
      <c r="E205" s="4"/>
      <c r="F205" s="4"/>
      <c r="G205" s="4"/>
      <c r="H205" s="4"/>
      <c r="I205" s="4"/>
      <c r="J205" s="4"/>
      <c r="K205" s="4"/>
      <c r="L205" s="4"/>
      <c r="M205" s="4"/>
      <c r="N205" s="4"/>
    </row>
    <row r="206" spans="1:14">
      <c r="A206" s="4"/>
      <c r="B206" s="4"/>
      <c r="C206" s="4"/>
      <c r="E206" s="4"/>
      <c r="F206" s="4"/>
      <c r="G206" s="4"/>
      <c r="H206" s="4"/>
      <c r="I206" s="4"/>
      <c r="J206" s="4"/>
      <c r="K206" s="4"/>
      <c r="L206" s="4"/>
      <c r="M206" s="4"/>
      <c r="N206" s="4"/>
    </row>
    <row r="207" spans="1:14">
      <c r="A207" s="4"/>
      <c r="B207" s="4"/>
      <c r="C207" s="4"/>
      <c r="E207" s="4"/>
      <c r="F207" s="4"/>
      <c r="G207" s="4"/>
      <c r="H207" s="4"/>
      <c r="I207" s="4"/>
      <c r="J207" s="4"/>
      <c r="K207" s="4"/>
      <c r="L207" s="4"/>
      <c r="M207" s="4"/>
      <c r="N207" s="4"/>
    </row>
    <row r="208" spans="1:14">
      <c r="A208" s="4"/>
      <c r="B208" s="4"/>
      <c r="C208" s="4"/>
      <c r="E208" s="4"/>
      <c r="F208" s="4"/>
      <c r="G208" s="4"/>
      <c r="H208" s="4"/>
      <c r="I208" s="4"/>
      <c r="J208" s="4"/>
      <c r="K208" s="4"/>
      <c r="L208" s="4"/>
      <c r="M208" s="4"/>
      <c r="N208" s="4"/>
    </row>
    <row r="209" spans="1:14">
      <c r="A209" s="4"/>
      <c r="B209" s="4"/>
      <c r="C209" s="4"/>
      <c r="E209" s="4"/>
      <c r="F209" s="4"/>
      <c r="G209" s="4"/>
      <c r="H209" s="4"/>
      <c r="I209" s="4"/>
      <c r="J209" s="4"/>
      <c r="K209" s="4"/>
      <c r="L209" s="4"/>
      <c r="M209" s="4"/>
      <c r="N209" s="4"/>
    </row>
    <row r="210" spans="1:14">
      <c r="A210" s="4"/>
      <c r="B210" s="4"/>
      <c r="C210" s="4"/>
      <c r="E210" s="4"/>
      <c r="F210" s="4"/>
      <c r="G210" s="4"/>
      <c r="H210" s="4"/>
      <c r="I210" s="4"/>
      <c r="J210" s="4"/>
      <c r="K210" s="4"/>
      <c r="L210" s="4"/>
      <c r="M210" s="4"/>
      <c r="N210" s="4"/>
    </row>
    <row r="211" spans="1:14">
      <c r="A211" s="4"/>
      <c r="B211" s="4"/>
      <c r="C211" s="4"/>
      <c r="E211" s="4"/>
      <c r="F211" s="4"/>
      <c r="G211" s="4"/>
      <c r="H211" s="4"/>
      <c r="I211" s="4"/>
      <c r="J211" s="4"/>
      <c r="K211" s="4"/>
      <c r="L211" s="4"/>
      <c r="M211" s="4"/>
      <c r="N211" s="4"/>
    </row>
    <row r="212" spans="1:14">
      <c r="A212" s="4"/>
      <c r="B212" s="4"/>
      <c r="C212" s="4"/>
      <c r="E212" s="4"/>
      <c r="F212" s="4"/>
      <c r="G212" s="4"/>
      <c r="H212" s="4"/>
      <c r="I212" s="4"/>
      <c r="J212" s="4"/>
      <c r="K212" s="4"/>
      <c r="L212" s="4"/>
      <c r="M212" s="4"/>
      <c r="N212" s="4"/>
    </row>
    <row r="213" spans="1:14">
      <c r="A213" s="4"/>
      <c r="B213" s="4"/>
      <c r="C213" s="4"/>
      <c r="E213" s="4"/>
      <c r="F213" s="4"/>
      <c r="G213" s="4"/>
      <c r="H213" s="4"/>
      <c r="I213" s="4"/>
      <c r="J213" s="4"/>
      <c r="K213" s="4"/>
      <c r="L213" s="4"/>
      <c r="M213" s="4"/>
      <c r="N213" s="4"/>
    </row>
    <row r="214" spans="1:14">
      <c r="A214" s="4"/>
      <c r="B214" s="4"/>
      <c r="C214" s="4"/>
      <c r="E214" s="4"/>
      <c r="F214" s="4"/>
      <c r="G214" s="4"/>
      <c r="H214" s="4"/>
      <c r="I214" s="4"/>
      <c r="J214" s="4"/>
      <c r="K214" s="4"/>
      <c r="L214" s="4"/>
      <c r="M214" s="4"/>
      <c r="N214" s="4"/>
    </row>
    <row r="215" spans="1:14">
      <c r="A215" s="4"/>
      <c r="B215" s="4"/>
      <c r="C215" s="4"/>
      <c r="E215" s="4"/>
      <c r="F215" s="4"/>
      <c r="G215" s="4"/>
      <c r="H215" s="4"/>
      <c r="I215" s="4"/>
      <c r="J215" s="4"/>
      <c r="K215" s="4"/>
      <c r="L215" s="4"/>
      <c r="M215" s="4"/>
      <c r="N215" s="4"/>
    </row>
    <row r="216" spans="1:14">
      <c r="A216" s="4"/>
      <c r="B216" s="4"/>
      <c r="C216" s="4"/>
      <c r="E216" s="4"/>
      <c r="F216" s="4"/>
      <c r="G216" s="4"/>
      <c r="H216" s="4"/>
      <c r="I216" s="4"/>
      <c r="J216" s="4"/>
      <c r="K216" s="4"/>
      <c r="L216" s="4"/>
      <c r="M216" s="4"/>
      <c r="N216" s="4"/>
    </row>
    <row r="217" spans="1:14">
      <c r="A217" s="4"/>
      <c r="B217" s="4"/>
      <c r="C217" s="4"/>
      <c r="E217" s="4"/>
      <c r="F217" s="4"/>
      <c r="G217" s="4"/>
      <c r="H217" s="4"/>
      <c r="I217" s="4"/>
      <c r="J217" s="4"/>
      <c r="K217" s="4"/>
      <c r="L217" s="4"/>
      <c r="M217" s="4"/>
      <c r="N217" s="4"/>
    </row>
    <row r="218" spans="1:14">
      <c r="A218" s="4"/>
      <c r="B218" s="4"/>
      <c r="C218" s="4"/>
      <c r="E218" s="4"/>
      <c r="F218" s="4"/>
      <c r="G218" s="4"/>
      <c r="H218" s="4"/>
      <c r="I218" s="4"/>
      <c r="J218" s="4"/>
      <c r="K218" s="4"/>
      <c r="L218" s="4"/>
      <c r="M218" s="4"/>
      <c r="N218" s="4"/>
    </row>
    <row r="219" spans="1:14">
      <c r="A219" s="4"/>
      <c r="B219" s="4"/>
      <c r="C219" s="4"/>
      <c r="E219" s="4"/>
      <c r="F219" s="4"/>
      <c r="G219" s="4"/>
      <c r="H219" s="4"/>
      <c r="I219" s="4"/>
      <c r="J219" s="4"/>
      <c r="K219" s="4"/>
      <c r="L219" s="4"/>
      <c r="M219" s="4"/>
      <c r="N219" s="4"/>
    </row>
    <row r="220" spans="1:14">
      <c r="A220" s="4"/>
      <c r="B220" s="4"/>
      <c r="C220" s="4"/>
      <c r="E220" s="4"/>
      <c r="F220" s="4"/>
      <c r="G220" s="4"/>
      <c r="H220" s="4"/>
      <c r="I220" s="4"/>
      <c r="J220" s="4"/>
      <c r="K220" s="4"/>
      <c r="L220" s="4"/>
      <c r="M220" s="4"/>
      <c r="N220" s="4"/>
    </row>
    <row r="221" spans="1:14">
      <c r="A221" s="4"/>
      <c r="B221" s="4"/>
      <c r="C221" s="4"/>
      <c r="E221" s="4"/>
      <c r="F221" s="4"/>
      <c r="G221" s="4"/>
      <c r="H221" s="4"/>
      <c r="I221" s="4"/>
      <c r="J221" s="4"/>
      <c r="K221" s="4"/>
      <c r="L221" s="4"/>
      <c r="M221" s="4"/>
      <c r="N221" s="4"/>
    </row>
    <row r="222" spans="1:14">
      <c r="A222" s="4"/>
      <c r="B222" s="4"/>
      <c r="C222" s="4"/>
      <c r="E222" s="4"/>
      <c r="F222" s="4"/>
      <c r="G222" s="4"/>
      <c r="H222" s="4"/>
      <c r="I222" s="4"/>
      <c r="J222" s="4"/>
      <c r="K222" s="4"/>
      <c r="L222" s="4"/>
      <c r="M222" s="4"/>
      <c r="N222" s="4"/>
    </row>
    <row r="223" spans="1:14">
      <c r="A223" s="4"/>
      <c r="B223" s="4"/>
      <c r="C223" s="4"/>
      <c r="E223" s="4"/>
      <c r="F223" s="4"/>
      <c r="G223" s="4"/>
      <c r="H223" s="4"/>
      <c r="I223" s="4"/>
      <c r="J223" s="4"/>
      <c r="K223" s="4"/>
      <c r="L223" s="4"/>
      <c r="M223" s="4"/>
      <c r="N223" s="4"/>
    </row>
    <row r="224" spans="1:14">
      <c r="A224" s="4"/>
      <c r="B224" s="4"/>
      <c r="C224" s="4"/>
      <c r="E224" s="4"/>
      <c r="F224" s="4"/>
      <c r="G224" s="4"/>
      <c r="H224" s="4"/>
      <c r="I224" s="4"/>
      <c r="J224" s="4"/>
      <c r="K224" s="4"/>
      <c r="L224" s="4"/>
      <c r="M224" s="4"/>
      <c r="N224" s="4"/>
    </row>
    <row r="225" spans="1:14">
      <c r="A225" s="4"/>
      <c r="B225" s="4"/>
      <c r="C225" s="4"/>
      <c r="E225" s="4"/>
      <c r="F225" s="4"/>
      <c r="G225" s="4"/>
      <c r="H225" s="4"/>
      <c r="I225" s="4"/>
      <c r="J225" s="4"/>
      <c r="K225" s="4"/>
      <c r="L225" s="4"/>
      <c r="M225" s="4"/>
      <c r="N225" s="4"/>
    </row>
    <row r="226" spans="1:14">
      <c r="A226" s="4"/>
      <c r="B226" s="4"/>
      <c r="C226" s="4"/>
      <c r="E226" s="4"/>
      <c r="F226" s="4"/>
      <c r="G226" s="4"/>
      <c r="H226" s="4"/>
      <c r="I226" s="4"/>
      <c r="J226" s="4"/>
      <c r="K226" s="4"/>
      <c r="L226" s="4"/>
      <c r="M226" s="4"/>
      <c r="N226" s="4"/>
    </row>
    <row r="227" spans="1:14">
      <c r="A227" s="4"/>
      <c r="B227" s="4"/>
      <c r="C227" s="4"/>
      <c r="E227" s="4"/>
      <c r="F227" s="4"/>
      <c r="G227" s="4"/>
      <c r="H227" s="4"/>
      <c r="I227" s="4"/>
      <c r="J227" s="4"/>
      <c r="K227" s="4"/>
      <c r="L227" s="4"/>
      <c r="M227" s="4"/>
      <c r="N227" s="4"/>
    </row>
    <row r="228" spans="1:14">
      <c r="A228" s="4"/>
      <c r="B228" s="4"/>
      <c r="C228" s="4"/>
      <c r="E228" s="4"/>
      <c r="F228" s="4"/>
      <c r="G228" s="4"/>
      <c r="H228" s="4"/>
      <c r="I228" s="4"/>
      <c r="J228" s="4"/>
      <c r="K228" s="4"/>
      <c r="L228" s="4"/>
      <c r="M228" s="4"/>
      <c r="N228" s="4"/>
    </row>
    <row r="229" spans="1:14">
      <c r="A229" s="4"/>
      <c r="B229" s="4"/>
      <c r="C229" s="4"/>
      <c r="E229" s="4"/>
      <c r="F229" s="4"/>
      <c r="G229" s="4"/>
      <c r="H229" s="4"/>
      <c r="I229" s="4"/>
      <c r="J229" s="4"/>
      <c r="K229" s="4"/>
      <c r="L229" s="4"/>
      <c r="M229" s="4"/>
      <c r="N229" s="4"/>
    </row>
    <row r="230" spans="1:14">
      <c r="A230" s="4"/>
      <c r="B230" s="4"/>
      <c r="C230" s="4"/>
      <c r="E230" s="4"/>
      <c r="F230" s="4"/>
      <c r="G230" s="4"/>
      <c r="H230" s="4"/>
      <c r="I230" s="4"/>
      <c r="J230" s="4"/>
      <c r="K230" s="4"/>
      <c r="L230" s="4"/>
      <c r="M230" s="4"/>
      <c r="N230" s="4"/>
    </row>
    <row r="231" spans="1:14">
      <c r="A231" s="4"/>
      <c r="B231" s="4"/>
      <c r="C231" s="4"/>
      <c r="E231" s="4"/>
      <c r="F231" s="4"/>
      <c r="G231" s="4"/>
      <c r="H231" s="4"/>
      <c r="I231" s="4"/>
      <c r="J231" s="4"/>
      <c r="K231" s="4"/>
      <c r="L231" s="4"/>
      <c r="M231" s="4"/>
      <c r="N231" s="4"/>
    </row>
    <row r="232" spans="1:14">
      <c r="A232" s="4"/>
      <c r="B232" s="4"/>
      <c r="C232" s="4"/>
      <c r="E232" s="4"/>
      <c r="F232" s="4"/>
      <c r="G232" s="4"/>
      <c r="H232" s="4"/>
      <c r="I232" s="4"/>
      <c r="J232" s="4"/>
      <c r="K232" s="4"/>
      <c r="L232" s="4"/>
      <c r="M232" s="4"/>
      <c r="N232" s="4"/>
    </row>
    <row r="233" spans="1:14">
      <c r="A233" s="4"/>
      <c r="B233" s="4"/>
      <c r="C233" s="4"/>
      <c r="E233" s="4"/>
      <c r="F233" s="4"/>
      <c r="G233" s="4"/>
      <c r="H233" s="4"/>
      <c r="I233" s="4"/>
      <c r="J233" s="4"/>
      <c r="K233" s="4"/>
      <c r="L233" s="4"/>
      <c r="M233" s="4"/>
      <c r="N233" s="4"/>
    </row>
    <row r="234" spans="1:14">
      <c r="A234" s="4"/>
      <c r="B234" s="4"/>
      <c r="C234" s="4"/>
      <c r="E234" s="4"/>
      <c r="F234" s="4"/>
      <c r="G234" s="4"/>
      <c r="H234" s="4"/>
      <c r="I234" s="4"/>
      <c r="J234" s="4"/>
      <c r="K234" s="4"/>
      <c r="L234" s="4"/>
      <c r="M234" s="4"/>
      <c r="N234" s="4"/>
    </row>
    <row r="235" spans="1:14">
      <c r="A235" s="4"/>
      <c r="B235" s="4"/>
      <c r="C235" s="4"/>
      <c r="E235" s="4"/>
      <c r="F235" s="4"/>
      <c r="G235" s="4"/>
      <c r="H235" s="4"/>
      <c r="I235" s="4"/>
      <c r="J235" s="4"/>
      <c r="K235" s="4"/>
      <c r="L235" s="4"/>
      <c r="M235" s="4"/>
      <c r="N235" s="4"/>
    </row>
    <row r="236" spans="1:14">
      <c r="A236" s="4"/>
      <c r="B236" s="4"/>
      <c r="C236" s="4"/>
      <c r="E236" s="4"/>
      <c r="F236" s="4"/>
      <c r="G236" s="4"/>
      <c r="H236" s="4"/>
      <c r="I236" s="4"/>
      <c r="J236" s="4"/>
      <c r="K236" s="4"/>
      <c r="L236" s="4"/>
      <c r="M236" s="4"/>
      <c r="N236" s="4"/>
    </row>
    <row r="237" spans="1:14">
      <c r="A237" s="4"/>
      <c r="B237" s="4"/>
      <c r="C237" s="4"/>
      <c r="E237" s="4"/>
      <c r="F237" s="4"/>
      <c r="G237" s="4"/>
      <c r="H237" s="4"/>
      <c r="I237" s="4"/>
      <c r="J237" s="4"/>
      <c r="K237" s="4"/>
      <c r="L237" s="4"/>
      <c r="M237" s="4"/>
      <c r="N237" s="4"/>
    </row>
    <row r="238" spans="1:14">
      <c r="A238" s="4"/>
      <c r="B238" s="4"/>
      <c r="C238" s="4"/>
      <c r="E238" s="4"/>
      <c r="F238" s="4"/>
      <c r="G238" s="4"/>
      <c r="H238" s="4"/>
      <c r="I238" s="4"/>
      <c r="J238" s="4"/>
      <c r="K238" s="4"/>
      <c r="L238" s="4"/>
      <c r="M238" s="4"/>
      <c r="N238" s="4"/>
    </row>
    <row r="239" spans="1:14">
      <c r="A239" s="4"/>
      <c r="B239" s="4"/>
      <c r="C239" s="4"/>
      <c r="E239" s="4"/>
      <c r="F239" s="4"/>
      <c r="G239" s="4"/>
      <c r="H239" s="4"/>
      <c r="I239" s="4"/>
      <c r="J239" s="4"/>
      <c r="K239" s="4"/>
      <c r="L239" s="4"/>
      <c r="M239" s="4"/>
      <c r="N239" s="4"/>
    </row>
    <row r="240" spans="1:14">
      <c r="A240" s="4"/>
      <c r="B240" s="4"/>
      <c r="C240" s="4"/>
      <c r="E240" s="4"/>
      <c r="F240" s="4"/>
      <c r="G240" s="4"/>
      <c r="H240" s="4"/>
      <c r="I240" s="4"/>
      <c r="J240" s="4"/>
      <c r="K240" s="4"/>
      <c r="L240" s="4"/>
      <c r="M240" s="4"/>
      <c r="N240" s="4"/>
    </row>
    <row r="241" spans="1:14">
      <c r="A241" s="4"/>
      <c r="B241" s="4"/>
      <c r="C241" s="4"/>
      <c r="E241" s="4"/>
      <c r="F241" s="4"/>
      <c r="G241" s="4"/>
      <c r="H241" s="4"/>
      <c r="I241" s="4"/>
      <c r="J241" s="4"/>
      <c r="K241" s="4"/>
      <c r="L241" s="4"/>
      <c r="M241" s="4"/>
      <c r="N241" s="4"/>
    </row>
    <row r="242" spans="1:14">
      <c r="A242" s="4"/>
      <c r="B242" s="4"/>
      <c r="C242" s="4"/>
      <c r="E242" s="4"/>
      <c r="F242" s="4"/>
      <c r="G242" s="4"/>
      <c r="H242" s="4"/>
      <c r="I242" s="4"/>
      <c r="J242" s="4"/>
      <c r="K242" s="4"/>
      <c r="L242" s="4"/>
      <c r="M242" s="4"/>
      <c r="N242" s="4"/>
    </row>
    <row r="243" spans="1:14">
      <c r="A243" s="4"/>
      <c r="B243" s="4"/>
      <c r="C243" s="4"/>
      <c r="E243" s="4"/>
      <c r="F243" s="4"/>
      <c r="G243" s="4"/>
      <c r="H243" s="4"/>
      <c r="I243" s="4"/>
      <c r="J243" s="4"/>
      <c r="K243" s="4"/>
      <c r="L243" s="4"/>
      <c r="M243" s="4"/>
      <c r="N243" s="4"/>
    </row>
    <row r="244" spans="1:14">
      <c r="A244" s="4"/>
      <c r="B244" s="4"/>
      <c r="C244" s="4"/>
      <c r="E244" s="4"/>
      <c r="F244" s="4"/>
      <c r="G244" s="4"/>
      <c r="H244" s="4"/>
      <c r="I244" s="4"/>
      <c r="J244" s="4"/>
      <c r="K244" s="4"/>
      <c r="L244" s="4"/>
      <c r="M244" s="4"/>
      <c r="N244" s="4"/>
    </row>
    <row r="245" spans="1:14">
      <c r="A245" s="4"/>
      <c r="B245" s="4"/>
      <c r="C245" s="4"/>
      <c r="E245" s="4"/>
      <c r="F245" s="4"/>
      <c r="G245" s="4"/>
      <c r="H245" s="4"/>
      <c r="I245" s="4"/>
      <c r="J245" s="4"/>
      <c r="K245" s="4"/>
      <c r="L245" s="4"/>
      <c r="M245" s="4"/>
      <c r="N245" s="4"/>
    </row>
    <row r="246" spans="1:14">
      <c r="A246" s="4"/>
      <c r="B246" s="4"/>
      <c r="C246" s="4"/>
      <c r="E246" s="4"/>
      <c r="F246" s="4"/>
      <c r="G246" s="4"/>
      <c r="H246" s="4"/>
      <c r="I246" s="4"/>
      <c r="J246" s="4"/>
      <c r="K246" s="4"/>
      <c r="L246" s="4"/>
      <c r="M246" s="4"/>
      <c r="N246" s="4"/>
    </row>
    <row r="247" spans="1:14">
      <c r="A247" s="4"/>
      <c r="B247" s="4"/>
      <c r="C247" s="4"/>
      <c r="E247" s="4"/>
      <c r="F247" s="4"/>
      <c r="G247" s="4"/>
      <c r="H247" s="4"/>
      <c r="I247" s="4"/>
      <c r="J247" s="4"/>
      <c r="K247" s="4"/>
      <c r="L247" s="4"/>
      <c r="M247" s="4"/>
      <c r="N247" s="4"/>
    </row>
    <row r="248" spans="1:14">
      <c r="A248" s="4"/>
      <c r="B248" s="4"/>
      <c r="C248" s="4"/>
      <c r="E248" s="4"/>
      <c r="F248" s="4"/>
      <c r="G248" s="4"/>
      <c r="H248" s="4"/>
      <c r="I248" s="4"/>
      <c r="J248" s="4"/>
      <c r="K248" s="4"/>
      <c r="L248" s="4"/>
      <c r="M248" s="4"/>
      <c r="N248" s="4"/>
    </row>
    <row r="249" spans="1:14">
      <c r="A249" s="4"/>
      <c r="B249" s="4"/>
      <c r="C249" s="4"/>
      <c r="E249" s="4"/>
      <c r="F249" s="4"/>
      <c r="G249" s="4"/>
      <c r="H249" s="4"/>
      <c r="I249" s="4"/>
      <c r="J249" s="4"/>
      <c r="K249" s="4"/>
      <c r="L249" s="4"/>
      <c r="M249" s="4"/>
      <c r="N249" s="4"/>
    </row>
    <row r="250" spans="1:14">
      <c r="A250" s="4"/>
      <c r="B250" s="4"/>
      <c r="C250" s="4"/>
      <c r="E250" s="4"/>
      <c r="F250" s="4"/>
      <c r="G250" s="4"/>
      <c r="H250" s="4"/>
      <c r="I250" s="4"/>
      <c r="J250" s="4"/>
      <c r="K250" s="4"/>
      <c r="L250" s="4"/>
      <c r="M250" s="4"/>
      <c r="N250" s="4"/>
    </row>
    <row r="251" spans="1:14">
      <c r="A251" s="4"/>
      <c r="B251" s="4"/>
      <c r="C251" s="4"/>
      <c r="E251" s="4"/>
      <c r="F251" s="4"/>
      <c r="G251" s="4"/>
      <c r="H251" s="4"/>
      <c r="I251" s="4"/>
      <c r="J251" s="4"/>
      <c r="K251" s="4"/>
      <c r="L251" s="4"/>
      <c r="M251" s="4"/>
      <c r="N251" s="4"/>
    </row>
    <row r="252" spans="1:14">
      <c r="A252" s="4"/>
      <c r="B252" s="4"/>
      <c r="C252" s="4"/>
      <c r="E252" s="4"/>
      <c r="F252" s="4"/>
      <c r="G252" s="4"/>
      <c r="H252" s="4"/>
      <c r="I252" s="4"/>
      <c r="J252" s="4"/>
      <c r="K252" s="4"/>
      <c r="L252" s="4"/>
      <c r="M252" s="4"/>
      <c r="N252" s="4"/>
    </row>
    <row r="253" spans="1:14">
      <c r="A253" s="4"/>
      <c r="B253" s="4"/>
      <c r="C253" s="4"/>
      <c r="E253" s="4"/>
      <c r="F253" s="4"/>
      <c r="G253" s="4"/>
      <c r="H253" s="4"/>
      <c r="I253" s="4"/>
      <c r="J253" s="4"/>
      <c r="K253" s="4"/>
      <c r="L253" s="4"/>
      <c r="M253" s="4"/>
      <c r="N253" s="4"/>
    </row>
    <row r="254" spans="1:14">
      <c r="A254" s="4"/>
      <c r="B254" s="4"/>
      <c r="C254" s="4"/>
      <c r="E254" s="4"/>
      <c r="F254" s="4"/>
      <c r="G254" s="4"/>
      <c r="H254" s="4"/>
      <c r="I254" s="4"/>
      <c r="J254" s="4"/>
      <c r="K254" s="4"/>
      <c r="L254" s="4"/>
      <c r="M254" s="4"/>
      <c r="N254" s="4"/>
    </row>
    <row r="255" spans="1:14">
      <c r="A255" s="4"/>
      <c r="B255" s="4"/>
      <c r="C255" s="4"/>
      <c r="E255" s="4"/>
      <c r="F255" s="4"/>
      <c r="G255" s="4"/>
      <c r="H255" s="4"/>
      <c r="I255" s="4"/>
      <c r="J255" s="4"/>
      <c r="K255" s="4"/>
      <c r="L255" s="4"/>
      <c r="M255" s="4"/>
      <c r="N255" s="4"/>
    </row>
    <row r="256" spans="1:14">
      <c r="A256" s="4"/>
      <c r="B256" s="4"/>
      <c r="C256" s="4"/>
      <c r="E256" s="4"/>
      <c r="F256" s="4"/>
      <c r="G256" s="4"/>
      <c r="H256" s="4"/>
      <c r="I256" s="4"/>
      <c r="J256" s="4"/>
      <c r="K256" s="4"/>
      <c r="L256" s="4"/>
      <c r="M256" s="4"/>
      <c r="N256" s="4"/>
    </row>
    <row r="257" spans="1:14">
      <c r="A257" s="4"/>
      <c r="B257" s="4"/>
      <c r="C257" s="4"/>
      <c r="E257" s="4"/>
      <c r="F257" s="4"/>
      <c r="G257" s="4"/>
      <c r="H257" s="4"/>
      <c r="I257" s="4"/>
      <c r="J257" s="4"/>
      <c r="K257" s="4"/>
      <c r="L257" s="4"/>
      <c r="M257" s="4"/>
      <c r="N257" s="4"/>
    </row>
    <row r="258" spans="1:14">
      <c r="A258" s="4"/>
      <c r="B258" s="4"/>
      <c r="C258" s="4"/>
      <c r="E258" s="4"/>
      <c r="F258" s="4"/>
      <c r="G258" s="4"/>
      <c r="H258" s="4"/>
      <c r="I258" s="4"/>
      <c r="J258" s="4"/>
      <c r="K258" s="4"/>
      <c r="L258" s="4"/>
      <c r="M258" s="4"/>
      <c r="N258" s="4"/>
    </row>
    <row r="259" spans="1:14">
      <c r="A259" s="4"/>
      <c r="B259" s="4"/>
      <c r="C259" s="4"/>
      <c r="E259" s="4"/>
      <c r="F259" s="4"/>
      <c r="G259" s="4"/>
      <c r="H259" s="4"/>
      <c r="I259" s="4"/>
      <c r="J259" s="4"/>
      <c r="K259" s="4"/>
      <c r="L259" s="4"/>
      <c r="M259" s="4"/>
      <c r="N259" s="4"/>
    </row>
    <row r="260" spans="1:14">
      <c r="A260" s="4"/>
      <c r="B260" s="4"/>
      <c r="C260" s="4"/>
      <c r="E260" s="4"/>
      <c r="F260" s="4"/>
      <c r="G260" s="4"/>
      <c r="H260" s="4"/>
      <c r="I260" s="4"/>
      <c r="J260" s="4"/>
      <c r="K260" s="4"/>
      <c r="L260" s="4"/>
      <c r="M260" s="4"/>
      <c r="N260" s="4"/>
    </row>
    <row r="261" spans="1:14">
      <c r="A261" s="4"/>
      <c r="B261" s="4"/>
      <c r="C261" s="4"/>
      <c r="E261" s="4"/>
      <c r="F261" s="4"/>
      <c r="G261" s="4"/>
      <c r="H261" s="4"/>
      <c r="I261" s="4"/>
      <c r="J261" s="4"/>
      <c r="K261" s="4"/>
      <c r="L261" s="4"/>
      <c r="M261" s="4"/>
      <c r="N261" s="4"/>
    </row>
    <row r="262" spans="1:14">
      <c r="A262" s="4"/>
      <c r="B262" s="4"/>
      <c r="C262" s="4"/>
      <c r="E262" s="4"/>
      <c r="F262" s="4"/>
      <c r="G262" s="4"/>
      <c r="H262" s="4"/>
      <c r="I262" s="4"/>
      <c r="J262" s="4"/>
      <c r="K262" s="4"/>
      <c r="L262" s="4"/>
      <c r="M262" s="4"/>
      <c r="N262" s="4"/>
    </row>
    <row r="263" spans="1:14">
      <c r="A263" s="4"/>
      <c r="B263" s="4"/>
      <c r="C263" s="4"/>
      <c r="E263" s="4"/>
      <c r="F263" s="4"/>
      <c r="G263" s="4"/>
      <c r="H263" s="4"/>
      <c r="I263" s="4"/>
      <c r="J263" s="4"/>
      <c r="K263" s="4"/>
      <c r="L263" s="4"/>
      <c r="M263" s="4"/>
      <c r="N263" s="4"/>
    </row>
    <row r="264" spans="1:14">
      <c r="A264" s="4"/>
      <c r="B264" s="4"/>
      <c r="C264" s="4"/>
      <c r="E264" s="4"/>
      <c r="F264" s="4"/>
      <c r="G264" s="4"/>
      <c r="H264" s="4"/>
      <c r="I264" s="4"/>
      <c r="J264" s="4"/>
      <c r="K264" s="4"/>
      <c r="L264" s="4"/>
      <c r="M264" s="4"/>
      <c r="N264" s="4"/>
    </row>
    <row r="265" spans="1:14">
      <c r="A265" s="4"/>
      <c r="B265" s="4"/>
      <c r="C265" s="4"/>
      <c r="E265" s="4"/>
      <c r="F265" s="4"/>
      <c r="G265" s="4"/>
      <c r="H265" s="4"/>
      <c r="I265" s="4"/>
      <c r="J265" s="4"/>
      <c r="K265" s="4"/>
      <c r="L265" s="4"/>
      <c r="M265" s="4"/>
      <c r="N265" s="4"/>
    </row>
    <row r="266" spans="1:14">
      <c r="A266" s="4"/>
      <c r="B266" s="4"/>
      <c r="C266" s="4"/>
      <c r="E266" s="4"/>
      <c r="F266" s="4"/>
      <c r="G266" s="4"/>
      <c r="H266" s="4"/>
      <c r="I266" s="4"/>
      <c r="J266" s="4"/>
      <c r="K266" s="4"/>
      <c r="L266" s="4"/>
      <c r="M266" s="4"/>
      <c r="N266" s="4"/>
    </row>
    <row r="267" spans="1:14">
      <c r="A267" s="4"/>
      <c r="B267" s="4"/>
      <c r="C267" s="4"/>
      <c r="E267" s="4"/>
      <c r="F267" s="4"/>
      <c r="G267" s="4"/>
      <c r="H267" s="4"/>
      <c r="I267" s="4"/>
      <c r="J267" s="4"/>
      <c r="K267" s="4"/>
      <c r="L267" s="4"/>
      <c r="M267" s="4"/>
      <c r="N267" s="4"/>
    </row>
    <row r="268" spans="1:14">
      <c r="A268" s="4"/>
      <c r="B268" s="4"/>
      <c r="C268" s="4"/>
      <c r="E268" s="4"/>
      <c r="F268" s="4"/>
      <c r="G268" s="4"/>
      <c r="H268" s="4"/>
      <c r="I268" s="4"/>
      <c r="J268" s="4"/>
      <c r="K268" s="4"/>
      <c r="L268" s="4"/>
      <c r="M268" s="4"/>
      <c r="N268" s="4"/>
    </row>
    <row r="269" spans="1:14">
      <c r="A269" s="4"/>
      <c r="B269" s="4"/>
      <c r="C269" s="4"/>
      <c r="E269" s="4"/>
      <c r="F269" s="4"/>
      <c r="G269" s="4"/>
      <c r="H269" s="4"/>
      <c r="I269" s="4"/>
      <c r="J269" s="4"/>
      <c r="K269" s="4"/>
      <c r="L269" s="4"/>
      <c r="M269" s="4"/>
      <c r="N269" s="4"/>
    </row>
    <row r="270" spans="1:14">
      <c r="A270" s="4"/>
      <c r="B270" s="4"/>
      <c r="C270" s="4"/>
      <c r="E270" s="4"/>
      <c r="F270" s="4"/>
      <c r="G270" s="4"/>
      <c r="H270" s="4"/>
      <c r="I270" s="4"/>
      <c r="J270" s="4"/>
      <c r="K270" s="4"/>
      <c r="L270" s="4"/>
      <c r="M270" s="4"/>
      <c r="N270" s="4"/>
    </row>
    <row r="271" spans="1:14">
      <c r="A271" s="4"/>
      <c r="B271" s="4"/>
      <c r="C271" s="4"/>
      <c r="E271" s="4"/>
      <c r="F271" s="4"/>
      <c r="G271" s="4"/>
      <c r="H271" s="4"/>
      <c r="I271" s="4"/>
      <c r="J271" s="4"/>
      <c r="K271" s="4"/>
      <c r="L271" s="4"/>
      <c r="M271" s="4"/>
      <c r="N271" s="4"/>
    </row>
    <row r="272" spans="1:14">
      <c r="A272" s="4"/>
      <c r="B272" s="4"/>
      <c r="C272" s="4"/>
      <c r="E272" s="4"/>
      <c r="F272" s="4"/>
      <c r="G272" s="4"/>
      <c r="H272" s="4"/>
      <c r="I272" s="4"/>
      <c r="J272" s="4"/>
      <c r="K272" s="4"/>
      <c r="L272" s="4"/>
      <c r="M272" s="4"/>
      <c r="N272" s="4"/>
    </row>
    <row r="273" spans="1:14">
      <c r="A273" s="4"/>
      <c r="B273" s="4"/>
      <c r="C273" s="4"/>
      <c r="E273" s="4"/>
      <c r="F273" s="4"/>
      <c r="G273" s="4"/>
      <c r="H273" s="4"/>
      <c r="I273" s="4"/>
      <c r="J273" s="4"/>
      <c r="K273" s="4"/>
      <c r="L273" s="4"/>
      <c r="M273" s="4"/>
      <c r="N273" s="4"/>
    </row>
    <row r="274" spans="1:14">
      <c r="A274" s="4"/>
      <c r="B274" s="4"/>
      <c r="C274" s="4"/>
      <c r="E274" s="4"/>
      <c r="F274" s="4"/>
      <c r="G274" s="4"/>
      <c r="H274" s="4"/>
      <c r="I274" s="4"/>
      <c r="J274" s="4"/>
      <c r="K274" s="4"/>
      <c r="L274" s="4"/>
      <c r="M274" s="4"/>
      <c r="N274" s="4"/>
    </row>
    <row r="275" spans="1:14">
      <c r="A275" s="4"/>
      <c r="B275" s="4"/>
      <c r="C275" s="4"/>
      <c r="E275" s="4"/>
      <c r="F275" s="4"/>
      <c r="G275" s="4"/>
      <c r="H275" s="4"/>
      <c r="I275" s="4"/>
      <c r="J275" s="4"/>
      <c r="K275" s="4"/>
      <c r="L275" s="4"/>
      <c r="M275" s="4"/>
      <c r="N275" s="4"/>
    </row>
    <row r="276" spans="1:14">
      <c r="A276" s="4"/>
      <c r="B276" s="4"/>
      <c r="C276" s="4"/>
      <c r="E276" s="4"/>
      <c r="F276" s="4"/>
      <c r="G276" s="4"/>
      <c r="H276" s="4"/>
      <c r="I276" s="4"/>
      <c r="J276" s="4"/>
      <c r="K276" s="4"/>
      <c r="L276" s="4"/>
      <c r="M276" s="4"/>
      <c r="N276" s="4"/>
    </row>
    <row r="277" spans="1:14">
      <c r="A277" s="4"/>
      <c r="B277" s="4"/>
      <c r="C277" s="4"/>
      <c r="E277" s="4"/>
      <c r="F277" s="4"/>
      <c r="G277" s="4"/>
      <c r="H277" s="4"/>
      <c r="I277" s="4"/>
      <c r="J277" s="4"/>
      <c r="K277" s="4"/>
      <c r="L277" s="4"/>
      <c r="M277" s="4"/>
      <c r="N277" s="4"/>
    </row>
    <row r="278" spans="1:14">
      <c r="A278" s="4"/>
      <c r="B278" s="4"/>
      <c r="C278" s="4"/>
      <c r="E278" s="4"/>
      <c r="F278" s="4"/>
      <c r="G278" s="4"/>
      <c r="H278" s="4"/>
      <c r="I278" s="4"/>
      <c r="J278" s="4"/>
      <c r="K278" s="4"/>
      <c r="L278" s="4"/>
      <c r="M278" s="4"/>
      <c r="N278" s="4"/>
    </row>
    <row r="279" spans="1:14">
      <c r="A279" s="4"/>
      <c r="B279" s="4"/>
      <c r="C279" s="4"/>
      <c r="E279" s="4"/>
      <c r="F279" s="4"/>
      <c r="G279" s="4"/>
      <c r="H279" s="4"/>
      <c r="I279" s="4"/>
      <c r="J279" s="4"/>
      <c r="K279" s="4"/>
      <c r="L279" s="4"/>
      <c r="M279" s="4"/>
      <c r="N279" s="4"/>
    </row>
    <row r="280" spans="1:14">
      <c r="A280" s="4"/>
      <c r="B280" s="4"/>
      <c r="C280" s="4"/>
      <c r="E280" s="4"/>
      <c r="F280" s="4"/>
      <c r="G280" s="4"/>
      <c r="H280" s="4"/>
      <c r="I280" s="4"/>
      <c r="J280" s="4"/>
      <c r="K280" s="4"/>
      <c r="L280" s="4"/>
      <c r="M280" s="4"/>
      <c r="N280" s="4"/>
    </row>
    <row r="281" spans="1:14">
      <c r="A281" s="4"/>
      <c r="B281" s="4"/>
      <c r="C281" s="4"/>
      <c r="E281" s="4"/>
      <c r="F281" s="4"/>
      <c r="G281" s="4"/>
      <c r="H281" s="4"/>
      <c r="I281" s="4"/>
      <c r="J281" s="4"/>
      <c r="K281" s="4"/>
      <c r="L281" s="4"/>
      <c r="M281" s="4"/>
      <c r="N281" s="4"/>
    </row>
    <row r="282" spans="1:14">
      <c r="A282" s="4"/>
      <c r="B282" s="4"/>
      <c r="C282" s="4"/>
      <c r="E282" s="4"/>
      <c r="F282" s="4"/>
      <c r="G282" s="4"/>
      <c r="H282" s="4"/>
      <c r="I282" s="4"/>
      <c r="J282" s="4"/>
      <c r="K282" s="4"/>
      <c r="L282" s="4"/>
      <c r="M282" s="4"/>
      <c r="N282" s="4"/>
    </row>
    <row r="283" spans="1:14">
      <c r="A283" s="4"/>
      <c r="B283" s="4"/>
      <c r="C283" s="4"/>
      <c r="E283" s="4"/>
      <c r="F283" s="4"/>
      <c r="G283" s="4"/>
      <c r="H283" s="4"/>
      <c r="I283" s="4"/>
      <c r="J283" s="4"/>
      <c r="K283" s="4"/>
      <c r="L283" s="4"/>
      <c r="M283" s="4"/>
      <c r="N283" s="4"/>
    </row>
    <row r="284" spans="1:14">
      <c r="A284" s="4"/>
      <c r="B284" s="4"/>
      <c r="C284" s="4"/>
      <c r="E284" s="4"/>
      <c r="F284" s="4"/>
      <c r="G284" s="4"/>
      <c r="H284" s="4"/>
      <c r="I284" s="4"/>
      <c r="J284" s="4"/>
      <c r="K284" s="4"/>
      <c r="L284" s="4"/>
      <c r="M284" s="4"/>
      <c r="N284" s="4"/>
    </row>
    <row r="285" spans="1:14">
      <c r="A285" s="4"/>
      <c r="B285" s="4"/>
      <c r="C285" s="4"/>
      <c r="E285" s="4"/>
      <c r="F285" s="4"/>
      <c r="G285" s="4"/>
      <c r="H285" s="4"/>
      <c r="I285" s="4"/>
      <c r="J285" s="4"/>
      <c r="K285" s="4"/>
      <c r="L285" s="4"/>
      <c r="M285" s="4"/>
      <c r="N285" s="4"/>
    </row>
    <row r="286" spans="1:14">
      <c r="A286" s="4"/>
      <c r="B286" s="4"/>
      <c r="C286" s="4"/>
      <c r="E286" s="4"/>
      <c r="F286" s="4"/>
      <c r="G286" s="4"/>
      <c r="H286" s="4"/>
      <c r="I286" s="4"/>
      <c r="J286" s="4"/>
      <c r="K286" s="4"/>
      <c r="L286" s="4"/>
      <c r="M286" s="4"/>
      <c r="N286" s="4"/>
    </row>
    <row r="287" spans="1:14">
      <c r="A287" s="4"/>
      <c r="B287" s="4"/>
      <c r="C287" s="4"/>
      <c r="E287" s="4"/>
      <c r="F287" s="4"/>
      <c r="G287" s="4"/>
      <c r="H287" s="4"/>
      <c r="I287" s="4"/>
      <c r="J287" s="4"/>
      <c r="K287" s="4"/>
      <c r="L287" s="4"/>
      <c r="M287" s="4"/>
      <c r="N287" s="4"/>
    </row>
    <row r="288" spans="1:14">
      <c r="A288" s="4"/>
      <c r="B288" s="4"/>
      <c r="C288" s="4"/>
      <c r="E288" s="4"/>
      <c r="F288" s="4"/>
      <c r="G288" s="4"/>
      <c r="H288" s="4"/>
      <c r="I288" s="4"/>
      <c r="J288" s="4"/>
      <c r="K288" s="4"/>
      <c r="L288" s="4"/>
      <c r="M288" s="4"/>
      <c r="N288" s="4"/>
    </row>
    <row r="289" spans="1:14">
      <c r="A289" s="4"/>
      <c r="B289" s="4"/>
      <c r="C289" s="4"/>
      <c r="E289" s="4"/>
      <c r="F289" s="4"/>
      <c r="G289" s="4"/>
      <c r="H289" s="4"/>
      <c r="I289" s="4"/>
      <c r="J289" s="4"/>
      <c r="K289" s="4"/>
      <c r="L289" s="4"/>
      <c r="M289" s="4"/>
      <c r="N289" s="4"/>
    </row>
    <row r="290" spans="1:14">
      <c r="A290" s="4"/>
      <c r="B290" s="4"/>
      <c r="C290" s="4"/>
      <c r="E290" s="4"/>
      <c r="F290" s="4"/>
      <c r="G290" s="4"/>
      <c r="H290" s="4"/>
      <c r="I290" s="4"/>
      <c r="J290" s="4"/>
      <c r="K290" s="4"/>
      <c r="L290" s="4"/>
      <c r="M290" s="4"/>
      <c r="N290" s="4"/>
    </row>
    <row r="291" spans="1:14">
      <c r="A291" s="4"/>
      <c r="B291" s="4"/>
      <c r="C291" s="4"/>
      <c r="E291" s="4"/>
      <c r="F291" s="4"/>
      <c r="G291" s="4"/>
      <c r="H291" s="4"/>
      <c r="I291" s="4"/>
      <c r="J291" s="4"/>
      <c r="K291" s="4"/>
      <c r="L291" s="4"/>
      <c r="M291" s="4"/>
      <c r="N291" s="4"/>
    </row>
    <row r="292" spans="1:14">
      <c r="A292" s="4"/>
      <c r="B292" s="4"/>
      <c r="C292" s="4"/>
      <c r="E292" s="4"/>
      <c r="F292" s="4"/>
      <c r="G292" s="4"/>
      <c r="H292" s="4"/>
      <c r="I292" s="4"/>
      <c r="J292" s="4"/>
      <c r="K292" s="4"/>
      <c r="L292" s="4"/>
      <c r="M292" s="4"/>
      <c r="N292" s="4"/>
    </row>
    <row r="293" spans="1:14">
      <c r="A293" s="4"/>
      <c r="B293" s="4"/>
      <c r="C293" s="4"/>
      <c r="E293" s="4"/>
      <c r="F293" s="4"/>
      <c r="G293" s="4"/>
      <c r="H293" s="4"/>
      <c r="I293" s="4"/>
      <c r="J293" s="4"/>
      <c r="K293" s="4"/>
      <c r="L293" s="4"/>
      <c r="M293" s="4"/>
      <c r="N293" s="4"/>
    </row>
    <row r="294" spans="1:14">
      <c r="A294" s="4"/>
      <c r="B294" s="4"/>
      <c r="C294" s="4"/>
      <c r="E294" s="4"/>
      <c r="F294" s="4"/>
      <c r="G294" s="4"/>
      <c r="H294" s="4"/>
      <c r="I294" s="4"/>
      <c r="J294" s="4"/>
      <c r="K294" s="4"/>
      <c r="L294" s="4"/>
      <c r="M294" s="4"/>
      <c r="N294" s="4"/>
    </row>
    <row r="295" spans="1:14">
      <c r="A295" s="4"/>
      <c r="B295" s="4"/>
      <c r="C295" s="4"/>
      <c r="E295" s="4"/>
      <c r="F295" s="4"/>
      <c r="G295" s="4"/>
      <c r="H295" s="4"/>
      <c r="I295" s="4"/>
      <c r="J295" s="4"/>
      <c r="K295" s="4"/>
      <c r="L295" s="4"/>
      <c r="M295" s="4"/>
      <c r="N295" s="4"/>
    </row>
    <row r="296" spans="1:14">
      <c r="A296" s="4"/>
      <c r="B296" s="4"/>
      <c r="C296" s="4"/>
      <c r="E296" s="4"/>
      <c r="F296" s="4"/>
      <c r="G296" s="4"/>
      <c r="H296" s="4"/>
      <c r="I296" s="4"/>
      <c r="J296" s="4"/>
      <c r="K296" s="4"/>
      <c r="L296" s="4"/>
      <c r="M296" s="4"/>
      <c r="N296" s="4"/>
    </row>
    <row r="297" spans="1:14">
      <c r="A297" s="4"/>
      <c r="B297" s="4"/>
      <c r="C297" s="4"/>
      <c r="E297" s="4"/>
      <c r="F297" s="4"/>
      <c r="G297" s="4"/>
      <c r="H297" s="4"/>
      <c r="I297" s="4"/>
      <c r="J297" s="4"/>
      <c r="K297" s="4"/>
      <c r="L297" s="4"/>
      <c r="M297" s="4"/>
      <c r="N297" s="4"/>
    </row>
    <row r="298" spans="1:14">
      <c r="A298" s="4"/>
      <c r="B298" s="4"/>
      <c r="C298" s="4"/>
      <c r="E298" s="4"/>
      <c r="F298" s="4"/>
      <c r="G298" s="4"/>
      <c r="H298" s="4"/>
      <c r="I298" s="4"/>
      <c r="J298" s="4"/>
      <c r="K298" s="4"/>
      <c r="L298" s="4"/>
      <c r="M298" s="4"/>
      <c r="N298" s="4"/>
    </row>
    <row r="299" spans="1:14">
      <c r="A299" s="4"/>
      <c r="B299" s="4"/>
      <c r="C299" s="4"/>
      <c r="E299" s="4"/>
      <c r="F299" s="4"/>
      <c r="G299" s="4"/>
      <c r="H299" s="4"/>
      <c r="I299" s="4"/>
      <c r="J299" s="4"/>
      <c r="K299" s="4"/>
      <c r="L299" s="4"/>
      <c r="M299" s="4"/>
      <c r="N299" s="4"/>
    </row>
    <row r="300" spans="1:14">
      <c r="A300" s="4"/>
      <c r="B300" s="4"/>
      <c r="C300" s="4"/>
      <c r="E300" s="4"/>
      <c r="F300" s="4"/>
      <c r="G300" s="4"/>
      <c r="H300" s="4"/>
      <c r="I300" s="4"/>
      <c r="J300" s="4"/>
      <c r="K300" s="4"/>
      <c r="L300" s="4"/>
      <c r="M300" s="4"/>
      <c r="N300" s="4"/>
    </row>
    <row r="301" spans="1:14">
      <c r="A301" s="4"/>
      <c r="B301" s="4"/>
      <c r="C301" s="4"/>
      <c r="E301" s="4"/>
      <c r="F301" s="4"/>
      <c r="G301" s="4"/>
      <c r="H301" s="4"/>
      <c r="I301" s="4"/>
      <c r="J301" s="4"/>
      <c r="K301" s="4"/>
      <c r="L301" s="4"/>
      <c r="M301" s="4"/>
      <c r="N301" s="4"/>
    </row>
    <row r="302" spans="1:14">
      <c r="A302" s="4"/>
      <c r="B302" s="4"/>
      <c r="C302" s="4"/>
      <c r="E302" s="4"/>
      <c r="F302" s="4"/>
      <c r="G302" s="4"/>
      <c r="H302" s="4"/>
      <c r="I302" s="4"/>
      <c r="J302" s="4"/>
      <c r="K302" s="4"/>
      <c r="L302" s="4"/>
      <c r="M302" s="4"/>
      <c r="N302" s="4"/>
    </row>
    <row r="303" spans="1:14">
      <c r="A303" s="4"/>
      <c r="B303" s="4"/>
      <c r="C303" s="4"/>
      <c r="E303" s="4"/>
      <c r="F303" s="4"/>
      <c r="G303" s="4"/>
      <c r="H303" s="4"/>
      <c r="I303" s="4"/>
      <c r="J303" s="4"/>
      <c r="K303" s="4"/>
      <c r="L303" s="4"/>
      <c r="M303" s="4"/>
      <c r="N303" s="4"/>
    </row>
    <row r="304" spans="1:14">
      <c r="A304" s="4"/>
      <c r="B304" s="4"/>
      <c r="C304" s="4"/>
      <c r="E304" s="4"/>
      <c r="F304" s="4"/>
      <c r="G304" s="4"/>
      <c r="H304" s="4"/>
      <c r="I304" s="4"/>
      <c r="J304" s="4"/>
      <c r="K304" s="4"/>
      <c r="L304" s="4"/>
      <c r="M304" s="4"/>
      <c r="N304" s="4"/>
    </row>
    <row r="305" spans="1:14">
      <c r="A305" s="4"/>
      <c r="B305" s="4"/>
      <c r="C305" s="4"/>
      <c r="E305" s="4"/>
      <c r="F305" s="4"/>
      <c r="G305" s="4"/>
      <c r="H305" s="4"/>
      <c r="I305" s="4"/>
      <c r="J305" s="4"/>
      <c r="K305" s="4"/>
      <c r="L305" s="4"/>
      <c r="M305" s="4"/>
      <c r="N305" s="4"/>
    </row>
    <row r="306" spans="1:14">
      <c r="A306" s="4"/>
      <c r="B306" s="4"/>
      <c r="C306" s="4"/>
      <c r="E306" s="4"/>
      <c r="F306" s="4"/>
      <c r="G306" s="4"/>
      <c r="H306" s="4"/>
      <c r="I306" s="4"/>
      <c r="J306" s="4"/>
      <c r="K306" s="4"/>
      <c r="L306" s="4"/>
      <c r="M306" s="4"/>
      <c r="N306" s="4"/>
    </row>
    <row r="307" spans="1:14">
      <c r="A307" s="4"/>
      <c r="B307" s="4"/>
      <c r="C307" s="4"/>
      <c r="E307" s="4"/>
      <c r="F307" s="4"/>
      <c r="G307" s="4"/>
      <c r="H307" s="4"/>
      <c r="I307" s="4"/>
      <c r="J307" s="4"/>
      <c r="K307" s="4"/>
      <c r="L307" s="4"/>
      <c r="M307" s="4"/>
      <c r="N307" s="4"/>
    </row>
    <row r="308" spans="1:14">
      <c r="A308" s="4"/>
      <c r="B308" s="4"/>
      <c r="C308" s="4"/>
      <c r="E308" s="4"/>
      <c r="F308" s="4"/>
      <c r="G308" s="4"/>
      <c r="H308" s="4"/>
      <c r="I308" s="4"/>
      <c r="J308" s="4"/>
      <c r="K308" s="4"/>
      <c r="L308" s="4"/>
      <c r="M308" s="4"/>
      <c r="N308" s="4"/>
    </row>
    <row r="309" spans="1:14">
      <c r="A309" s="4"/>
      <c r="B309" s="4"/>
      <c r="C309" s="4"/>
      <c r="E309" s="4"/>
      <c r="F309" s="4"/>
      <c r="G309" s="4"/>
      <c r="H309" s="4"/>
      <c r="I309" s="4"/>
      <c r="J309" s="4"/>
      <c r="K309" s="4"/>
      <c r="L309" s="4"/>
      <c r="M309" s="4"/>
      <c r="N309" s="4"/>
    </row>
    <row r="310" spans="1:14">
      <c r="A310" s="4"/>
      <c r="B310" s="4"/>
      <c r="C310" s="4"/>
      <c r="E310" s="4"/>
      <c r="F310" s="4"/>
      <c r="G310" s="4"/>
      <c r="H310" s="4"/>
      <c r="I310" s="4"/>
      <c r="J310" s="4"/>
      <c r="K310" s="4"/>
      <c r="L310" s="4"/>
      <c r="M310" s="4"/>
      <c r="N310" s="4"/>
    </row>
    <row r="311" spans="1:14">
      <c r="A311" s="4"/>
      <c r="B311" s="4"/>
      <c r="C311" s="4"/>
      <c r="E311" s="4"/>
      <c r="F311" s="4"/>
      <c r="G311" s="4"/>
      <c r="H311" s="4"/>
      <c r="I311" s="4"/>
      <c r="J311" s="4"/>
      <c r="K311" s="4"/>
      <c r="L311" s="4"/>
      <c r="M311" s="4"/>
      <c r="N311" s="4"/>
    </row>
    <row r="312" spans="1:14">
      <c r="A312" s="4"/>
      <c r="B312" s="4"/>
      <c r="C312" s="4"/>
      <c r="E312" s="4"/>
      <c r="F312" s="4"/>
      <c r="G312" s="4"/>
      <c r="H312" s="4"/>
      <c r="I312" s="4"/>
      <c r="J312" s="4"/>
      <c r="K312" s="4"/>
      <c r="L312" s="4"/>
      <c r="M312" s="4"/>
      <c r="N312" s="4"/>
    </row>
    <row r="313" spans="1:14">
      <c r="A313" s="4"/>
      <c r="B313" s="4"/>
      <c r="C313" s="4"/>
      <c r="E313" s="4"/>
      <c r="F313" s="4"/>
      <c r="G313" s="4"/>
      <c r="H313" s="4"/>
      <c r="I313" s="4"/>
      <c r="J313" s="4"/>
      <c r="K313" s="4"/>
      <c r="L313" s="4"/>
      <c r="M313" s="4"/>
      <c r="N313" s="4"/>
    </row>
    <row r="314" spans="1:14">
      <c r="A314" s="4"/>
      <c r="B314" s="4"/>
      <c r="C314" s="4"/>
      <c r="E314" s="4"/>
      <c r="F314" s="4"/>
      <c r="G314" s="4"/>
      <c r="H314" s="4"/>
      <c r="I314" s="4"/>
      <c r="J314" s="4"/>
      <c r="K314" s="4"/>
      <c r="L314" s="4"/>
      <c r="M314" s="4"/>
      <c r="N314" s="4"/>
    </row>
    <row r="315" spans="1:14">
      <c r="A315" s="4"/>
      <c r="B315" s="4"/>
      <c r="C315" s="4"/>
      <c r="E315" s="4"/>
      <c r="F315" s="4"/>
      <c r="G315" s="4"/>
      <c r="H315" s="4"/>
      <c r="I315" s="4"/>
      <c r="J315" s="4"/>
      <c r="K315" s="4"/>
      <c r="L315" s="4"/>
      <c r="M315" s="4"/>
      <c r="N315" s="4"/>
    </row>
    <row r="316" spans="1:14">
      <c r="A316" s="4"/>
      <c r="B316" s="4"/>
      <c r="C316" s="4"/>
      <c r="E316" s="4"/>
      <c r="F316" s="4"/>
      <c r="G316" s="4"/>
      <c r="H316" s="4"/>
      <c r="I316" s="4"/>
      <c r="J316" s="4"/>
      <c r="K316" s="4"/>
      <c r="L316" s="4"/>
      <c r="M316" s="4"/>
      <c r="N316" s="4"/>
    </row>
    <row r="317" spans="1:14">
      <c r="A317" s="4"/>
      <c r="B317" s="4"/>
      <c r="C317" s="4"/>
      <c r="E317" s="4"/>
      <c r="F317" s="4"/>
      <c r="G317" s="4"/>
      <c r="H317" s="4"/>
      <c r="I317" s="4"/>
      <c r="J317" s="4"/>
      <c r="K317" s="4"/>
      <c r="L317" s="4"/>
      <c r="M317" s="4"/>
      <c r="N317" s="4"/>
    </row>
    <row r="318" spans="1:14">
      <c r="A318" s="4"/>
      <c r="B318" s="4"/>
      <c r="C318" s="4"/>
      <c r="E318" s="4"/>
      <c r="F318" s="4"/>
      <c r="G318" s="4"/>
      <c r="H318" s="4"/>
      <c r="I318" s="4"/>
      <c r="J318" s="4"/>
      <c r="K318" s="4"/>
      <c r="L318" s="4"/>
      <c r="M318" s="4"/>
      <c r="N318" s="4"/>
    </row>
    <row r="319" spans="1:14">
      <c r="A319" s="4"/>
      <c r="B319" s="4"/>
      <c r="C319" s="4"/>
      <c r="E319" s="4"/>
      <c r="F319" s="4"/>
      <c r="G319" s="4"/>
      <c r="H319" s="4"/>
      <c r="I319" s="4"/>
      <c r="J319" s="4"/>
      <c r="K319" s="4"/>
      <c r="L319" s="4"/>
      <c r="M319" s="4"/>
      <c r="N319" s="4"/>
    </row>
    <row r="320" spans="1:14">
      <c r="A320" s="4"/>
      <c r="B320" s="4"/>
      <c r="C320" s="4"/>
      <c r="E320" s="4"/>
      <c r="F320" s="4"/>
      <c r="G320" s="4"/>
      <c r="H320" s="4"/>
      <c r="I320" s="4"/>
      <c r="J320" s="4"/>
      <c r="K320" s="4"/>
      <c r="L320" s="4"/>
      <c r="M320" s="4"/>
      <c r="N320" s="4"/>
    </row>
    <row r="321" spans="1:14">
      <c r="A321" s="4"/>
      <c r="B321" s="4"/>
      <c r="C321" s="4"/>
      <c r="E321" s="4"/>
      <c r="F321" s="4"/>
      <c r="G321" s="4"/>
      <c r="H321" s="4"/>
      <c r="I321" s="4"/>
      <c r="J321" s="4"/>
      <c r="K321" s="4"/>
      <c r="L321" s="4"/>
      <c r="M321" s="4"/>
      <c r="N321" s="4"/>
    </row>
    <row r="322" spans="1:14">
      <c r="A322" s="4"/>
      <c r="B322" s="4"/>
      <c r="C322" s="4"/>
      <c r="E322" s="4"/>
      <c r="F322" s="4"/>
      <c r="G322" s="4"/>
      <c r="H322" s="4"/>
      <c r="I322" s="4"/>
      <c r="J322" s="4"/>
      <c r="K322" s="4"/>
      <c r="L322" s="4"/>
      <c r="M322" s="4"/>
      <c r="N322" s="4"/>
    </row>
    <row r="323" spans="1:14">
      <c r="A323" s="4"/>
      <c r="B323" s="4"/>
      <c r="C323" s="4"/>
      <c r="E323" s="4"/>
      <c r="F323" s="4"/>
      <c r="G323" s="4"/>
      <c r="H323" s="4"/>
      <c r="I323" s="4"/>
      <c r="J323" s="4"/>
      <c r="K323" s="4"/>
      <c r="L323" s="4"/>
      <c r="M323" s="4"/>
      <c r="N323" s="4"/>
    </row>
    <row r="324" spans="1:14">
      <c r="A324" s="4"/>
      <c r="B324" s="4"/>
      <c r="C324" s="4"/>
      <c r="E324" s="4"/>
      <c r="F324" s="4"/>
      <c r="G324" s="4"/>
      <c r="H324" s="4"/>
      <c r="I324" s="4"/>
      <c r="J324" s="4"/>
      <c r="K324" s="4"/>
      <c r="L324" s="4"/>
      <c r="M324" s="4"/>
      <c r="N324" s="4"/>
    </row>
    <row r="325" spans="1:14">
      <c r="A325" s="4"/>
      <c r="B325" s="4"/>
      <c r="C325" s="4"/>
      <c r="E325" s="4"/>
      <c r="F325" s="4"/>
      <c r="G325" s="4"/>
      <c r="H325" s="4"/>
      <c r="I325" s="4"/>
      <c r="J325" s="4"/>
      <c r="K325" s="4"/>
      <c r="L325" s="4"/>
      <c r="M325" s="4"/>
      <c r="N325" s="4"/>
    </row>
    <row r="326" spans="1:14">
      <c r="A326" s="4"/>
      <c r="B326" s="4"/>
      <c r="C326" s="4"/>
      <c r="E326" s="4"/>
      <c r="F326" s="4"/>
      <c r="G326" s="4"/>
      <c r="H326" s="4"/>
      <c r="I326" s="4"/>
      <c r="J326" s="4"/>
      <c r="K326" s="4"/>
      <c r="L326" s="4"/>
      <c r="M326" s="4"/>
      <c r="N326" s="4"/>
    </row>
    <row r="327" spans="1:14">
      <c r="A327" s="4"/>
      <c r="B327" s="4"/>
      <c r="C327" s="4"/>
      <c r="E327" s="4"/>
      <c r="F327" s="4"/>
      <c r="G327" s="4"/>
      <c r="H327" s="4"/>
      <c r="I327" s="4"/>
      <c r="J327" s="4"/>
      <c r="K327" s="4"/>
      <c r="L327" s="4"/>
      <c r="M327" s="4"/>
      <c r="N327" s="4"/>
    </row>
    <row r="328" spans="1:14">
      <c r="A328" s="4"/>
      <c r="B328" s="4"/>
      <c r="C328" s="4"/>
      <c r="E328" s="4"/>
      <c r="F328" s="4"/>
      <c r="G328" s="4"/>
      <c r="H328" s="4"/>
      <c r="I328" s="4"/>
      <c r="J328" s="4"/>
      <c r="K328" s="4"/>
      <c r="L328" s="4"/>
      <c r="M328" s="4"/>
      <c r="N328" s="4"/>
    </row>
    <row r="329" spans="1:14">
      <c r="A329" s="4"/>
      <c r="B329" s="4"/>
      <c r="C329" s="4"/>
      <c r="E329" s="4"/>
      <c r="F329" s="4"/>
      <c r="G329" s="4"/>
      <c r="H329" s="4"/>
      <c r="I329" s="4"/>
      <c r="J329" s="4"/>
      <c r="K329" s="4"/>
      <c r="L329" s="4"/>
      <c r="M329" s="4"/>
      <c r="N329" s="4"/>
    </row>
    <row r="330" spans="1:14">
      <c r="A330" s="4"/>
      <c r="B330" s="4"/>
      <c r="C330" s="4"/>
      <c r="E330" s="4"/>
      <c r="F330" s="4"/>
      <c r="G330" s="4"/>
      <c r="H330" s="4"/>
      <c r="I330" s="4"/>
      <c r="J330" s="4"/>
      <c r="K330" s="4"/>
      <c r="L330" s="4"/>
      <c r="M330" s="4"/>
      <c r="N330" s="4"/>
    </row>
    <row r="331" spans="1:14">
      <c r="A331" s="4"/>
      <c r="B331" s="4"/>
      <c r="C331" s="4"/>
      <c r="E331" s="4"/>
      <c r="F331" s="4"/>
      <c r="G331" s="4"/>
      <c r="H331" s="4"/>
      <c r="I331" s="4"/>
      <c r="J331" s="4"/>
      <c r="K331" s="4"/>
      <c r="L331" s="4"/>
      <c r="M331" s="4"/>
      <c r="N331" s="4"/>
    </row>
    <row r="332" spans="1:14">
      <c r="A332" s="4"/>
      <c r="B332" s="4"/>
      <c r="C332" s="4"/>
      <c r="E332" s="4"/>
      <c r="F332" s="4"/>
      <c r="G332" s="4"/>
      <c r="H332" s="4"/>
      <c r="I332" s="4"/>
      <c r="J332" s="4"/>
      <c r="K332" s="4"/>
      <c r="L332" s="4"/>
      <c r="M332" s="4"/>
      <c r="N332" s="4"/>
    </row>
    <row r="333" spans="1:14">
      <c r="A333" s="4"/>
      <c r="B333" s="4"/>
      <c r="C333" s="4"/>
      <c r="E333" s="4"/>
      <c r="F333" s="4"/>
      <c r="G333" s="4"/>
      <c r="H333" s="4"/>
      <c r="I333" s="4"/>
      <c r="J333" s="4"/>
      <c r="K333" s="4"/>
      <c r="L333" s="4"/>
      <c r="M333" s="4"/>
      <c r="N333" s="4"/>
    </row>
    <row r="334" spans="1:14">
      <c r="A334" s="4"/>
      <c r="B334" s="4"/>
      <c r="C334" s="4"/>
      <c r="E334" s="4"/>
      <c r="F334" s="4"/>
      <c r="G334" s="4"/>
      <c r="H334" s="4"/>
      <c r="I334" s="4"/>
      <c r="J334" s="4"/>
      <c r="K334" s="4"/>
      <c r="L334" s="4"/>
      <c r="M334" s="4"/>
      <c r="N334" s="4"/>
    </row>
    <row r="335" spans="1:14">
      <c r="A335" s="4"/>
      <c r="B335" s="4"/>
      <c r="C335" s="4"/>
      <c r="E335" s="4"/>
      <c r="F335" s="4"/>
      <c r="G335" s="4"/>
      <c r="H335" s="4"/>
      <c r="I335" s="4"/>
      <c r="J335" s="4"/>
      <c r="K335" s="4"/>
      <c r="L335" s="4"/>
      <c r="M335" s="4"/>
      <c r="N335" s="4"/>
    </row>
    <row r="336" spans="1:14">
      <c r="A336" s="4"/>
      <c r="B336" s="4"/>
      <c r="C336" s="4"/>
      <c r="E336" s="4"/>
      <c r="F336" s="4"/>
      <c r="G336" s="4"/>
      <c r="H336" s="4"/>
      <c r="I336" s="4"/>
      <c r="J336" s="4"/>
      <c r="K336" s="4"/>
      <c r="L336" s="4"/>
      <c r="M336" s="4"/>
      <c r="N336" s="4"/>
    </row>
    <row r="337" spans="1:14">
      <c r="A337" s="4"/>
      <c r="B337" s="4"/>
      <c r="C337" s="4"/>
      <c r="E337" s="4"/>
      <c r="F337" s="4"/>
      <c r="G337" s="4"/>
      <c r="H337" s="4"/>
      <c r="I337" s="4"/>
      <c r="J337" s="4"/>
      <c r="K337" s="4"/>
      <c r="L337" s="4"/>
      <c r="M337" s="4"/>
      <c r="N337" s="4"/>
    </row>
    <row r="338" spans="1:14">
      <c r="A338" s="4"/>
      <c r="B338" s="4"/>
      <c r="C338" s="4"/>
      <c r="E338" s="4"/>
      <c r="F338" s="4"/>
      <c r="G338" s="4"/>
      <c r="H338" s="4"/>
      <c r="I338" s="4"/>
      <c r="J338" s="4"/>
      <c r="K338" s="4"/>
      <c r="L338" s="4"/>
      <c r="M338" s="4"/>
      <c r="N338" s="4"/>
    </row>
    <row r="339" spans="1:14">
      <c r="A339" s="4"/>
      <c r="B339" s="4"/>
      <c r="C339" s="4"/>
      <c r="E339" s="4"/>
      <c r="F339" s="4"/>
      <c r="G339" s="4"/>
      <c r="H339" s="4"/>
      <c r="I339" s="4"/>
      <c r="J339" s="4"/>
      <c r="K339" s="4"/>
      <c r="L339" s="4"/>
      <c r="M339" s="4"/>
      <c r="N339" s="4"/>
    </row>
    <row r="340" spans="1:14">
      <c r="A340" s="4"/>
      <c r="B340" s="4"/>
      <c r="C340" s="4"/>
      <c r="E340" s="4"/>
      <c r="F340" s="4"/>
      <c r="G340" s="4"/>
      <c r="H340" s="4"/>
      <c r="I340" s="4"/>
      <c r="J340" s="4"/>
      <c r="K340" s="4"/>
      <c r="L340" s="4"/>
      <c r="M340" s="4"/>
      <c r="N340" s="4"/>
    </row>
    <row r="341" spans="1:14">
      <c r="A341" s="4"/>
      <c r="B341" s="4"/>
      <c r="C341" s="4"/>
      <c r="E341" s="4"/>
      <c r="F341" s="4"/>
      <c r="G341" s="4"/>
      <c r="H341" s="4"/>
      <c r="I341" s="4"/>
      <c r="J341" s="4"/>
      <c r="K341" s="4"/>
      <c r="L341" s="4"/>
      <c r="M341" s="4"/>
      <c r="N341" s="4"/>
    </row>
    <row r="342" spans="1:14">
      <c r="A342" s="4"/>
      <c r="B342" s="4"/>
      <c r="C342" s="4"/>
      <c r="E342" s="4"/>
      <c r="F342" s="4"/>
      <c r="G342" s="4"/>
      <c r="H342" s="4"/>
      <c r="I342" s="4"/>
      <c r="J342" s="4"/>
      <c r="K342" s="4"/>
      <c r="L342" s="4"/>
      <c r="M342" s="4"/>
      <c r="N342" s="4"/>
    </row>
    <row r="343" spans="1:14">
      <c r="A343" s="4"/>
      <c r="B343" s="4"/>
      <c r="C343" s="4"/>
      <c r="E343" s="4"/>
      <c r="F343" s="4"/>
      <c r="G343" s="4"/>
      <c r="H343" s="4"/>
      <c r="I343" s="4"/>
      <c r="J343" s="4"/>
      <c r="K343" s="4"/>
      <c r="L343" s="4"/>
      <c r="M343" s="4"/>
      <c r="N343" s="4"/>
    </row>
    <row r="344" spans="1:14">
      <c r="A344" s="4"/>
      <c r="B344" s="4"/>
      <c r="C344" s="4"/>
      <c r="E344" s="4"/>
      <c r="F344" s="4"/>
      <c r="G344" s="4"/>
      <c r="H344" s="4"/>
      <c r="I344" s="4"/>
      <c r="J344" s="4"/>
      <c r="K344" s="4"/>
      <c r="L344" s="4"/>
      <c r="M344" s="4"/>
      <c r="N344" s="4"/>
    </row>
    <row r="345" spans="1:14">
      <c r="A345" s="4"/>
      <c r="B345" s="4"/>
      <c r="C345" s="4"/>
      <c r="E345" s="4"/>
      <c r="F345" s="4"/>
      <c r="G345" s="4"/>
      <c r="H345" s="4"/>
      <c r="I345" s="4"/>
      <c r="J345" s="4"/>
      <c r="K345" s="4"/>
      <c r="L345" s="4"/>
      <c r="M345" s="4"/>
      <c r="N345" s="4"/>
    </row>
    <row r="346" spans="1:14">
      <c r="A346" s="4"/>
      <c r="B346" s="4"/>
      <c r="C346" s="4"/>
      <c r="E346" s="4"/>
      <c r="F346" s="4"/>
      <c r="G346" s="4"/>
      <c r="H346" s="4"/>
      <c r="I346" s="4"/>
      <c r="J346" s="4"/>
      <c r="K346" s="4"/>
      <c r="L346" s="4"/>
      <c r="M346" s="4"/>
      <c r="N346" s="4"/>
    </row>
    <row r="347" spans="1:14">
      <c r="A347" s="4"/>
      <c r="B347" s="4"/>
      <c r="C347" s="4"/>
      <c r="E347" s="4"/>
      <c r="F347" s="4"/>
      <c r="G347" s="4"/>
      <c r="H347" s="4"/>
      <c r="I347" s="4"/>
      <c r="J347" s="4"/>
      <c r="K347" s="4"/>
      <c r="L347" s="4"/>
      <c r="M347" s="4"/>
      <c r="N347" s="4"/>
    </row>
    <row r="348" spans="1:14">
      <c r="A348" s="4"/>
      <c r="B348" s="4"/>
      <c r="C348" s="4"/>
      <c r="E348" s="4"/>
      <c r="F348" s="4"/>
      <c r="G348" s="4"/>
      <c r="H348" s="4"/>
      <c r="I348" s="4"/>
      <c r="J348" s="4"/>
      <c r="K348" s="4"/>
      <c r="L348" s="4"/>
      <c r="M348" s="4"/>
      <c r="N348" s="4"/>
    </row>
    <row r="349" spans="1:14">
      <c r="A349" s="4"/>
      <c r="B349" s="4"/>
      <c r="C349" s="4"/>
      <c r="E349" s="4"/>
      <c r="F349" s="4"/>
      <c r="G349" s="4"/>
      <c r="H349" s="4"/>
      <c r="I349" s="4"/>
      <c r="J349" s="4"/>
      <c r="K349" s="4"/>
      <c r="L349" s="4"/>
      <c r="M349" s="4"/>
      <c r="N349" s="4"/>
    </row>
    <row r="350" spans="1:14">
      <c r="A350" s="4"/>
      <c r="B350" s="4"/>
      <c r="C350" s="4"/>
      <c r="E350" s="4"/>
      <c r="F350" s="4"/>
      <c r="G350" s="4"/>
      <c r="H350" s="4"/>
      <c r="I350" s="4"/>
      <c r="J350" s="4"/>
      <c r="K350" s="4"/>
      <c r="L350" s="4"/>
      <c r="M350" s="4"/>
      <c r="N350" s="4"/>
    </row>
    <row r="351" spans="1:14">
      <c r="A351" s="4"/>
      <c r="B351" s="4"/>
      <c r="C351" s="4"/>
      <c r="E351" s="4"/>
      <c r="F351" s="4"/>
      <c r="G351" s="4"/>
      <c r="H351" s="4"/>
      <c r="I351" s="4"/>
      <c r="J351" s="4"/>
      <c r="K351" s="4"/>
      <c r="L351" s="4"/>
      <c r="M351" s="4"/>
      <c r="N351" s="4"/>
    </row>
    <row r="352" spans="1:14">
      <c r="A352" s="4"/>
      <c r="B352" s="4"/>
      <c r="C352" s="4"/>
      <c r="E352" s="4"/>
      <c r="F352" s="4"/>
      <c r="G352" s="4"/>
      <c r="H352" s="4"/>
      <c r="I352" s="4"/>
      <c r="J352" s="4"/>
      <c r="K352" s="4"/>
      <c r="L352" s="4"/>
      <c r="M352" s="4"/>
      <c r="N352" s="4"/>
    </row>
    <row r="353" spans="1:14">
      <c r="A353" s="4"/>
      <c r="B353" s="4"/>
      <c r="C353" s="4"/>
      <c r="E353" s="4"/>
      <c r="F353" s="4"/>
      <c r="G353" s="4"/>
      <c r="H353" s="4"/>
      <c r="I353" s="4"/>
      <c r="J353" s="4"/>
      <c r="K353" s="4"/>
      <c r="L353" s="4"/>
      <c r="M353" s="4"/>
      <c r="N353" s="4"/>
    </row>
    <row r="354" spans="1:14">
      <c r="A354" s="4"/>
      <c r="B354" s="4"/>
      <c r="C354" s="4"/>
      <c r="E354" s="4"/>
      <c r="F354" s="4"/>
      <c r="G354" s="4"/>
      <c r="H354" s="4"/>
      <c r="I354" s="4"/>
      <c r="J354" s="4"/>
      <c r="K354" s="4"/>
      <c r="L354" s="4"/>
      <c r="M354" s="4"/>
      <c r="N354" s="4"/>
    </row>
    <row r="355" spans="1:14">
      <c r="A355" s="4"/>
      <c r="B355" s="4"/>
      <c r="C355" s="4"/>
      <c r="E355" s="4"/>
      <c r="F355" s="4"/>
      <c r="G355" s="4"/>
      <c r="H355" s="4"/>
      <c r="I355" s="4"/>
      <c r="J355" s="4"/>
      <c r="K355" s="4"/>
      <c r="L355" s="4"/>
      <c r="M355" s="4"/>
      <c r="N355" s="4"/>
    </row>
    <row r="356" spans="1:14">
      <c r="A356" s="4"/>
      <c r="B356" s="4"/>
      <c r="C356" s="4"/>
      <c r="E356" s="4"/>
      <c r="F356" s="4"/>
      <c r="G356" s="4"/>
      <c r="H356" s="4"/>
      <c r="I356" s="4"/>
      <c r="J356" s="4"/>
      <c r="K356" s="4"/>
      <c r="L356" s="4"/>
      <c r="M356" s="4"/>
      <c r="N356" s="4"/>
    </row>
    <row r="357" spans="1:14">
      <c r="A357" s="4"/>
      <c r="B357" s="4"/>
      <c r="C357" s="4"/>
      <c r="E357" s="4"/>
      <c r="F357" s="4"/>
      <c r="G357" s="4"/>
      <c r="H357" s="4"/>
      <c r="I357" s="4"/>
      <c r="J357" s="4"/>
      <c r="K357" s="4"/>
      <c r="L357" s="4"/>
      <c r="M357" s="4"/>
      <c r="N357" s="4"/>
    </row>
    <row r="358" spans="1:14">
      <c r="A358" s="4"/>
      <c r="B358" s="4"/>
      <c r="C358" s="4"/>
      <c r="E358" s="4"/>
      <c r="F358" s="4"/>
      <c r="G358" s="4"/>
      <c r="H358" s="4"/>
      <c r="I358" s="4"/>
      <c r="J358" s="4"/>
      <c r="K358" s="4"/>
      <c r="L358" s="4"/>
      <c r="M358" s="4"/>
      <c r="N358" s="4"/>
    </row>
    <row r="359" spans="1:14">
      <c r="A359" s="4"/>
      <c r="B359" s="4"/>
      <c r="C359" s="4"/>
      <c r="E359" s="4"/>
      <c r="F359" s="4"/>
      <c r="G359" s="4"/>
      <c r="H359" s="4"/>
      <c r="I359" s="4"/>
      <c r="J359" s="4"/>
      <c r="K359" s="4"/>
      <c r="L359" s="4"/>
      <c r="M359" s="4"/>
      <c r="N359" s="4"/>
    </row>
    <row r="360" spans="1:14">
      <c r="A360" s="4"/>
      <c r="B360" s="4"/>
      <c r="C360" s="4"/>
      <c r="E360" s="4"/>
      <c r="F360" s="4"/>
      <c r="G360" s="4"/>
      <c r="H360" s="4"/>
      <c r="I360" s="4"/>
      <c r="J360" s="4"/>
      <c r="K360" s="4"/>
      <c r="L360" s="4"/>
      <c r="M360" s="4"/>
      <c r="N360" s="4"/>
    </row>
    <row r="361" spans="1:14">
      <c r="A361" s="4"/>
      <c r="B361" s="4"/>
      <c r="C361" s="4"/>
      <c r="E361" s="4"/>
      <c r="F361" s="4"/>
      <c r="G361" s="4"/>
      <c r="H361" s="4"/>
      <c r="I361" s="4"/>
      <c r="J361" s="4"/>
      <c r="K361" s="4"/>
      <c r="L361" s="4"/>
      <c r="M361" s="4"/>
      <c r="N361" s="4"/>
    </row>
    <row r="362" spans="1:14">
      <c r="A362" s="4"/>
      <c r="B362" s="4"/>
      <c r="C362" s="4"/>
      <c r="E362" s="4"/>
      <c r="F362" s="4"/>
      <c r="G362" s="4"/>
      <c r="H362" s="4"/>
      <c r="I362" s="4"/>
      <c r="J362" s="4"/>
      <c r="K362" s="4"/>
      <c r="L362" s="4"/>
      <c r="M362" s="4"/>
      <c r="N362" s="4"/>
    </row>
    <row r="363" spans="1:14">
      <c r="A363" s="4"/>
      <c r="B363" s="4"/>
      <c r="C363" s="4"/>
      <c r="E363" s="4"/>
      <c r="F363" s="4"/>
      <c r="G363" s="4"/>
      <c r="H363" s="4"/>
      <c r="I363" s="4"/>
      <c r="J363" s="4"/>
      <c r="K363" s="4"/>
      <c r="L363" s="4"/>
      <c r="M363" s="4"/>
      <c r="N363" s="4"/>
    </row>
    <row r="364" spans="1:14">
      <c r="A364" s="4"/>
      <c r="B364" s="4"/>
      <c r="C364" s="4"/>
      <c r="E364" s="4"/>
      <c r="F364" s="4"/>
      <c r="G364" s="4"/>
      <c r="H364" s="4"/>
      <c r="I364" s="4"/>
      <c r="J364" s="4"/>
      <c r="K364" s="4"/>
      <c r="L364" s="4"/>
      <c r="M364" s="4"/>
      <c r="N364" s="4"/>
    </row>
    <row r="365" spans="1:14">
      <c r="A365" s="4"/>
      <c r="B365" s="4"/>
      <c r="C365" s="4"/>
      <c r="E365" s="4"/>
      <c r="F365" s="4"/>
      <c r="G365" s="4"/>
      <c r="H365" s="4"/>
      <c r="I365" s="4"/>
      <c r="J365" s="4"/>
      <c r="K365" s="4"/>
      <c r="L365" s="4"/>
      <c r="M365" s="4"/>
      <c r="N365" s="4"/>
    </row>
    <row r="366" spans="1:14">
      <c r="A366" s="4"/>
      <c r="B366" s="4"/>
      <c r="C366" s="4"/>
      <c r="E366" s="4"/>
      <c r="F366" s="4"/>
      <c r="G366" s="4"/>
      <c r="H366" s="4"/>
      <c r="I366" s="4"/>
      <c r="J366" s="4"/>
      <c r="K366" s="4"/>
      <c r="L366" s="4"/>
      <c r="M366" s="4"/>
      <c r="N366" s="4"/>
    </row>
    <row r="367" spans="1:14">
      <c r="A367" s="4"/>
      <c r="B367" s="4"/>
      <c r="C367" s="4"/>
      <c r="E367" s="4"/>
      <c r="F367" s="4"/>
      <c r="G367" s="4"/>
      <c r="H367" s="4"/>
      <c r="I367" s="4"/>
      <c r="J367" s="4"/>
      <c r="K367" s="4"/>
      <c r="L367" s="4"/>
      <c r="M367" s="4"/>
      <c r="N367" s="4"/>
    </row>
    <row r="368" spans="1:14">
      <c r="A368" s="4"/>
      <c r="B368" s="4"/>
      <c r="C368" s="4"/>
      <c r="E368" s="4"/>
      <c r="F368" s="4"/>
      <c r="G368" s="4"/>
      <c r="H368" s="4"/>
      <c r="I368" s="4"/>
      <c r="J368" s="4"/>
      <c r="K368" s="4"/>
      <c r="L368" s="4"/>
      <c r="M368" s="4"/>
      <c r="N368" s="4"/>
    </row>
    <row r="369" spans="1:14">
      <c r="A369" s="4"/>
      <c r="B369" s="4"/>
      <c r="C369" s="4"/>
      <c r="E369" s="4"/>
      <c r="F369" s="4"/>
      <c r="G369" s="4"/>
      <c r="H369" s="4"/>
      <c r="I369" s="4"/>
      <c r="J369" s="4"/>
      <c r="K369" s="4"/>
      <c r="L369" s="4"/>
      <c r="M369" s="4"/>
      <c r="N369" s="4"/>
    </row>
    <row r="370" spans="1:14">
      <c r="A370" s="4"/>
      <c r="B370" s="4"/>
      <c r="C370" s="4"/>
      <c r="E370" s="4"/>
      <c r="F370" s="4"/>
      <c r="G370" s="4"/>
      <c r="H370" s="4"/>
      <c r="I370" s="4"/>
      <c r="J370" s="4"/>
      <c r="K370" s="4"/>
      <c r="L370" s="4"/>
      <c r="M370" s="4"/>
      <c r="N370" s="4"/>
    </row>
    <row r="371" spans="1:14">
      <c r="A371" s="4"/>
      <c r="B371" s="4"/>
      <c r="C371" s="4"/>
      <c r="E371" s="4"/>
      <c r="F371" s="4"/>
      <c r="G371" s="4"/>
      <c r="H371" s="4"/>
      <c r="I371" s="4"/>
      <c r="J371" s="4"/>
      <c r="K371" s="4"/>
      <c r="L371" s="4"/>
      <c r="M371" s="4"/>
      <c r="N371" s="4"/>
    </row>
    <row r="372" spans="1:14">
      <c r="A372" s="4"/>
      <c r="B372" s="4"/>
      <c r="C372" s="4"/>
      <c r="E372" s="4"/>
      <c r="F372" s="4"/>
      <c r="G372" s="4"/>
      <c r="H372" s="4"/>
      <c r="I372" s="4"/>
      <c r="J372" s="4"/>
      <c r="K372" s="4"/>
      <c r="L372" s="4"/>
      <c r="M372" s="4"/>
      <c r="N372" s="4"/>
    </row>
    <row r="373" spans="1:14">
      <c r="A373" s="4"/>
      <c r="B373" s="4"/>
      <c r="C373" s="4"/>
      <c r="E373" s="4"/>
      <c r="F373" s="4"/>
      <c r="G373" s="4"/>
      <c r="H373" s="4"/>
      <c r="I373" s="4"/>
      <c r="J373" s="4"/>
      <c r="K373" s="4"/>
      <c r="L373" s="4"/>
      <c r="M373" s="4"/>
      <c r="N373" s="4"/>
    </row>
    <row r="374" spans="1:14">
      <c r="A374" s="4"/>
      <c r="B374" s="4"/>
      <c r="C374" s="4"/>
      <c r="E374" s="4"/>
      <c r="F374" s="4"/>
      <c r="G374" s="4"/>
      <c r="H374" s="4"/>
      <c r="I374" s="4"/>
      <c r="J374" s="4"/>
      <c r="K374" s="4"/>
      <c r="L374" s="4"/>
      <c r="M374" s="4"/>
      <c r="N374" s="4"/>
    </row>
    <row r="375" spans="1:14">
      <c r="A375" s="4"/>
      <c r="B375" s="4"/>
      <c r="C375" s="4"/>
      <c r="E375" s="4"/>
      <c r="F375" s="4"/>
      <c r="G375" s="4"/>
      <c r="H375" s="4"/>
      <c r="I375" s="4"/>
      <c r="J375" s="4"/>
      <c r="K375" s="4"/>
      <c r="L375" s="4"/>
      <c r="M375" s="4"/>
      <c r="N375" s="4"/>
    </row>
    <row r="376" spans="1:14">
      <c r="A376" s="4"/>
      <c r="B376" s="4"/>
      <c r="C376" s="4"/>
      <c r="E376" s="4"/>
      <c r="F376" s="4"/>
      <c r="G376" s="4"/>
      <c r="H376" s="4"/>
      <c r="I376" s="4"/>
      <c r="J376" s="4"/>
      <c r="K376" s="4"/>
      <c r="L376" s="4"/>
      <c r="M376" s="4"/>
      <c r="N376" s="4"/>
    </row>
    <row r="377" spans="1:14">
      <c r="A377" s="4"/>
      <c r="B377" s="4"/>
      <c r="C377" s="4"/>
      <c r="E377" s="4"/>
      <c r="F377" s="4"/>
      <c r="G377" s="4"/>
      <c r="H377" s="4"/>
      <c r="I377" s="4"/>
      <c r="J377" s="4"/>
      <c r="K377" s="4"/>
      <c r="L377" s="4"/>
      <c r="M377" s="4"/>
      <c r="N377" s="4"/>
    </row>
    <row r="378" spans="1:14">
      <c r="A378" s="4"/>
      <c r="B378" s="4"/>
      <c r="C378" s="4"/>
      <c r="E378" s="4"/>
      <c r="F378" s="4"/>
      <c r="G378" s="4"/>
      <c r="H378" s="4"/>
      <c r="I378" s="4"/>
      <c r="J378" s="4"/>
      <c r="K378" s="4"/>
      <c r="L378" s="4"/>
      <c r="M378" s="4"/>
      <c r="N378" s="4"/>
    </row>
    <row r="379" spans="1:14">
      <c r="A379" s="4"/>
      <c r="B379" s="4"/>
      <c r="C379" s="4"/>
      <c r="E379" s="4"/>
      <c r="F379" s="4"/>
      <c r="G379" s="4"/>
      <c r="H379" s="4"/>
      <c r="I379" s="4"/>
      <c r="J379" s="4"/>
      <c r="K379" s="4"/>
      <c r="L379" s="4"/>
      <c r="M379" s="4"/>
      <c r="N379" s="4"/>
    </row>
    <row r="380" spans="1:14">
      <c r="A380" s="4"/>
      <c r="B380" s="4"/>
      <c r="C380" s="4"/>
      <c r="E380" s="4"/>
      <c r="F380" s="4"/>
      <c r="G380" s="4"/>
      <c r="H380" s="4"/>
      <c r="I380" s="4"/>
      <c r="J380" s="4"/>
      <c r="K380" s="4"/>
      <c r="L380" s="4"/>
      <c r="M380" s="4"/>
      <c r="N380" s="4"/>
    </row>
    <row r="381" spans="1:14">
      <c r="A381" s="4"/>
      <c r="B381" s="4"/>
      <c r="C381" s="4"/>
      <c r="E381" s="4"/>
      <c r="F381" s="4"/>
      <c r="G381" s="4"/>
      <c r="H381" s="4"/>
      <c r="I381" s="4"/>
      <c r="J381" s="4"/>
      <c r="K381" s="4"/>
      <c r="L381" s="4"/>
      <c r="M381" s="4"/>
      <c r="N381" s="4"/>
    </row>
    <row r="382" spans="1:14">
      <c r="A382" s="4"/>
      <c r="B382" s="4"/>
      <c r="C382" s="4"/>
      <c r="E382" s="4"/>
      <c r="F382" s="4"/>
      <c r="G382" s="4"/>
      <c r="H382" s="4"/>
      <c r="I382" s="4"/>
      <c r="J382" s="4"/>
      <c r="K382" s="4"/>
      <c r="L382" s="4"/>
      <c r="M382" s="4"/>
      <c r="N382" s="4"/>
    </row>
    <row r="383" spans="1:14">
      <c r="A383" s="4"/>
      <c r="B383" s="4"/>
      <c r="C383" s="4"/>
      <c r="E383" s="4"/>
      <c r="F383" s="4"/>
      <c r="G383" s="4"/>
      <c r="H383" s="4"/>
      <c r="I383" s="4"/>
      <c r="J383" s="4"/>
      <c r="K383" s="4"/>
      <c r="L383" s="4"/>
      <c r="M383" s="4"/>
      <c r="N383" s="4"/>
    </row>
    <row r="384" spans="1:14">
      <c r="A384" s="4"/>
      <c r="B384" s="4"/>
      <c r="C384" s="4"/>
      <c r="E384" s="4"/>
      <c r="F384" s="4"/>
      <c r="G384" s="4"/>
      <c r="H384" s="4"/>
      <c r="I384" s="4"/>
      <c r="J384" s="4"/>
      <c r="K384" s="4"/>
      <c r="L384" s="4"/>
      <c r="M384" s="4"/>
      <c r="N384" s="4"/>
    </row>
    <row r="385" spans="1:14">
      <c r="A385" s="4"/>
      <c r="B385" s="4"/>
      <c r="C385" s="4"/>
      <c r="E385" s="4"/>
      <c r="F385" s="4"/>
      <c r="G385" s="4"/>
      <c r="H385" s="4"/>
      <c r="I385" s="4"/>
      <c r="J385" s="4"/>
      <c r="K385" s="4"/>
      <c r="L385" s="4"/>
      <c r="M385" s="4"/>
      <c r="N385" s="4"/>
    </row>
    <row r="386" spans="1:14">
      <c r="A386" s="4"/>
      <c r="B386" s="4"/>
      <c r="C386" s="4"/>
      <c r="E386" s="4"/>
      <c r="F386" s="4"/>
      <c r="G386" s="4"/>
      <c r="H386" s="4"/>
      <c r="I386" s="4"/>
      <c r="J386" s="4"/>
      <c r="K386" s="4"/>
      <c r="L386" s="4"/>
      <c r="M386" s="4"/>
      <c r="N386" s="4"/>
    </row>
    <row r="387" spans="1:14">
      <c r="A387" s="4"/>
      <c r="B387" s="4"/>
      <c r="C387" s="4"/>
      <c r="E387" s="4"/>
      <c r="F387" s="4"/>
      <c r="G387" s="4"/>
      <c r="H387" s="4"/>
      <c r="I387" s="4"/>
      <c r="J387" s="4"/>
      <c r="K387" s="4"/>
      <c r="L387" s="4"/>
      <c r="M387" s="4"/>
      <c r="N387" s="4"/>
    </row>
    <row r="388" spans="1:14">
      <c r="A388" s="4"/>
      <c r="B388" s="4"/>
      <c r="C388" s="4"/>
      <c r="E388" s="4"/>
      <c r="F388" s="4"/>
      <c r="G388" s="4"/>
      <c r="H388" s="4"/>
      <c r="I388" s="4"/>
      <c r="J388" s="4"/>
      <c r="K388" s="4"/>
      <c r="L388" s="4"/>
      <c r="M388" s="4"/>
      <c r="N388" s="4"/>
    </row>
    <row r="389" spans="1:14">
      <c r="A389" s="4"/>
      <c r="B389" s="4"/>
      <c r="C389" s="4"/>
      <c r="E389" s="4"/>
      <c r="F389" s="4"/>
      <c r="G389" s="4"/>
      <c r="H389" s="4"/>
      <c r="I389" s="4"/>
      <c r="J389" s="4"/>
      <c r="K389" s="4"/>
      <c r="L389" s="4"/>
      <c r="M389" s="4"/>
      <c r="N389" s="4"/>
    </row>
    <row r="390" spans="1:14">
      <c r="A390" s="4"/>
      <c r="B390" s="4"/>
      <c r="C390" s="4"/>
      <c r="E390" s="4"/>
      <c r="F390" s="4"/>
      <c r="G390" s="4"/>
      <c r="H390" s="4"/>
      <c r="I390" s="4"/>
      <c r="J390" s="4"/>
      <c r="K390" s="4"/>
      <c r="L390" s="4"/>
      <c r="M390" s="4"/>
      <c r="N390" s="4"/>
    </row>
    <row r="391" spans="1:14">
      <c r="A391" s="4"/>
      <c r="B391" s="4"/>
      <c r="C391" s="4"/>
      <c r="E391" s="4"/>
      <c r="F391" s="4"/>
      <c r="G391" s="4"/>
      <c r="H391" s="4"/>
      <c r="I391" s="4"/>
      <c r="J391" s="4"/>
      <c r="K391" s="4"/>
      <c r="L391" s="4"/>
      <c r="M391" s="4"/>
      <c r="N391" s="4"/>
    </row>
    <row r="392" spans="1:14">
      <c r="A392" s="4"/>
      <c r="B392" s="4"/>
      <c r="C392" s="4"/>
      <c r="E392" s="4"/>
      <c r="F392" s="4"/>
      <c r="G392" s="4"/>
      <c r="H392" s="4"/>
      <c r="I392" s="4"/>
      <c r="J392" s="4"/>
      <c r="K392" s="4"/>
      <c r="L392" s="4"/>
      <c r="M392" s="4"/>
      <c r="N392" s="4"/>
    </row>
    <row r="393" spans="1:14">
      <c r="A393" s="4"/>
      <c r="B393" s="4"/>
      <c r="C393" s="4"/>
      <c r="E393" s="4"/>
      <c r="F393" s="4"/>
      <c r="G393" s="4"/>
      <c r="H393" s="4"/>
      <c r="I393" s="4"/>
      <c r="J393" s="4"/>
      <c r="K393" s="4"/>
      <c r="L393" s="4"/>
      <c r="M393" s="4"/>
      <c r="N393" s="4"/>
    </row>
    <row r="394" spans="1:14">
      <c r="A394" s="4"/>
      <c r="B394" s="4"/>
      <c r="C394" s="4"/>
      <c r="E394" s="4"/>
      <c r="F394" s="4"/>
      <c r="G394" s="4"/>
      <c r="H394" s="4"/>
      <c r="I394" s="4"/>
      <c r="J394" s="4"/>
      <c r="K394" s="4"/>
      <c r="L394" s="4"/>
      <c r="M394" s="4"/>
      <c r="N394" s="4"/>
    </row>
    <row r="395" spans="1:14">
      <c r="A395" s="4"/>
      <c r="B395" s="4"/>
      <c r="C395" s="4"/>
      <c r="E395" s="4"/>
      <c r="F395" s="4"/>
      <c r="G395" s="4"/>
      <c r="H395" s="4"/>
      <c r="I395" s="4"/>
      <c r="J395" s="4"/>
      <c r="K395" s="4"/>
      <c r="L395" s="4"/>
      <c r="M395" s="4"/>
      <c r="N395" s="4"/>
    </row>
    <row r="396" spans="1:14">
      <c r="A396" s="4"/>
      <c r="B396" s="4"/>
      <c r="C396" s="4"/>
      <c r="E396" s="4"/>
      <c r="F396" s="4"/>
      <c r="G396" s="4"/>
      <c r="H396" s="4"/>
      <c r="I396" s="4"/>
      <c r="J396" s="4"/>
      <c r="K396" s="4"/>
      <c r="L396" s="4"/>
      <c r="M396" s="4"/>
      <c r="N396" s="4"/>
    </row>
    <row r="397" spans="1:14">
      <c r="A397" s="4"/>
      <c r="B397" s="4"/>
      <c r="C397" s="4"/>
      <c r="E397" s="4"/>
      <c r="F397" s="4"/>
      <c r="G397" s="4"/>
      <c r="H397" s="4"/>
      <c r="I397" s="4"/>
      <c r="J397" s="4"/>
      <c r="K397" s="4"/>
      <c r="L397" s="4"/>
      <c r="M397" s="4"/>
      <c r="N397" s="4"/>
    </row>
    <row r="398" spans="1:14">
      <c r="A398" s="4"/>
      <c r="B398" s="4"/>
      <c r="C398" s="4"/>
      <c r="E398" s="4"/>
      <c r="F398" s="4"/>
      <c r="G398" s="4"/>
      <c r="H398" s="4"/>
      <c r="I398" s="4"/>
      <c r="J398" s="4"/>
      <c r="K398" s="4"/>
      <c r="L398" s="4"/>
      <c r="M398" s="4"/>
      <c r="N398" s="4"/>
    </row>
    <row r="399" spans="1:14">
      <c r="A399" s="4"/>
      <c r="B399" s="4"/>
      <c r="C399" s="4"/>
      <c r="E399" s="4"/>
      <c r="F399" s="4"/>
      <c r="G399" s="4"/>
      <c r="H399" s="4"/>
      <c r="I399" s="4"/>
      <c r="J399" s="4"/>
      <c r="K399" s="4"/>
      <c r="L399" s="4"/>
      <c r="M399" s="4"/>
      <c r="N399" s="4"/>
    </row>
    <row r="400" spans="1:14">
      <c r="A400" s="4"/>
      <c r="B400" s="4"/>
      <c r="C400" s="4"/>
      <c r="E400" s="4"/>
      <c r="F400" s="4"/>
      <c r="G400" s="4"/>
      <c r="H400" s="4"/>
      <c r="I400" s="4"/>
      <c r="J400" s="4"/>
      <c r="K400" s="4"/>
      <c r="L400" s="4"/>
      <c r="M400" s="4"/>
      <c r="N400" s="4"/>
    </row>
    <row r="401" spans="1:14">
      <c r="A401" s="4"/>
      <c r="B401" s="4"/>
      <c r="C401" s="4"/>
      <c r="E401" s="4"/>
      <c r="F401" s="4"/>
      <c r="G401" s="4"/>
      <c r="H401" s="4"/>
      <c r="I401" s="4"/>
      <c r="J401" s="4"/>
      <c r="K401" s="4"/>
      <c r="L401" s="4"/>
      <c r="M401" s="4"/>
      <c r="N401" s="4"/>
    </row>
    <row r="402" spans="1:14">
      <c r="A402" s="4"/>
      <c r="B402" s="4"/>
      <c r="C402" s="4"/>
      <c r="E402" s="4"/>
      <c r="F402" s="4"/>
      <c r="G402" s="4"/>
      <c r="H402" s="4"/>
      <c r="I402" s="4"/>
      <c r="J402" s="4"/>
      <c r="K402" s="4"/>
      <c r="L402" s="4"/>
      <c r="M402" s="4"/>
      <c r="N402" s="4"/>
    </row>
    <row r="403" spans="1:14">
      <c r="A403" s="4"/>
      <c r="B403" s="4"/>
      <c r="C403" s="4"/>
      <c r="E403" s="4"/>
      <c r="F403" s="4"/>
      <c r="G403" s="4"/>
      <c r="H403" s="4"/>
      <c r="I403" s="4"/>
      <c r="J403" s="4"/>
      <c r="K403" s="4"/>
      <c r="L403" s="4"/>
      <c r="M403" s="4"/>
      <c r="N403" s="4"/>
    </row>
    <row r="404" spans="1:14">
      <c r="A404" s="4"/>
      <c r="B404" s="4"/>
      <c r="C404" s="4"/>
      <c r="E404" s="4"/>
      <c r="F404" s="4"/>
      <c r="G404" s="4"/>
      <c r="H404" s="4"/>
      <c r="I404" s="4"/>
      <c r="J404" s="4"/>
      <c r="K404" s="4"/>
      <c r="L404" s="4"/>
      <c r="M404" s="4"/>
      <c r="N404" s="4"/>
    </row>
    <row r="405" spans="1:14">
      <c r="A405" s="4"/>
      <c r="B405" s="4"/>
      <c r="C405" s="4"/>
      <c r="E405" s="4"/>
      <c r="F405" s="4"/>
      <c r="G405" s="4"/>
      <c r="H405" s="4"/>
      <c r="I405" s="4"/>
      <c r="J405" s="4"/>
      <c r="K405" s="4"/>
      <c r="L405" s="4"/>
      <c r="M405" s="4"/>
      <c r="N405" s="4"/>
    </row>
    <row r="406" spans="1:14">
      <c r="A406" s="4"/>
      <c r="B406" s="4"/>
      <c r="C406" s="4"/>
      <c r="E406" s="4"/>
      <c r="F406" s="4"/>
      <c r="G406" s="4"/>
      <c r="H406" s="4"/>
      <c r="I406" s="4"/>
      <c r="J406" s="4"/>
      <c r="K406" s="4"/>
      <c r="L406" s="4"/>
      <c r="M406" s="4"/>
      <c r="N406" s="4"/>
    </row>
    <row r="407" spans="1:14">
      <c r="A407" s="4"/>
      <c r="B407" s="4"/>
      <c r="C407" s="4"/>
      <c r="E407" s="4"/>
      <c r="F407" s="4"/>
      <c r="G407" s="4"/>
      <c r="H407" s="4"/>
      <c r="I407" s="4"/>
      <c r="J407" s="4"/>
      <c r="K407" s="4"/>
      <c r="L407" s="4"/>
      <c r="M407" s="4"/>
      <c r="N407" s="4"/>
    </row>
    <row r="408" spans="1:14">
      <c r="A408" s="4"/>
      <c r="B408" s="4"/>
      <c r="C408" s="4"/>
      <c r="E408" s="4"/>
      <c r="F408" s="4"/>
      <c r="G408" s="4"/>
      <c r="H408" s="4"/>
      <c r="I408" s="4"/>
      <c r="J408" s="4"/>
      <c r="K408" s="4"/>
      <c r="L408" s="4"/>
      <c r="M408" s="4"/>
      <c r="N408" s="4"/>
    </row>
    <row r="409" spans="1:14">
      <c r="A409" s="4"/>
      <c r="B409" s="4"/>
      <c r="C409" s="4"/>
      <c r="E409" s="4"/>
      <c r="F409" s="4"/>
      <c r="G409" s="4"/>
      <c r="H409" s="4"/>
      <c r="I409" s="4"/>
      <c r="J409" s="4"/>
      <c r="K409" s="4"/>
      <c r="L409" s="4"/>
      <c r="M409" s="4"/>
      <c r="N409" s="4"/>
    </row>
    <row r="410" spans="1:14">
      <c r="A410" s="4"/>
      <c r="B410" s="4"/>
      <c r="C410" s="4"/>
      <c r="E410" s="4"/>
      <c r="F410" s="4"/>
      <c r="G410" s="4"/>
      <c r="H410" s="4"/>
      <c r="I410" s="4"/>
      <c r="J410" s="4"/>
      <c r="K410" s="4"/>
      <c r="L410" s="4"/>
      <c r="M410" s="4"/>
      <c r="N410" s="4"/>
    </row>
    <row r="411" spans="1:14">
      <c r="A411" s="4"/>
      <c r="B411" s="4"/>
      <c r="C411" s="4"/>
      <c r="E411" s="4"/>
      <c r="F411" s="4"/>
      <c r="G411" s="4"/>
      <c r="H411" s="4"/>
      <c r="I411" s="4"/>
      <c r="J411" s="4"/>
      <c r="K411" s="4"/>
      <c r="L411" s="4"/>
      <c r="M411" s="4"/>
      <c r="N411" s="4"/>
    </row>
    <row r="412" spans="1:14">
      <c r="A412" s="4"/>
      <c r="B412" s="4"/>
      <c r="C412" s="4"/>
      <c r="E412" s="4"/>
      <c r="F412" s="4"/>
      <c r="G412" s="4"/>
      <c r="H412" s="4"/>
      <c r="I412" s="4"/>
      <c r="J412" s="4"/>
      <c r="K412" s="4"/>
      <c r="L412" s="4"/>
      <c r="M412" s="4"/>
      <c r="N412" s="4"/>
    </row>
    <row r="413" spans="1:14">
      <c r="A413" s="4"/>
      <c r="B413" s="4"/>
      <c r="C413" s="4"/>
      <c r="E413" s="4"/>
      <c r="F413" s="4"/>
      <c r="G413" s="4"/>
      <c r="H413" s="4"/>
      <c r="I413" s="4"/>
      <c r="J413" s="4"/>
      <c r="K413" s="4"/>
      <c r="L413" s="4"/>
      <c r="M413" s="4"/>
      <c r="N413" s="4"/>
    </row>
    <row r="414" spans="1:14">
      <c r="A414" s="4"/>
      <c r="B414" s="4"/>
      <c r="C414" s="4"/>
      <c r="E414" s="4"/>
      <c r="F414" s="4"/>
      <c r="G414" s="4"/>
      <c r="H414" s="4"/>
      <c r="I414" s="4"/>
      <c r="J414" s="4"/>
      <c r="K414" s="4"/>
      <c r="L414" s="4"/>
      <c r="M414" s="4"/>
      <c r="N414" s="4"/>
    </row>
    <row r="415" spans="1:14">
      <c r="A415" s="4"/>
      <c r="B415" s="4"/>
      <c r="C415" s="4"/>
      <c r="E415" s="4"/>
      <c r="F415" s="4"/>
      <c r="G415" s="4"/>
      <c r="H415" s="4"/>
      <c r="I415" s="4"/>
      <c r="J415" s="4"/>
      <c r="K415" s="4"/>
      <c r="L415" s="4"/>
      <c r="M415" s="4"/>
      <c r="N415" s="4"/>
    </row>
    <row r="416" spans="1:14">
      <c r="A416" s="4"/>
      <c r="B416" s="4"/>
      <c r="C416" s="4"/>
      <c r="E416" s="4"/>
      <c r="F416" s="4"/>
      <c r="G416" s="4"/>
      <c r="H416" s="4"/>
      <c r="I416" s="4"/>
      <c r="J416" s="4"/>
      <c r="K416" s="4"/>
      <c r="L416" s="4"/>
      <c r="M416" s="4"/>
      <c r="N416" s="4"/>
    </row>
    <row r="417" spans="1:14">
      <c r="A417" s="4"/>
      <c r="B417" s="4"/>
      <c r="C417" s="4"/>
      <c r="E417" s="4"/>
      <c r="F417" s="4"/>
      <c r="G417" s="4"/>
      <c r="H417" s="4"/>
      <c r="I417" s="4"/>
      <c r="J417" s="4"/>
      <c r="K417" s="4"/>
      <c r="L417" s="4"/>
      <c r="M417" s="4"/>
      <c r="N417" s="4"/>
    </row>
    <row r="418" spans="1:14">
      <c r="A418" s="4"/>
      <c r="B418" s="4"/>
      <c r="C418" s="4"/>
      <c r="E418" s="4"/>
      <c r="F418" s="4"/>
      <c r="G418" s="4"/>
      <c r="H418" s="4"/>
      <c r="I418" s="4"/>
      <c r="J418" s="4"/>
      <c r="K418" s="4"/>
      <c r="L418" s="4"/>
      <c r="M418" s="4"/>
      <c r="N418" s="4"/>
    </row>
    <row r="419" spans="1:14">
      <c r="A419" s="4"/>
      <c r="B419" s="4"/>
      <c r="C419" s="4"/>
      <c r="E419" s="4"/>
      <c r="F419" s="4"/>
      <c r="G419" s="4"/>
      <c r="H419" s="4"/>
      <c r="I419" s="4"/>
      <c r="J419" s="4"/>
      <c r="K419" s="4"/>
      <c r="L419" s="4"/>
      <c r="M419" s="4"/>
      <c r="N419" s="4"/>
    </row>
    <row r="420" spans="1:14">
      <c r="A420" s="4"/>
      <c r="B420" s="4"/>
      <c r="C420" s="4"/>
      <c r="E420" s="4"/>
      <c r="F420" s="4"/>
      <c r="G420" s="4"/>
      <c r="H420" s="4"/>
      <c r="I420" s="4"/>
      <c r="J420" s="4"/>
      <c r="K420" s="4"/>
      <c r="L420" s="4"/>
      <c r="M420" s="4"/>
      <c r="N420" s="4"/>
    </row>
    <row r="421" spans="1:14">
      <c r="A421" s="4"/>
      <c r="B421" s="4"/>
      <c r="C421" s="4"/>
      <c r="E421" s="4"/>
      <c r="F421" s="4"/>
      <c r="G421" s="4"/>
      <c r="H421" s="4"/>
      <c r="I421" s="4"/>
      <c r="J421" s="4"/>
      <c r="K421" s="4"/>
      <c r="L421" s="4"/>
      <c r="M421" s="4"/>
      <c r="N421" s="4"/>
    </row>
    <row r="422" spans="1:14">
      <c r="A422" s="4"/>
      <c r="B422" s="4"/>
      <c r="C422" s="4"/>
      <c r="E422" s="4"/>
      <c r="F422" s="4"/>
      <c r="G422" s="4"/>
      <c r="H422" s="4"/>
      <c r="I422" s="4"/>
      <c r="J422" s="4"/>
      <c r="K422" s="4"/>
      <c r="L422" s="4"/>
      <c r="M422" s="4"/>
      <c r="N422" s="4"/>
    </row>
    <row r="423" spans="1:14">
      <c r="A423" s="4"/>
      <c r="B423" s="4"/>
      <c r="C423" s="4"/>
      <c r="E423" s="4"/>
      <c r="F423" s="4"/>
      <c r="G423" s="4"/>
      <c r="H423" s="4"/>
      <c r="I423" s="4"/>
      <c r="J423" s="4"/>
      <c r="K423" s="4"/>
      <c r="L423" s="4"/>
      <c r="M423" s="4"/>
      <c r="N423" s="4"/>
    </row>
    <row r="424" spans="1:14">
      <c r="A424" s="4"/>
      <c r="B424" s="4"/>
      <c r="C424" s="4"/>
      <c r="E424" s="4"/>
      <c r="F424" s="4"/>
      <c r="G424" s="4"/>
      <c r="H424" s="4"/>
      <c r="I424" s="4"/>
      <c r="J424" s="4"/>
      <c r="K424" s="4"/>
      <c r="L424" s="4"/>
      <c r="M424" s="4"/>
      <c r="N424" s="4"/>
    </row>
    <row r="425" spans="1:14">
      <c r="A425" s="4"/>
      <c r="B425" s="4"/>
      <c r="C425" s="4"/>
      <c r="E425" s="4"/>
      <c r="F425" s="4"/>
      <c r="G425" s="4"/>
      <c r="H425" s="4"/>
      <c r="I425" s="4"/>
      <c r="J425" s="4"/>
      <c r="K425" s="4"/>
      <c r="L425" s="4"/>
      <c r="M425" s="4"/>
      <c r="N425" s="4"/>
    </row>
    <row r="426" spans="1:14">
      <c r="A426" s="4"/>
      <c r="B426" s="4"/>
      <c r="C426" s="4"/>
      <c r="E426" s="4"/>
      <c r="F426" s="4"/>
      <c r="G426" s="4"/>
      <c r="H426" s="4"/>
      <c r="I426" s="4"/>
      <c r="J426" s="4"/>
      <c r="K426" s="4"/>
      <c r="L426" s="4"/>
      <c r="M426" s="4"/>
      <c r="N426" s="4"/>
    </row>
    <row r="427" spans="1:14">
      <c r="A427" s="4"/>
      <c r="B427" s="4"/>
      <c r="C427" s="4"/>
      <c r="E427" s="4"/>
      <c r="F427" s="4"/>
      <c r="G427" s="4"/>
      <c r="H427" s="4"/>
      <c r="I427" s="4"/>
      <c r="J427" s="4"/>
      <c r="K427" s="4"/>
      <c r="L427" s="4"/>
      <c r="M427" s="4"/>
      <c r="N427" s="4"/>
    </row>
    <row r="428" spans="1:14">
      <c r="A428" s="4"/>
      <c r="B428" s="4"/>
      <c r="C428" s="4"/>
      <c r="E428" s="4"/>
      <c r="F428" s="4"/>
      <c r="G428" s="4"/>
      <c r="H428" s="4"/>
      <c r="I428" s="4"/>
      <c r="J428" s="4"/>
      <c r="K428" s="4"/>
      <c r="L428" s="4"/>
      <c r="M428" s="4"/>
      <c r="N428" s="4"/>
    </row>
    <row r="429" spans="1:14">
      <c r="A429" s="4"/>
      <c r="B429" s="4"/>
      <c r="C429" s="4"/>
      <c r="E429" s="4"/>
      <c r="F429" s="4"/>
      <c r="G429" s="4"/>
      <c r="H429" s="4"/>
      <c r="I429" s="4"/>
      <c r="J429" s="4"/>
      <c r="K429" s="4"/>
      <c r="L429" s="4"/>
      <c r="M429" s="4"/>
      <c r="N429" s="4"/>
    </row>
    <row r="430" spans="1:14">
      <c r="A430" s="4"/>
      <c r="B430" s="4"/>
      <c r="C430" s="4"/>
      <c r="E430" s="4"/>
      <c r="F430" s="4"/>
      <c r="G430" s="4"/>
      <c r="H430" s="4"/>
      <c r="I430" s="4"/>
      <c r="J430" s="4"/>
      <c r="K430" s="4"/>
      <c r="L430" s="4"/>
      <c r="M430" s="4"/>
      <c r="N430" s="4"/>
    </row>
    <row r="431" spans="1:14">
      <c r="A431" s="4"/>
      <c r="B431" s="4"/>
      <c r="C431" s="4"/>
      <c r="E431" s="4"/>
      <c r="F431" s="4"/>
      <c r="G431" s="4"/>
      <c r="H431" s="4"/>
      <c r="I431" s="4"/>
      <c r="J431" s="4"/>
      <c r="K431" s="4"/>
      <c r="L431" s="4"/>
      <c r="M431" s="4"/>
      <c r="N431" s="4"/>
    </row>
    <row r="432" spans="1:14">
      <c r="A432" s="4"/>
      <c r="B432" s="4"/>
      <c r="C432" s="4"/>
      <c r="E432" s="4"/>
      <c r="F432" s="4"/>
      <c r="G432" s="4"/>
      <c r="H432" s="4"/>
      <c r="I432" s="4"/>
      <c r="J432" s="4"/>
      <c r="K432" s="4"/>
      <c r="L432" s="4"/>
      <c r="M432" s="4"/>
      <c r="N432" s="4"/>
    </row>
    <row r="433" spans="1:14">
      <c r="A433" s="4"/>
      <c r="B433" s="4"/>
      <c r="C433" s="4"/>
      <c r="E433" s="4"/>
      <c r="F433" s="4"/>
      <c r="G433" s="4"/>
      <c r="H433" s="4"/>
      <c r="I433" s="4"/>
      <c r="J433" s="4"/>
      <c r="K433" s="4"/>
      <c r="L433" s="4"/>
      <c r="M433" s="4"/>
      <c r="N433" s="4"/>
    </row>
    <row r="434" spans="1:14">
      <c r="A434" s="4"/>
      <c r="B434" s="4"/>
      <c r="C434" s="4"/>
      <c r="E434" s="4"/>
      <c r="F434" s="4"/>
      <c r="G434" s="4"/>
      <c r="H434" s="4"/>
      <c r="I434" s="4"/>
      <c r="J434" s="4"/>
      <c r="K434" s="4"/>
      <c r="L434" s="4"/>
      <c r="M434" s="4"/>
      <c r="N434" s="4"/>
    </row>
    <row r="435" spans="1:14">
      <c r="A435" s="4"/>
      <c r="B435" s="4"/>
      <c r="C435" s="4"/>
      <c r="E435" s="4"/>
      <c r="F435" s="4"/>
      <c r="G435" s="4"/>
      <c r="H435" s="4"/>
      <c r="I435" s="4"/>
      <c r="J435" s="4"/>
      <c r="K435" s="4"/>
      <c r="L435" s="4"/>
      <c r="M435" s="4"/>
      <c r="N435" s="4"/>
    </row>
    <row r="436" spans="1:14">
      <c r="A436" s="4"/>
      <c r="B436" s="4"/>
      <c r="C436" s="4"/>
      <c r="E436" s="4"/>
      <c r="F436" s="4"/>
      <c r="G436" s="4"/>
      <c r="H436" s="4"/>
      <c r="I436" s="4"/>
      <c r="J436" s="4"/>
      <c r="K436" s="4"/>
      <c r="L436" s="4"/>
      <c r="M436" s="4"/>
      <c r="N436" s="4"/>
    </row>
    <row r="437" spans="1:14">
      <c r="A437" s="4"/>
      <c r="B437" s="4"/>
      <c r="C437" s="4"/>
      <c r="E437" s="4"/>
      <c r="F437" s="4"/>
      <c r="G437" s="4"/>
      <c r="H437" s="4"/>
      <c r="I437" s="4"/>
      <c r="J437" s="4"/>
      <c r="K437" s="4"/>
      <c r="L437" s="4"/>
      <c r="M437" s="4"/>
      <c r="N437" s="4"/>
    </row>
    <row r="438" spans="1:14">
      <c r="A438" s="4"/>
      <c r="B438" s="4"/>
      <c r="C438" s="4"/>
      <c r="E438" s="4"/>
      <c r="F438" s="4"/>
      <c r="G438" s="4"/>
      <c r="H438" s="4"/>
      <c r="I438" s="4"/>
      <c r="J438" s="4"/>
      <c r="K438" s="4"/>
      <c r="L438" s="4"/>
      <c r="M438" s="4"/>
      <c r="N438" s="4"/>
    </row>
    <row r="439" spans="1:14">
      <c r="A439" s="4"/>
      <c r="B439" s="4"/>
      <c r="C439" s="4"/>
      <c r="E439" s="4"/>
      <c r="F439" s="4"/>
      <c r="G439" s="4"/>
      <c r="H439" s="4"/>
      <c r="I439" s="4"/>
      <c r="J439" s="4"/>
      <c r="K439" s="4"/>
      <c r="L439" s="4"/>
      <c r="M439" s="4"/>
      <c r="N439" s="4"/>
    </row>
    <row r="440" spans="1:14">
      <c r="A440" s="4"/>
      <c r="B440" s="4"/>
      <c r="C440" s="4"/>
      <c r="E440" s="4"/>
      <c r="F440" s="4"/>
      <c r="G440" s="4"/>
      <c r="H440" s="4"/>
      <c r="I440" s="4"/>
      <c r="J440" s="4"/>
      <c r="K440" s="4"/>
      <c r="L440" s="4"/>
      <c r="M440" s="4"/>
      <c r="N440" s="4"/>
    </row>
    <row r="441" spans="1:14">
      <c r="A441" s="4"/>
      <c r="B441" s="4"/>
      <c r="C441" s="4"/>
      <c r="E441" s="4"/>
      <c r="F441" s="4"/>
      <c r="G441" s="4"/>
      <c r="H441" s="4"/>
      <c r="I441" s="4"/>
      <c r="J441" s="4"/>
      <c r="K441" s="4"/>
      <c r="L441" s="4"/>
      <c r="M441" s="4"/>
      <c r="N441" s="4"/>
    </row>
    <row r="442" spans="1:14">
      <c r="A442" s="4"/>
      <c r="B442" s="4"/>
      <c r="C442" s="4"/>
      <c r="E442" s="4"/>
      <c r="F442" s="4"/>
      <c r="G442" s="4"/>
      <c r="H442" s="4"/>
      <c r="I442" s="4"/>
      <c r="J442" s="4"/>
      <c r="K442" s="4"/>
      <c r="L442" s="4"/>
      <c r="M442" s="4"/>
      <c r="N442" s="4"/>
    </row>
    <row r="443" spans="1:14">
      <c r="A443" s="4"/>
      <c r="B443" s="4"/>
      <c r="C443" s="4"/>
      <c r="E443" s="4"/>
      <c r="F443" s="4"/>
      <c r="G443" s="4"/>
      <c r="H443" s="4"/>
      <c r="I443" s="4"/>
      <c r="J443" s="4"/>
      <c r="K443" s="4"/>
      <c r="L443" s="4"/>
      <c r="M443" s="4"/>
      <c r="N443" s="4"/>
    </row>
    <row r="444" spans="1:14">
      <c r="A444" s="4"/>
      <c r="B444" s="4"/>
      <c r="C444" s="4"/>
      <c r="E444" s="4"/>
      <c r="F444" s="4"/>
      <c r="G444" s="4"/>
      <c r="H444" s="4"/>
      <c r="I444" s="4"/>
      <c r="J444" s="4"/>
      <c r="K444" s="4"/>
      <c r="L444" s="4"/>
      <c r="M444" s="4"/>
      <c r="N444" s="4"/>
    </row>
    <row r="445" spans="1:14">
      <c r="A445" s="4"/>
      <c r="B445" s="4"/>
      <c r="C445" s="4"/>
      <c r="E445" s="4"/>
      <c r="F445" s="4"/>
      <c r="G445" s="4"/>
      <c r="H445" s="4"/>
      <c r="I445" s="4"/>
      <c r="J445" s="4"/>
      <c r="K445" s="4"/>
      <c r="L445" s="4"/>
      <c r="M445" s="4"/>
      <c r="N445" s="4"/>
    </row>
    <row r="446" spans="1:14">
      <c r="A446" s="4"/>
      <c r="B446" s="4"/>
      <c r="C446" s="4"/>
      <c r="E446" s="4"/>
      <c r="F446" s="4"/>
      <c r="G446" s="4"/>
      <c r="H446" s="4"/>
      <c r="I446" s="4"/>
      <c r="J446" s="4"/>
      <c r="K446" s="4"/>
      <c r="L446" s="4"/>
      <c r="M446" s="4"/>
      <c r="N446" s="4"/>
    </row>
    <row r="447" spans="1:14">
      <c r="A447" s="4"/>
      <c r="B447" s="4"/>
      <c r="C447" s="4"/>
      <c r="E447" s="4"/>
      <c r="F447" s="4"/>
      <c r="G447" s="4"/>
      <c r="H447" s="4"/>
      <c r="I447" s="4"/>
      <c r="J447" s="4"/>
      <c r="K447" s="4"/>
      <c r="L447" s="4"/>
      <c r="M447" s="4"/>
      <c r="N447" s="4"/>
    </row>
    <row r="448" spans="1:14">
      <c r="A448" s="4"/>
      <c r="B448" s="4"/>
      <c r="C448" s="4"/>
      <c r="E448" s="4"/>
      <c r="F448" s="4"/>
      <c r="G448" s="4"/>
      <c r="H448" s="4"/>
      <c r="I448" s="4"/>
      <c r="J448" s="4"/>
      <c r="K448" s="4"/>
      <c r="L448" s="4"/>
      <c r="M448" s="4"/>
      <c r="N448" s="4"/>
    </row>
    <row r="449" spans="1:14">
      <c r="A449" s="4"/>
      <c r="B449" s="4"/>
      <c r="C449" s="4"/>
      <c r="E449" s="4"/>
      <c r="F449" s="4"/>
      <c r="G449" s="4"/>
      <c r="H449" s="4"/>
      <c r="I449" s="4"/>
      <c r="J449" s="4"/>
      <c r="K449" s="4"/>
      <c r="L449" s="4"/>
      <c r="M449" s="4"/>
      <c r="N449" s="4"/>
    </row>
    <row r="450" spans="1:14">
      <c r="A450" s="4"/>
      <c r="B450" s="4"/>
      <c r="C450" s="4"/>
      <c r="E450" s="4"/>
      <c r="F450" s="4"/>
      <c r="G450" s="4"/>
      <c r="H450" s="4"/>
      <c r="I450" s="4"/>
      <c r="J450" s="4"/>
      <c r="K450" s="4"/>
      <c r="L450" s="4"/>
      <c r="M450" s="4"/>
      <c r="N450" s="4"/>
    </row>
    <row r="451" spans="1:14">
      <c r="A451" s="4"/>
      <c r="B451" s="4"/>
      <c r="C451" s="4"/>
      <c r="E451" s="4"/>
      <c r="F451" s="4"/>
      <c r="G451" s="4"/>
      <c r="H451" s="4"/>
      <c r="I451" s="4"/>
      <c r="J451" s="4"/>
      <c r="K451" s="4"/>
      <c r="L451" s="4"/>
      <c r="M451" s="4"/>
      <c r="N451" s="4"/>
    </row>
    <row r="452" spans="1:14">
      <c r="A452" s="4"/>
      <c r="B452" s="4"/>
      <c r="C452" s="4"/>
      <c r="E452" s="4"/>
      <c r="F452" s="4"/>
      <c r="G452" s="4"/>
      <c r="H452" s="4"/>
      <c r="I452" s="4"/>
      <c r="J452" s="4"/>
      <c r="K452" s="4"/>
      <c r="L452" s="4"/>
      <c r="M452" s="4"/>
      <c r="N452" s="4"/>
    </row>
    <row r="453" spans="1:14">
      <c r="A453" s="4"/>
      <c r="B453" s="4"/>
      <c r="C453" s="4"/>
      <c r="E453" s="4"/>
      <c r="F453" s="4"/>
      <c r="G453" s="4"/>
      <c r="H453" s="4"/>
      <c r="I453" s="4"/>
      <c r="J453" s="4"/>
      <c r="K453" s="4"/>
      <c r="L453" s="4"/>
      <c r="M453" s="4"/>
      <c r="N453" s="4"/>
    </row>
    <row r="454" spans="1:14">
      <c r="A454" s="4"/>
      <c r="B454" s="4"/>
      <c r="C454" s="4"/>
      <c r="E454" s="4"/>
      <c r="F454" s="4"/>
      <c r="G454" s="4"/>
      <c r="H454" s="4"/>
      <c r="I454" s="4"/>
      <c r="J454" s="4"/>
      <c r="K454" s="4"/>
      <c r="L454" s="4"/>
      <c r="M454" s="4"/>
      <c r="N454" s="4"/>
    </row>
    <row r="455" spans="1:14">
      <c r="A455" s="4"/>
      <c r="B455" s="4"/>
      <c r="C455" s="4"/>
      <c r="E455" s="4"/>
      <c r="F455" s="4"/>
      <c r="G455" s="4"/>
      <c r="H455" s="4"/>
      <c r="I455" s="4"/>
      <c r="J455" s="4"/>
      <c r="K455" s="4"/>
      <c r="L455" s="4"/>
      <c r="M455" s="4"/>
      <c r="N455" s="4"/>
    </row>
    <row r="456" spans="1:14">
      <c r="A456" s="4"/>
      <c r="B456" s="4"/>
      <c r="C456" s="4"/>
      <c r="E456" s="4"/>
      <c r="F456" s="4"/>
      <c r="G456" s="4"/>
      <c r="H456" s="4"/>
      <c r="I456" s="4"/>
      <c r="J456" s="4"/>
      <c r="K456" s="4"/>
      <c r="L456" s="4"/>
      <c r="M456" s="4"/>
      <c r="N456" s="4"/>
    </row>
    <row r="457" spans="1:14">
      <c r="A457" s="4"/>
      <c r="B457" s="4"/>
      <c r="C457" s="4"/>
      <c r="E457" s="4"/>
      <c r="F457" s="4"/>
      <c r="G457" s="4"/>
      <c r="H457" s="4"/>
      <c r="I457" s="4"/>
      <c r="J457" s="4"/>
      <c r="K457" s="4"/>
      <c r="L457" s="4"/>
      <c r="M457" s="4"/>
      <c r="N457" s="4"/>
    </row>
    <row r="458" spans="1:14">
      <c r="A458" s="4"/>
      <c r="B458" s="4"/>
      <c r="C458" s="4"/>
      <c r="E458" s="4"/>
      <c r="F458" s="4"/>
      <c r="G458" s="4"/>
      <c r="H458" s="4"/>
      <c r="I458" s="4"/>
      <c r="J458" s="4"/>
      <c r="K458" s="4"/>
      <c r="L458" s="4"/>
      <c r="M458" s="4"/>
      <c r="N458" s="4"/>
    </row>
    <row r="459" spans="1:14">
      <c r="A459" s="4"/>
      <c r="B459" s="4"/>
      <c r="C459" s="4"/>
      <c r="E459" s="4"/>
      <c r="F459" s="4"/>
      <c r="G459" s="4"/>
      <c r="H459" s="4"/>
      <c r="I459" s="4"/>
      <c r="J459" s="4"/>
      <c r="K459" s="4"/>
      <c r="L459" s="4"/>
      <c r="M459" s="4"/>
      <c r="N459" s="4"/>
    </row>
    <row r="460" spans="1:14">
      <c r="A460" s="4"/>
      <c r="B460" s="4"/>
      <c r="C460" s="4"/>
      <c r="E460" s="4"/>
      <c r="F460" s="4"/>
      <c r="G460" s="4"/>
      <c r="H460" s="4"/>
      <c r="I460" s="4"/>
      <c r="J460" s="4"/>
      <c r="K460" s="4"/>
      <c r="L460" s="4"/>
      <c r="M460" s="4"/>
      <c r="N460" s="4"/>
    </row>
    <row r="461" spans="1:14">
      <c r="A461" s="4"/>
      <c r="B461" s="4"/>
      <c r="C461" s="4"/>
      <c r="E461" s="4"/>
      <c r="F461" s="4"/>
      <c r="G461" s="4"/>
      <c r="H461" s="4"/>
      <c r="I461" s="4"/>
      <c r="J461" s="4"/>
      <c r="K461" s="4"/>
      <c r="L461" s="4"/>
      <c r="M461" s="4"/>
      <c r="N461" s="4"/>
    </row>
    <row r="462" spans="1:14">
      <c r="A462" s="4"/>
      <c r="B462" s="4"/>
      <c r="C462" s="4"/>
      <c r="E462" s="4"/>
      <c r="F462" s="4"/>
      <c r="G462" s="4"/>
      <c r="H462" s="4"/>
      <c r="I462" s="4"/>
      <c r="J462" s="4"/>
      <c r="K462" s="4"/>
      <c r="L462" s="4"/>
      <c r="M462" s="4"/>
      <c r="N462" s="4"/>
    </row>
    <row r="463" spans="1:14">
      <c r="A463" s="4"/>
      <c r="B463" s="4"/>
      <c r="C463" s="4"/>
      <c r="E463" s="4"/>
      <c r="F463" s="4"/>
      <c r="G463" s="4"/>
      <c r="H463" s="4"/>
      <c r="I463" s="4"/>
      <c r="J463" s="4"/>
      <c r="K463" s="4"/>
      <c r="L463" s="4"/>
      <c r="M463" s="4"/>
      <c r="N463" s="4"/>
    </row>
    <row r="464" spans="1:14">
      <c r="A464" s="4"/>
      <c r="B464" s="4"/>
      <c r="C464" s="4"/>
      <c r="E464" s="4"/>
      <c r="F464" s="4"/>
      <c r="G464" s="4"/>
      <c r="H464" s="4"/>
      <c r="I464" s="4"/>
      <c r="J464" s="4"/>
      <c r="K464" s="4"/>
      <c r="L464" s="4"/>
      <c r="M464" s="4"/>
      <c r="N464" s="4"/>
    </row>
    <row r="465" spans="1:14">
      <c r="A465" s="4"/>
      <c r="B465" s="4"/>
      <c r="C465" s="4"/>
      <c r="E465" s="4"/>
      <c r="F465" s="4"/>
      <c r="G465" s="4"/>
      <c r="H465" s="4"/>
      <c r="I465" s="4"/>
      <c r="J465" s="4"/>
      <c r="K465" s="4"/>
      <c r="L465" s="4"/>
      <c r="M465" s="4"/>
      <c r="N465" s="4"/>
    </row>
    <row r="466" spans="1:14">
      <c r="A466" s="4"/>
      <c r="B466" s="4"/>
      <c r="C466" s="4"/>
      <c r="E466" s="4"/>
      <c r="F466" s="4"/>
      <c r="G466" s="4"/>
      <c r="H466" s="4"/>
      <c r="I466" s="4"/>
      <c r="J466" s="4"/>
      <c r="K466" s="4"/>
      <c r="L466" s="4"/>
      <c r="M466" s="4"/>
      <c r="N466" s="4"/>
    </row>
    <row r="467" spans="1:14">
      <c r="A467" s="4"/>
      <c r="B467" s="4"/>
      <c r="C467" s="4"/>
      <c r="E467" s="4"/>
      <c r="F467" s="4"/>
      <c r="G467" s="4"/>
      <c r="H467" s="4"/>
      <c r="I467" s="4"/>
      <c r="J467" s="4"/>
      <c r="K467" s="4"/>
      <c r="L467" s="4"/>
      <c r="M467" s="4"/>
      <c r="N467" s="4"/>
    </row>
    <row r="468" spans="1:14">
      <c r="A468" s="4"/>
      <c r="B468" s="4"/>
      <c r="C468" s="4"/>
      <c r="E468" s="4"/>
      <c r="F468" s="4"/>
      <c r="G468" s="4"/>
      <c r="H468" s="4"/>
      <c r="I468" s="4"/>
      <c r="J468" s="4"/>
      <c r="K468" s="4"/>
      <c r="L468" s="4"/>
      <c r="M468" s="4"/>
      <c r="N468" s="4"/>
    </row>
    <row r="469" spans="1:14">
      <c r="A469" s="4"/>
      <c r="B469" s="4"/>
      <c r="C469" s="4"/>
      <c r="E469" s="4"/>
      <c r="F469" s="4"/>
      <c r="G469" s="4"/>
      <c r="H469" s="4"/>
      <c r="I469" s="4"/>
      <c r="J469" s="4"/>
      <c r="K469" s="4"/>
      <c r="L469" s="4"/>
      <c r="M469" s="4"/>
      <c r="N469" s="4"/>
    </row>
    <row r="470" spans="1:14">
      <c r="A470" s="4"/>
      <c r="B470" s="4"/>
      <c r="C470" s="4"/>
      <c r="E470" s="4"/>
      <c r="F470" s="4"/>
      <c r="G470" s="4"/>
      <c r="H470" s="4"/>
      <c r="I470" s="4"/>
      <c r="J470" s="4"/>
      <c r="K470" s="4"/>
      <c r="L470" s="4"/>
      <c r="M470" s="4"/>
      <c r="N470" s="4"/>
    </row>
    <row r="471" spans="1:14">
      <c r="A471" s="4"/>
      <c r="B471" s="4"/>
      <c r="C471" s="4"/>
      <c r="E471" s="4"/>
      <c r="F471" s="4"/>
      <c r="G471" s="4"/>
      <c r="H471" s="4"/>
      <c r="I471" s="4"/>
      <c r="J471" s="4"/>
      <c r="K471" s="4"/>
      <c r="L471" s="4"/>
      <c r="M471" s="4"/>
      <c r="N471" s="4"/>
    </row>
    <row r="472" spans="1:14">
      <c r="A472" s="4"/>
      <c r="B472" s="4"/>
      <c r="C472" s="4"/>
      <c r="E472" s="4"/>
      <c r="F472" s="4"/>
      <c r="G472" s="4"/>
      <c r="H472" s="4"/>
      <c r="I472" s="4"/>
      <c r="J472" s="4"/>
      <c r="K472" s="4"/>
      <c r="L472" s="4"/>
      <c r="M472" s="4"/>
      <c r="N472" s="4"/>
    </row>
    <row r="473" spans="1:14">
      <c r="A473" s="4"/>
      <c r="B473" s="4"/>
      <c r="C473" s="4"/>
      <c r="E473" s="4"/>
      <c r="F473" s="4"/>
      <c r="G473" s="4"/>
      <c r="H473" s="4"/>
      <c r="I473" s="4"/>
      <c r="J473" s="4"/>
      <c r="K473" s="4"/>
      <c r="L473" s="4"/>
      <c r="M473" s="4"/>
      <c r="N473" s="4"/>
    </row>
    <row r="474" spans="1:14">
      <c r="A474" s="4"/>
      <c r="B474" s="4"/>
      <c r="C474" s="4"/>
      <c r="E474" s="4"/>
      <c r="F474" s="4"/>
      <c r="G474" s="4"/>
      <c r="H474" s="4"/>
      <c r="I474" s="4"/>
      <c r="J474" s="4"/>
      <c r="K474" s="4"/>
      <c r="L474" s="4"/>
      <c r="M474" s="4"/>
      <c r="N474" s="4"/>
    </row>
    <row r="475" spans="1:14">
      <c r="A475" s="4"/>
      <c r="B475" s="4"/>
      <c r="C475" s="4"/>
      <c r="E475" s="4"/>
      <c r="F475" s="4"/>
      <c r="G475" s="4"/>
      <c r="H475" s="4"/>
      <c r="I475" s="4"/>
      <c r="J475" s="4"/>
      <c r="K475" s="4"/>
      <c r="L475" s="4"/>
      <c r="M475" s="4"/>
      <c r="N475" s="4"/>
    </row>
    <row r="476" spans="1:14">
      <c r="A476" s="4"/>
      <c r="B476" s="4"/>
      <c r="C476" s="4"/>
      <c r="E476" s="4"/>
      <c r="F476" s="4"/>
      <c r="G476" s="4"/>
      <c r="H476" s="4"/>
      <c r="I476" s="4"/>
      <c r="J476" s="4"/>
      <c r="K476" s="4"/>
      <c r="L476" s="4"/>
      <c r="M476" s="4"/>
      <c r="N476" s="4"/>
    </row>
    <row r="477" spans="1:14">
      <c r="A477" s="4"/>
      <c r="B477" s="4"/>
      <c r="C477" s="4"/>
      <c r="E477" s="4"/>
      <c r="F477" s="4"/>
      <c r="G477" s="4"/>
      <c r="H477" s="4"/>
      <c r="I477" s="4"/>
      <c r="J477" s="4"/>
      <c r="K477" s="4"/>
      <c r="L477" s="4"/>
      <c r="M477" s="4"/>
      <c r="N477" s="4"/>
    </row>
    <row r="478" spans="1:14">
      <c r="A478" s="4"/>
      <c r="B478" s="4"/>
      <c r="C478" s="4"/>
      <c r="E478" s="4"/>
      <c r="F478" s="4"/>
      <c r="G478" s="4"/>
      <c r="H478" s="4"/>
      <c r="I478" s="4"/>
      <c r="J478" s="4"/>
      <c r="K478" s="4"/>
      <c r="L478" s="4"/>
      <c r="M478" s="4"/>
      <c r="N478" s="4"/>
    </row>
    <row r="479" spans="1:14">
      <c r="A479" s="4"/>
      <c r="B479" s="4"/>
      <c r="C479" s="4"/>
      <c r="E479" s="4"/>
      <c r="F479" s="4"/>
      <c r="G479" s="4"/>
      <c r="H479" s="4"/>
      <c r="I479" s="4"/>
      <c r="J479" s="4"/>
      <c r="K479" s="4"/>
      <c r="L479" s="4"/>
      <c r="M479" s="4"/>
      <c r="N479" s="4"/>
    </row>
    <row r="480" spans="1:14">
      <c r="A480" s="4"/>
      <c r="B480" s="4"/>
      <c r="C480" s="4"/>
      <c r="E480" s="4"/>
      <c r="F480" s="4"/>
      <c r="G480" s="4"/>
      <c r="H480" s="4"/>
      <c r="I480" s="4"/>
      <c r="J480" s="4"/>
      <c r="K480" s="4"/>
      <c r="L480" s="4"/>
      <c r="M480" s="4"/>
      <c r="N480" s="4"/>
    </row>
    <row r="481" spans="1:14">
      <c r="A481" s="4"/>
      <c r="B481" s="4"/>
      <c r="C481" s="4"/>
      <c r="E481" s="4"/>
      <c r="F481" s="4"/>
      <c r="G481" s="4"/>
      <c r="H481" s="4"/>
      <c r="I481" s="4"/>
      <c r="J481" s="4"/>
      <c r="K481" s="4"/>
      <c r="L481" s="4"/>
      <c r="M481" s="4"/>
      <c r="N481" s="4"/>
    </row>
    <row r="482" spans="1:14">
      <c r="A482" s="4"/>
      <c r="B482" s="4"/>
      <c r="C482" s="4"/>
      <c r="E482" s="4"/>
      <c r="F482" s="4"/>
      <c r="G482" s="4"/>
      <c r="H482" s="4"/>
      <c r="I482" s="4"/>
      <c r="J482" s="4"/>
      <c r="K482" s="4"/>
      <c r="L482" s="4"/>
      <c r="M482" s="4"/>
      <c r="N482" s="4"/>
    </row>
    <row r="483" spans="1:14">
      <c r="A483" s="4"/>
      <c r="B483" s="4"/>
      <c r="C483" s="4"/>
      <c r="E483" s="4"/>
      <c r="F483" s="4"/>
      <c r="G483" s="4"/>
      <c r="H483" s="4"/>
      <c r="I483" s="4"/>
      <c r="J483" s="4"/>
      <c r="K483" s="4"/>
      <c r="L483" s="4"/>
      <c r="M483" s="4"/>
      <c r="N483" s="4"/>
    </row>
    <row r="484" spans="1:14">
      <c r="A484" s="4"/>
      <c r="B484" s="4"/>
      <c r="C484" s="4"/>
      <c r="E484" s="4"/>
      <c r="F484" s="4"/>
      <c r="G484" s="4"/>
      <c r="H484" s="4"/>
      <c r="I484" s="4"/>
      <c r="J484" s="4"/>
      <c r="K484" s="4"/>
      <c r="L484" s="4"/>
      <c r="M484" s="4"/>
      <c r="N484" s="4"/>
    </row>
    <row r="485" spans="1:14">
      <c r="A485" s="4"/>
      <c r="B485" s="4"/>
      <c r="C485" s="4"/>
      <c r="E485" s="4"/>
      <c r="F485" s="4"/>
      <c r="G485" s="4"/>
      <c r="H485" s="4"/>
      <c r="I485" s="4"/>
      <c r="J485" s="4"/>
      <c r="K485" s="4"/>
      <c r="L485" s="4"/>
      <c r="M485" s="4"/>
      <c r="N485" s="4"/>
    </row>
    <row r="486" spans="1:14">
      <c r="A486" s="4"/>
      <c r="B486" s="4"/>
      <c r="C486" s="4"/>
      <c r="E486" s="4"/>
      <c r="F486" s="4"/>
      <c r="G486" s="4"/>
      <c r="H486" s="4"/>
      <c r="I486" s="4"/>
      <c r="J486" s="4"/>
      <c r="K486" s="4"/>
      <c r="L486" s="4"/>
      <c r="M486" s="4"/>
      <c r="N486" s="4"/>
    </row>
    <row r="487" spans="1:14">
      <c r="A487" s="4"/>
      <c r="B487" s="4"/>
      <c r="C487" s="4"/>
      <c r="E487" s="4"/>
      <c r="F487" s="4"/>
      <c r="G487" s="4"/>
      <c r="H487" s="4"/>
      <c r="I487" s="4"/>
      <c r="J487" s="4"/>
      <c r="K487" s="4"/>
      <c r="L487" s="4"/>
      <c r="M487" s="4"/>
      <c r="N487" s="4"/>
    </row>
    <row r="488" spans="1:14">
      <c r="A488" s="4"/>
      <c r="B488" s="4"/>
      <c r="C488" s="4"/>
      <c r="E488" s="4"/>
      <c r="F488" s="4"/>
      <c r="G488" s="4"/>
      <c r="H488" s="4"/>
      <c r="I488" s="4"/>
      <c r="J488" s="4"/>
      <c r="K488" s="4"/>
      <c r="L488" s="4"/>
      <c r="M488" s="4"/>
      <c r="N488" s="4"/>
    </row>
    <row r="489" spans="1:14">
      <c r="A489" s="4"/>
      <c r="B489" s="4"/>
      <c r="C489" s="4"/>
      <c r="E489" s="4"/>
      <c r="F489" s="4"/>
      <c r="G489" s="4"/>
      <c r="H489" s="4"/>
      <c r="I489" s="4"/>
      <c r="J489" s="4"/>
      <c r="K489" s="4"/>
      <c r="L489" s="4"/>
      <c r="M489" s="4"/>
      <c r="N489" s="4"/>
    </row>
    <row r="490" spans="1:14">
      <c r="A490" s="4"/>
      <c r="B490" s="4"/>
      <c r="C490" s="4"/>
      <c r="E490" s="4"/>
      <c r="F490" s="4"/>
      <c r="G490" s="4"/>
      <c r="H490" s="4"/>
      <c r="I490" s="4"/>
      <c r="J490" s="4"/>
      <c r="K490" s="4"/>
      <c r="L490" s="4"/>
      <c r="M490" s="4"/>
      <c r="N490" s="4"/>
    </row>
    <row r="491" spans="1:14">
      <c r="A491" s="4"/>
      <c r="B491" s="4"/>
      <c r="C491" s="4"/>
      <c r="E491" s="4"/>
      <c r="F491" s="4"/>
      <c r="G491" s="4"/>
      <c r="H491" s="4"/>
      <c r="I491" s="4"/>
      <c r="J491" s="4"/>
      <c r="K491" s="4"/>
      <c r="L491" s="4"/>
      <c r="M491" s="4"/>
      <c r="N491" s="4"/>
    </row>
    <row r="492" spans="1:14">
      <c r="A492" s="4"/>
      <c r="B492" s="4"/>
      <c r="C492" s="4"/>
      <c r="E492" s="4"/>
      <c r="F492" s="4"/>
      <c r="G492" s="4"/>
      <c r="H492" s="4"/>
      <c r="I492" s="4"/>
      <c r="J492" s="4"/>
      <c r="K492" s="4"/>
      <c r="L492" s="4"/>
      <c r="M492" s="4"/>
      <c r="N492" s="4"/>
    </row>
    <row r="493" spans="1:14">
      <c r="A493" s="4"/>
      <c r="B493" s="4"/>
      <c r="C493" s="4"/>
      <c r="E493" s="4"/>
      <c r="F493" s="4"/>
      <c r="G493" s="4"/>
      <c r="H493" s="4"/>
      <c r="I493" s="4"/>
      <c r="J493" s="4"/>
      <c r="K493" s="4"/>
      <c r="L493" s="4"/>
      <c r="M493" s="4"/>
      <c r="N493" s="4"/>
    </row>
    <row r="494" spans="1:14">
      <c r="A494" s="4"/>
      <c r="B494" s="4"/>
      <c r="C494" s="4"/>
      <c r="E494" s="4"/>
      <c r="F494" s="4"/>
      <c r="G494" s="4"/>
      <c r="H494" s="4"/>
      <c r="I494" s="4"/>
      <c r="J494" s="4"/>
      <c r="K494" s="4"/>
      <c r="L494" s="4"/>
      <c r="M494" s="4"/>
      <c r="N494" s="4"/>
    </row>
    <row r="495" spans="1:14">
      <c r="A495" s="4"/>
      <c r="B495" s="4"/>
      <c r="C495" s="4"/>
      <c r="E495" s="4"/>
      <c r="F495" s="4"/>
      <c r="G495" s="4"/>
      <c r="H495" s="4"/>
      <c r="I495" s="4"/>
      <c r="J495" s="4"/>
      <c r="K495" s="4"/>
      <c r="L495" s="4"/>
      <c r="M495" s="4"/>
      <c r="N495" s="4"/>
    </row>
    <row r="496" spans="1:14">
      <c r="A496" s="4"/>
      <c r="B496" s="4"/>
      <c r="C496" s="4"/>
      <c r="E496" s="4"/>
      <c r="F496" s="4"/>
      <c r="G496" s="4"/>
      <c r="H496" s="4"/>
      <c r="I496" s="4"/>
      <c r="J496" s="4"/>
      <c r="K496" s="4"/>
      <c r="L496" s="4"/>
      <c r="M496" s="4"/>
      <c r="N496" s="4"/>
    </row>
    <row r="497" spans="1:14">
      <c r="A497" s="4"/>
      <c r="B497" s="4"/>
      <c r="C497" s="4"/>
      <c r="E497" s="4"/>
      <c r="F497" s="4"/>
      <c r="G497" s="4"/>
      <c r="H497" s="4"/>
      <c r="I497" s="4"/>
      <c r="J497" s="4"/>
      <c r="K497" s="4"/>
      <c r="L497" s="4"/>
      <c r="M497" s="4"/>
      <c r="N497" s="4"/>
    </row>
    <row r="498" spans="1:14">
      <c r="A498" s="4"/>
      <c r="B498" s="4"/>
      <c r="C498" s="4"/>
      <c r="E498" s="4"/>
      <c r="F498" s="4"/>
      <c r="G498" s="4"/>
      <c r="H498" s="4"/>
      <c r="I498" s="4"/>
      <c r="J498" s="4"/>
      <c r="K498" s="4"/>
      <c r="L498" s="4"/>
      <c r="M498" s="4"/>
      <c r="N498" s="4"/>
    </row>
    <row r="499" spans="1:14">
      <c r="A499" s="4"/>
      <c r="B499" s="4"/>
      <c r="C499" s="4"/>
      <c r="E499" s="4"/>
      <c r="F499" s="4"/>
      <c r="G499" s="4"/>
      <c r="H499" s="4"/>
      <c r="I499" s="4"/>
      <c r="J499" s="4"/>
      <c r="K499" s="4"/>
      <c r="L499" s="4"/>
      <c r="M499" s="4"/>
      <c r="N499" s="4"/>
    </row>
    <row r="500" spans="1:14">
      <c r="A500" s="4"/>
      <c r="B500" s="4"/>
      <c r="C500" s="4"/>
      <c r="E500" s="4"/>
      <c r="F500" s="4"/>
      <c r="G500" s="4"/>
      <c r="H500" s="4"/>
      <c r="I500" s="4"/>
      <c r="J500" s="4"/>
      <c r="K500" s="4"/>
      <c r="L500" s="4"/>
      <c r="M500" s="4"/>
      <c r="N500" s="4"/>
    </row>
    <row r="501" spans="1:14">
      <c r="A501" s="4"/>
      <c r="B501" s="4"/>
      <c r="C501" s="4"/>
      <c r="E501" s="4"/>
      <c r="F501" s="4"/>
      <c r="G501" s="4"/>
      <c r="H501" s="4"/>
      <c r="I501" s="4"/>
      <c r="J501" s="4"/>
      <c r="K501" s="4"/>
      <c r="L501" s="4"/>
      <c r="M501" s="4"/>
      <c r="N501" s="4"/>
    </row>
    <row r="502" spans="1:14">
      <c r="A502" s="4"/>
      <c r="B502" s="4"/>
      <c r="C502" s="4"/>
      <c r="E502" s="4"/>
      <c r="F502" s="4"/>
      <c r="G502" s="4"/>
      <c r="H502" s="4"/>
      <c r="I502" s="4"/>
      <c r="J502" s="4"/>
      <c r="K502" s="4"/>
      <c r="L502" s="4"/>
      <c r="M502" s="4"/>
      <c r="N502" s="4"/>
    </row>
    <row r="503" spans="1:14">
      <c r="A503" s="4"/>
      <c r="B503" s="4"/>
      <c r="C503" s="4"/>
      <c r="E503" s="4"/>
      <c r="F503" s="4"/>
      <c r="G503" s="4"/>
      <c r="H503" s="4"/>
      <c r="I503" s="4"/>
      <c r="J503" s="4"/>
      <c r="K503" s="4"/>
      <c r="L503" s="4"/>
      <c r="M503" s="4"/>
      <c r="N503" s="4"/>
    </row>
    <row r="504" spans="1:14">
      <c r="A504" s="4"/>
      <c r="B504" s="4"/>
      <c r="C504" s="4"/>
      <c r="E504" s="4"/>
      <c r="F504" s="4"/>
      <c r="G504" s="4"/>
      <c r="H504" s="4"/>
      <c r="I504" s="4"/>
      <c r="J504" s="4"/>
      <c r="K504" s="4"/>
      <c r="L504" s="4"/>
      <c r="M504" s="4"/>
      <c r="N504" s="4"/>
    </row>
    <row r="505" spans="1:14">
      <c r="A505" s="4"/>
      <c r="B505" s="4"/>
      <c r="C505" s="4"/>
      <c r="E505" s="4"/>
      <c r="F505" s="4"/>
      <c r="G505" s="4"/>
      <c r="H505" s="4"/>
      <c r="I505" s="4"/>
      <c r="J505" s="4"/>
      <c r="K505" s="4"/>
      <c r="L505" s="4"/>
      <c r="M505" s="4"/>
      <c r="N505" s="4"/>
    </row>
    <row r="506" spans="1:14">
      <c r="A506" s="4"/>
      <c r="B506" s="4"/>
      <c r="C506" s="4"/>
      <c r="E506" s="4"/>
      <c r="F506" s="4"/>
      <c r="G506" s="4"/>
      <c r="H506" s="4"/>
      <c r="I506" s="4"/>
      <c r="J506" s="4"/>
      <c r="K506" s="4"/>
      <c r="L506" s="4"/>
      <c r="M506" s="4"/>
      <c r="N506" s="4"/>
    </row>
    <row r="507" spans="1:14">
      <c r="A507" s="4"/>
      <c r="B507" s="4"/>
      <c r="C507" s="4"/>
      <c r="E507" s="4"/>
      <c r="F507" s="4"/>
      <c r="G507" s="4"/>
      <c r="H507" s="4"/>
      <c r="I507" s="4"/>
      <c r="J507" s="4"/>
      <c r="K507" s="4"/>
      <c r="L507" s="4"/>
      <c r="M507" s="4"/>
      <c r="N507" s="4"/>
    </row>
    <row r="508" spans="1:14">
      <c r="A508" s="4"/>
      <c r="B508" s="4"/>
      <c r="C508" s="4"/>
      <c r="E508" s="4"/>
      <c r="F508" s="4"/>
      <c r="G508" s="4"/>
      <c r="H508" s="4"/>
      <c r="I508" s="4"/>
      <c r="J508" s="4"/>
      <c r="K508" s="4"/>
      <c r="L508" s="4"/>
      <c r="M508" s="4"/>
      <c r="N508" s="4"/>
    </row>
    <row r="509" spans="1:14">
      <c r="A509" s="4"/>
      <c r="B509" s="4"/>
      <c r="C509" s="4"/>
      <c r="E509" s="4"/>
      <c r="F509" s="4"/>
      <c r="G509" s="4"/>
      <c r="H509" s="4"/>
      <c r="I509" s="4"/>
      <c r="J509" s="4"/>
      <c r="K509" s="4"/>
      <c r="L509" s="4"/>
      <c r="M509" s="4"/>
      <c r="N509" s="4"/>
    </row>
    <row r="510" spans="1:14">
      <c r="A510" s="4"/>
      <c r="B510" s="4"/>
      <c r="C510" s="4"/>
      <c r="E510" s="4"/>
      <c r="F510" s="4"/>
      <c r="G510" s="4"/>
      <c r="H510" s="4"/>
      <c r="I510" s="4"/>
      <c r="J510" s="4"/>
      <c r="K510" s="4"/>
      <c r="L510" s="4"/>
      <c r="M510" s="4"/>
      <c r="N510" s="4"/>
    </row>
    <row r="511" spans="1:14">
      <c r="A511" s="4"/>
      <c r="B511" s="4"/>
      <c r="C511" s="4"/>
      <c r="E511" s="4"/>
      <c r="F511" s="4"/>
      <c r="G511" s="4"/>
      <c r="H511" s="4"/>
      <c r="I511" s="4"/>
      <c r="J511" s="4"/>
      <c r="K511" s="4"/>
      <c r="L511" s="4"/>
      <c r="M511" s="4"/>
      <c r="N511" s="4"/>
    </row>
    <row r="512" spans="1:14">
      <c r="A512" s="4"/>
      <c r="B512" s="4"/>
      <c r="C512" s="4"/>
      <c r="E512" s="4"/>
      <c r="F512" s="4"/>
      <c r="G512" s="4"/>
      <c r="H512" s="4"/>
      <c r="I512" s="4"/>
      <c r="J512" s="4"/>
      <c r="K512" s="4"/>
      <c r="L512" s="4"/>
      <c r="M512" s="4"/>
      <c r="N512" s="4"/>
    </row>
    <row r="513" spans="1:14">
      <c r="A513" s="4"/>
      <c r="B513" s="4"/>
      <c r="C513" s="4"/>
      <c r="E513" s="4"/>
      <c r="F513" s="4"/>
      <c r="G513" s="4"/>
      <c r="H513" s="4"/>
      <c r="I513" s="4"/>
      <c r="J513" s="4"/>
      <c r="K513" s="4"/>
      <c r="L513" s="4"/>
      <c r="M513" s="4"/>
      <c r="N513" s="4"/>
    </row>
    <row r="514" spans="1:14">
      <c r="A514" s="4"/>
      <c r="B514" s="4"/>
      <c r="C514" s="4"/>
      <c r="E514" s="4"/>
      <c r="F514" s="4"/>
      <c r="G514" s="4"/>
      <c r="H514" s="4"/>
      <c r="I514" s="4"/>
      <c r="J514" s="4"/>
      <c r="K514" s="4"/>
      <c r="L514" s="4"/>
      <c r="M514" s="4"/>
      <c r="N514" s="4"/>
    </row>
    <row r="515" spans="1:14">
      <c r="A515" s="4"/>
      <c r="B515" s="4"/>
      <c r="C515" s="4"/>
      <c r="E515" s="4"/>
      <c r="F515" s="4"/>
      <c r="G515" s="4"/>
      <c r="H515" s="4"/>
      <c r="I515" s="4"/>
      <c r="J515" s="4"/>
      <c r="K515" s="4"/>
      <c r="L515" s="4"/>
      <c r="M515" s="4"/>
      <c r="N515" s="4"/>
    </row>
    <row r="516" spans="1:14">
      <c r="A516" s="4"/>
      <c r="B516" s="4"/>
      <c r="C516" s="4"/>
      <c r="E516" s="4"/>
      <c r="F516" s="4"/>
      <c r="G516" s="4"/>
      <c r="H516" s="4"/>
      <c r="I516" s="4"/>
      <c r="J516" s="4"/>
      <c r="K516" s="4"/>
      <c r="L516" s="4"/>
      <c r="M516" s="4"/>
      <c r="N516" s="4"/>
    </row>
    <row r="517" spans="1:14">
      <c r="A517" s="4"/>
      <c r="B517" s="4"/>
      <c r="C517" s="4"/>
      <c r="E517" s="4"/>
      <c r="F517" s="4"/>
      <c r="G517" s="4"/>
      <c r="H517" s="4"/>
      <c r="I517" s="4"/>
      <c r="J517" s="4"/>
      <c r="K517" s="4"/>
      <c r="L517" s="4"/>
      <c r="M517" s="4"/>
      <c r="N517" s="4"/>
    </row>
    <row r="518" spans="1:14">
      <c r="A518" s="4"/>
      <c r="B518" s="4"/>
      <c r="C518" s="4"/>
      <c r="E518" s="4"/>
      <c r="F518" s="4"/>
      <c r="G518" s="4"/>
      <c r="H518" s="4"/>
      <c r="I518" s="4"/>
      <c r="J518" s="4"/>
      <c r="K518" s="4"/>
      <c r="L518" s="4"/>
      <c r="M518" s="4"/>
      <c r="N518" s="4"/>
    </row>
    <row r="519" spans="1:14">
      <c r="A519" s="4"/>
      <c r="B519" s="4"/>
      <c r="C519" s="4"/>
      <c r="E519" s="4"/>
      <c r="F519" s="4"/>
      <c r="G519" s="4"/>
      <c r="H519" s="4"/>
      <c r="I519" s="4"/>
      <c r="J519" s="4"/>
      <c r="K519" s="4"/>
      <c r="L519" s="4"/>
      <c r="M519" s="4"/>
      <c r="N519" s="4"/>
    </row>
    <row r="520" spans="1:14">
      <c r="A520" s="4"/>
      <c r="B520" s="4"/>
      <c r="C520" s="4"/>
      <c r="E520" s="4"/>
      <c r="F520" s="4"/>
      <c r="G520" s="4"/>
      <c r="H520" s="4"/>
      <c r="I520" s="4"/>
      <c r="J520" s="4"/>
      <c r="K520" s="4"/>
      <c r="L520" s="4"/>
      <c r="M520" s="4"/>
      <c r="N520" s="4"/>
    </row>
    <row r="521" spans="1:14">
      <c r="A521" s="4"/>
      <c r="B521" s="4"/>
      <c r="C521" s="4"/>
      <c r="E521" s="4"/>
      <c r="F521" s="4"/>
      <c r="G521" s="4"/>
      <c r="H521" s="4"/>
      <c r="I521" s="4"/>
      <c r="J521" s="4"/>
      <c r="K521" s="4"/>
      <c r="L521" s="4"/>
      <c r="M521" s="4"/>
      <c r="N521" s="4"/>
    </row>
    <row r="522" spans="1:14">
      <c r="A522" s="4"/>
      <c r="B522" s="4"/>
      <c r="C522" s="4"/>
      <c r="E522" s="4"/>
      <c r="F522" s="4"/>
      <c r="G522" s="4"/>
      <c r="H522" s="4"/>
      <c r="I522" s="4"/>
      <c r="J522" s="4"/>
      <c r="K522" s="4"/>
      <c r="L522" s="4"/>
      <c r="M522" s="4"/>
      <c r="N522" s="4"/>
    </row>
    <row r="523" spans="1:14">
      <c r="A523" s="4"/>
      <c r="B523" s="4"/>
      <c r="C523" s="4"/>
      <c r="E523" s="4"/>
      <c r="F523" s="4"/>
      <c r="G523" s="4"/>
      <c r="H523" s="4"/>
      <c r="I523" s="4"/>
      <c r="J523" s="4"/>
      <c r="K523" s="4"/>
      <c r="L523" s="4"/>
      <c r="M523" s="4"/>
      <c r="N523" s="4"/>
    </row>
    <row r="524" spans="1:14">
      <c r="A524" s="4"/>
      <c r="B524" s="4"/>
      <c r="C524" s="4"/>
      <c r="E524" s="4"/>
      <c r="F524" s="4"/>
      <c r="G524" s="4"/>
      <c r="H524" s="4"/>
      <c r="I524" s="4"/>
      <c r="J524" s="4"/>
      <c r="K524" s="4"/>
      <c r="L524" s="4"/>
      <c r="M524" s="4"/>
      <c r="N524" s="4"/>
    </row>
    <row r="525" spans="1:14">
      <c r="A525" s="4"/>
      <c r="B525" s="4"/>
      <c r="C525" s="4"/>
      <c r="E525" s="4"/>
      <c r="F525" s="4"/>
      <c r="G525" s="4"/>
      <c r="H525" s="4"/>
      <c r="I525" s="4"/>
      <c r="J525" s="4"/>
      <c r="K525" s="4"/>
      <c r="L525" s="4"/>
      <c r="M525" s="4"/>
      <c r="N525" s="4"/>
    </row>
    <row r="526" spans="1:14">
      <c r="A526" s="4"/>
      <c r="B526" s="4"/>
      <c r="C526" s="4"/>
      <c r="E526" s="4"/>
      <c r="F526" s="4"/>
      <c r="G526" s="4"/>
      <c r="H526" s="4"/>
      <c r="I526" s="4"/>
      <c r="J526" s="4"/>
      <c r="K526" s="4"/>
      <c r="L526" s="4"/>
      <c r="M526" s="4"/>
      <c r="N526" s="4"/>
    </row>
    <row r="527" spans="1:14">
      <c r="A527" s="4"/>
      <c r="B527" s="4"/>
      <c r="C527" s="4"/>
      <c r="E527" s="4"/>
      <c r="F527" s="4"/>
      <c r="G527" s="4"/>
      <c r="H527" s="4"/>
      <c r="I527" s="4"/>
      <c r="J527" s="4"/>
      <c r="K527" s="4"/>
      <c r="L527" s="4"/>
      <c r="M527" s="4"/>
      <c r="N527" s="4"/>
    </row>
    <row r="528" spans="1:14">
      <c r="A528" s="4"/>
      <c r="B528" s="4"/>
      <c r="C528" s="4"/>
      <c r="E528" s="4"/>
      <c r="F528" s="4"/>
      <c r="G528" s="4"/>
      <c r="H528" s="4"/>
      <c r="I528" s="4"/>
      <c r="J528" s="4"/>
      <c r="K528" s="4"/>
      <c r="L528" s="4"/>
      <c r="M528" s="4"/>
      <c r="N528" s="4"/>
    </row>
    <row r="529" spans="1:14">
      <c r="A529" s="4"/>
      <c r="B529" s="4"/>
      <c r="C529" s="4"/>
      <c r="E529" s="4"/>
      <c r="F529" s="4"/>
      <c r="G529" s="4"/>
      <c r="H529" s="4"/>
      <c r="I529" s="4"/>
      <c r="J529" s="4"/>
      <c r="K529" s="4"/>
      <c r="L529" s="4"/>
      <c r="M529" s="4"/>
      <c r="N529" s="4"/>
    </row>
    <row r="530" spans="1:14">
      <c r="A530" s="4"/>
      <c r="B530" s="4"/>
      <c r="C530" s="4"/>
      <c r="E530" s="4"/>
      <c r="F530" s="4"/>
      <c r="G530" s="4"/>
      <c r="H530" s="4"/>
      <c r="I530" s="4"/>
      <c r="J530" s="4"/>
      <c r="K530" s="4"/>
      <c r="L530" s="4"/>
      <c r="M530" s="4"/>
      <c r="N530" s="4"/>
    </row>
    <row r="531" spans="1:14">
      <c r="A531" s="4"/>
      <c r="B531" s="4"/>
      <c r="C531" s="4"/>
      <c r="E531" s="4"/>
      <c r="F531" s="4"/>
      <c r="G531" s="4"/>
      <c r="H531" s="4"/>
      <c r="I531" s="4"/>
      <c r="J531" s="4"/>
      <c r="K531" s="4"/>
      <c r="L531" s="4"/>
      <c r="M531" s="4"/>
      <c r="N531" s="4"/>
    </row>
    <row r="532" spans="1:14">
      <c r="A532" s="4"/>
      <c r="B532" s="4"/>
      <c r="C532" s="4"/>
      <c r="E532" s="4"/>
      <c r="F532" s="4"/>
      <c r="G532" s="4"/>
      <c r="H532" s="4"/>
      <c r="I532" s="4"/>
      <c r="J532" s="4"/>
      <c r="K532" s="4"/>
      <c r="L532" s="4"/>
      <c r="M532" s="4"/>
      <c r="N532" s="4"/>
    </row>
    <row r="533" spans="1:14">
      <c r="A533" s="4"/>
      <c r="B533" s="4"/>
      <c r="C533" s="4"/>
      <c r="E533" s="4"/>
      <c r="F533" s="4"/>
      <c r="G533" s="4"/>
      <c r="H533" s="4"/>
      <c r="I533" s="4"/>
      <c r="J533" s="4"/>
      <c r="K533" s="4"/>
      <c r="L533" s="4"/>
      <c r="M533" s="4"/>
      <c r="N533" s="4"/>
    </row>
    <row r="534" spans="1:14">
      <c r="A534" s="4"/>
      <c r="B534" s="4"/>
      <c r="C534" s="4"/>
      <c r="E534" s="4"/>
      <c r="F534" s="4"/>
      <c r="G534" s="4"/>
      <c r="H534" s="4"/>
      <c r="I534" s="4"/>
      <c r="J534" s="4"/>
      <c r="K534" s="4"/>
      <c r="L534" s="4"/>
      <c r="M534" s="4"/>
      <c r="N534" s="4"/>
    </row>
    <row r="535" spans="1:14">
      <c r="A535" s="4"/>
      <c r="B535" s="4"/>
      <c r="C535" s="4"/>
      <c r="E535" s="4"/>
      <c r="F535" s="4"/>
      <c r="G535" s="4"/>
      <c r="H535" s="4"/>
      <c r="I535" s="4"/>
      <c r="J535" s="4"/>
      <c r="K535" s="4"/>
      <c r="L535" s="4"/>
      <c r="M535" s="4"/>
      <c r="N535" s="4"/>
    </row>
    <row r="536" spans="1:14">
      <c r="A536" s="4"/>
      <c r="B536" s="4"/>
      <c r="C536" s="4"/>
      <c r="E536" s="4"/>
      <c r="F536" s="4"/>
      <c r="G536" s="4"/>
      <c r="H536" s="4"/>
      <c r="I536" s="4"/>
      <c r="J536" s="4"/>
      <c r="K536" s="4"/>
      <c r="L536" s="4"/>
      <c r="M536" s="4"/>
      <c r="N536" s="4"/>
    </row>
    <row r="537" spans="1:14">
      <c r="A537" s="4"/>
      <c r="B537" s="4"/>
      <c r="C537" s="4"/>
      <c r="E537" s="4"/>
      <c r="F537" s="4"/>
      <c r="G537" s="4"/>
      <c r="H537" s="4"/>
      <c r="I537" s="4"/>
      <c r="J537" s="4"/>
      <c r="K537" s="4"/>
      <c r="L537" s="4"/>
      <c r="M537" s="4"/>
      <c r="N537" s="4"/>
    </row>
    <row r="538" spans="1:14">
      <c r="A538" s="4"/>
      <c r="B538" s="4"/>
      <c r="C538" s="4"/>
      <c r="E538" s="4"/>
      <c r="F538" s="4"/>
      <c r="G538" s="4"/>
      <c r="H538" s="4"/>
      <c r="I538" s="4"/>
      <c r="J538" s="4"/>
      <c r="K538" s="4"/>
      <c r="L538" s="4"/>
      <c r="M538" s="4"/>
      <c r="N538" s="4"/>
    </row>
    <row r="539" spans="1:14">
      <c r="A539" s="4"/>
      <c r="B539" s="4"/>
      <c r="C539" s="4"/>
      <c r="E539" s="4"/>
      <c r="F539" s="4"/>
      <c r="G539" s="4"/>
      <c r="H539" s="4"/>
      <c r="I539" s="4"/>
      <c r="J539" s="4"/>
      <c r="K539" s="4"/>
      <c r="L539" s="4"/>
      <c r="M539" s="4"/>
      <c r="N539" s="4"/>
    </row>
  </sheetData>
  <dataValidations count="1">
    <dataValidation type="list" allowBlank="1" showInputMessage="1" showErrorMessage="1" sqref="C2:C539" xr:uid="{00000000-0002-0000-1200-000001000000}">
      <formula1>INDIRECT(B2)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1200-000000000000}">
          <x14:formula1>
            <xm:f>List!$P$2:$P$11</xm:f>
          </x14:formula1>
          <xm:sqref>B2:B539</xm:sqref>
        </x14:dataValidation>
        <x14:dataValidation type="list" allowBlank="1" showInputMessage="1" showErrorMessage="1" xr:uid="{00000000-0002-0000-1200-000002000000}">
          <x14:formula1>
            <xm:f>List!$C$2:$C$3</xm:f>
          </x14:formula1>
          <xm:sqref>E2:E539</xm:sqref>
        </x14:dataValidation>
        <x14:dataValidation type="list" allowBlank="1" showInputMessage="1" showErrorMessage="1" xr:uid="{00000000-0002-0000-1200-000003000000}">
          <x14:formula1>
            <xm:f>List!$E$2:$E$32</xm:f>
          </x14:formula1>
          <xm:sqref>F2:F539</xm:sqref>
        </x14:dataValidation>
        <x14:dataValidation type="list" allowBlank="1" showInputMessage="1" showErrorMessage="1" xr:uid="{00000000-0002-0000-1200-000004000000}">
          <x14:formula1>
            <xm:f>List!$H$2:$H$13</xm:f>
          </x14:formula1>
          <xm:sqref>M2:M539</xm:sqref>
        </x14:dataValidation>
        <x14:dataValidation type="list" allowBlank="1" showInputMessage="1" showErrorMessage="1" xr:uid="{00000000-0002-0000-1200-000005000000}">
          <x14:formula1>
            <xm:f>List!$J$2:$J$4</xm:f>
          </x14:formula1>
          <xm:sqref>N2:N539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DCD97-F4B2-4ECC-B366-4EE797476A02}">
  <sheetPr>
    <tabColor theme="4" tint="0.39997558519241921"/>
  </sheetPr>
  <dimension ref="A1:N7"/>
  <sheetViews>
    <sheetView workbookViewId="0">
      <selection activeCell="B2" sqref="B2:N6"/>
    </sheetView>
  </sheetViews>
  <sheetFormatPr defaultRowHeight="14.5"/>
  <cols>
    <col min="1" max="1" width="5.36328125" bestFit="1" customWidth="1"/>
    <col min="2" max="2" width="8.6328125" bestFit="1" customWidth="1"/>
    <col min="3" max="3" width="9.6328125" bestFit="1" customWidth="1"/>
    <col min="4" max="4" width="9" bestFit="1" customWidth="1"/>
    <col min="5" max="5" width="10.90625" bestFit="1" customWidth="1"/>
    <col min="6" max="6" width="10.1796875" bestFit="1" customWidth="1"/>
    <col min="7" max="7" width="35" bestFit="1" customWidth="1"/>
    <col min="8" max="8" width="11.7265625" bestFit="1" customWidth="1"/>
    <col min="9" max="9" width="11.54296875" bestFit="1" customWidth="1"/>
    <col min="10" max="10" width="10.08984375" bestFit="1" customWidth="1"/>
    <col min="11" max="11" width="11.1796875" bestFit="1" customWidth="1"/>
    <col min="12" max="12" width="10.81640625" bestFit="1" customWidth="1"/>
    <col min="13" max="13" width="6.54296875" bestFit="1" customWidth="1"/>
    <col min="14" max="14" width="4.81640625" bestFit="1" customWidth="1"/>
  </cols>
  <sheetData>
    <row r="1" spans="1:14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16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</row>
    <row r="2" spans="1:14">
      <c r="A2" s="4">
        <v>1</v>
      </c>
      <c r="B2" s="4" t="s">
        <v>54</v>
      </c>
      <c r="C2" s="4" t="s">
        <v>55</v>
      </c>
      <c r="D2" s="4" t="s">
        <v>60</v>
      </c>
      <c r="E2" s="4" t="s">
        <v>292</v>
      </c>
      <c r="F2" s="4"/>
      <c r="G2" s="4" t="s">
        <v>271</v>
      </c>
      <c r="H2" s="4" t="s">
        <v>292</v>
      </c>
      <c r="I2" s="36">
        <v>5000</v>
      </c>
      <c r="J2" s="4" t="s">
        <v>664</v>
      </c>
      <c r="K2" s="93">
        <v>45888</v>
      </c>
      <c r="L2" s="4">
        <v>2025402966</v>
      </c>
      <c r="M2" s="83" t="s">
        <v>222</v>
      </c>
      <c r="N2" s="4">
        <v>2025</v>
      </c>
    </row>
    <row r="3" spans="1:14">
      <c r="A3" s="4">
        <v>2</v>
      </c>
      <c r="B3" s="4" t="s">
        <v>54</v>
      </c>
      <c r="C3" s="4" t="s">
        <v>55</v>
      </c>
      <c r="D3" s="4" t="s">
        <v>60</v>
      </c>
      <c r="E3" s="4" t="s">
        <v>292</v>
      </c>
      <c r="F3" s="4"/>
      <c r="G3" s="4" t="s">
        <v>662</v>
      </c>
      <c r="H3" s="4" t="s">
        <v>292</v>
      </c>
      <c r="I3" s="36">
        <f>5750000/1450</f>
        <v>3965.5172413793102</v>
      </c>
      <c r="J3" s="4" t="s">
        <v>665</v>
      </c>
      <c r="K3" s="93">
        <v>46002</v>
      </c>
      <c r="L3" s="4">
        <v>2025404664</v>
      </c>
      <c r="M3" s="83" t="s">
        <v>222</v>
      </c>
      <c r="N3" s="4">
        <v>2025</v>
      </c>
    </row>
    <row r="4" spans="1:14">
      <c r="A4" s="4">
        <v>3</v>
      </c>
      <c r="B4" s="4" t="s">
        <v>54</v>
      </c>
      <c r="C4" s="4" t="s">
        <v>55</v>
      </c>
      <c r="D4" s="4" t="s">
        <v>60</v>
      </c>
      <c r="E4" s="4" t="s">
        <v>292</v>
      </c>
      <c r="F4" s="4"/>
      <c r="G4" s="4" t="s">
        <v>663</v>
      </c>
      <c r="H4" s="4" t="s">
        <v>292</v>
      </c>
      <c r="I4" s="36">
        <f>2070000/1450</f>
        <v>1427.5862068965516</v>
      </c>
      <c r="J4" s="4" t="s">
        <v>625</v>
      </c>
      <c r="K4" s="93">
        <v>46001</v>
      </c>
      <c r="L4" s="4">
        <v>2025404668</v>
      </c>
      <c r="M4" s="83" t="s">
        <v>222</v>
      </c>
      <c r="N4" s="4">
        <v>2025</v>
      </c>
    </row>
    <row r="5" spans="1:14">
      <c r="A5" s="4">
        <v>4</v>
      </c>
      <c r="B5" s="4" t="s">
        <v>54</v>
      </c>
      <c r="C5" s="4" t="s">
        <v>55</v>
      </c>
      <c r="D5" s="4" t="s">
        <v>60</v>
      </c>
      <c r="E5" s="4" t="s">
        <v>292</v>
      </c>
      <c r="F5" s="4"/>
      <c r="G5" s="4" t="s">
        <v>290</v>
      </c>
      <c r="H5" s="4" t="s">
        <v>292</v>
      </c>
      <c r="I5" s="36">
        <f>4800000/1450</f>
        <v>3310.344827586207</v>
      </c>
      <c r="J5" s="4" t="s">
        <v>666</v>
      </c>
      <c r="K5" s="93">
        <v>46007</v>
      </c>
      <c r="L5" s="4">
        <v>2025404574</v>
      </c>
      <c r="M5" s="83" t="s">
        <v>222</v>
      </c>
      <c r="N5" s="4">
        <v>2025</v>
      </c>
    </row>
    <row r="6" spans="1:14">
      <c r="A6" s="4">
        <v>5</v>
      </c>
      <c r="B6" s="4" t="s">
        <v>54</v>
      </c>
      <c r="C6" s="4" t="s">
        <v>55</v>
      </c>
      <c r="D6" s="4" t="s">
        <v>60</v>
      </c>
      <c r="E6" s="4" t="s">
        <v>292</v>
      </c>
      <c r="G6" t="s">
        <v>291</v>
      </c>
      <c r="H6" s="4" t="s">
        <v>292</v>
      </c>
      <c r="I6" s="36">
        <f>6975000/1450</f>
        <v>4810.3448275862065</v>
      </c>
      <c r="J6" t="s">
        <v>667</v>
      </c>
      <c r="K6" s="93">
        <v>45990</v>
      </c>
      <c r="L6">
        <v>2025404807</v>
      </c>
      <c r="M6" s="83" t="s">
        <v>222</v>
      </c>
      <c r="N6" s="4">
        <v>2025</v>
      </c>
    </row>
    <row r="7" spans="1:14">
      <c r="A7" s="4">
        <v>6</v>
      </c>
      <c r="B7" s="4" t="s">
        <v>54</v>
      </c>
      <c r="C7" s="4" t="s">
        <v>55</v>
      </c>
      <c r="D7" s="4" t="s">
        <v>60</v>
      </c>
      <c r="E7" s="4" t="s">
        <v>292</v>
      </c>
      <c r="G7" s="4" t="s">
        <v>21</v>
      </c>
      <c r="H7" t="s">
        <v>296</v>
      </c>
      <c r="I7" s="36">
        <f>107500000/1430</f>
        <v>75174.825174825179</v>
      </c>
      <c r="J7" t="s">
        <v>14</v>
      </c>
      <c r="K7" t="s">
        <v>14</v>
      </c>
      <c r="L7" t="s">
        <v>14</v>
      </c>
      <c r="M7" s="83" t="s">
        <v>222</v>
      </c>
      <c r="N7" s="4">
        <v>2025</v>
      </c>
    </row>
  </sheetData>
  <dataValidations count="1">
    <dataValidation type="list" allowBlank="1" showInputMessage="1" showErrorMessage="1" sqref="C2:C6" xr:uid="{85B588A3-0488-422B-B533-F36D78599AC1}">
      <formula1>INDIRECT(B2)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5C8B71D-99B2-4D31-961E-00A2D6872B9F}">
          <x14:formula1>
            <xm:f>List!$H$2:$H$13</xm:f>
          </x14:formula1>
          <xm:sqref>M2:M6</xm:sqref>
        </x14:dataValidation>
        <x14:dataValidation type="list" allowBlank="1" showInputMessage="1" showErrorMessage="1" xr:uid="{2C052925-5688-406A-8AE6-43B5D56FEB99}">
          <x14:formula1>
            <xm:f>List!$P$2:$P$11</xm:f>
          </x14:formula1>
          <xm:sqref>B2:B6</xm:sqref>
        </x14:dataValidation>
        <x14:dataValidation type="list" allowBlank="1" showInputMessage="1" showErrorMessage="1" xr:uid="{EC21A9BC-6907-4247-9C7C-06FEC6139895}">
          <x14:formula1>
            <xm:f>List!$J$2:$J$4</xm:f>
          </x14:formula1>
          <xm:sqref>N2:N7</xm:sqref>
        </x14:dataValidation>
        <x14:dataValidation type="list" allowBlank="1" showInputMessage="1" showErrorMessage="1" xr:uid="{CC450906-F721-4152-9D7B-3079E74ECB6E}">
          <x14:formula1>
            <xm:f>List!$C$2:$C$3</xm:f>
          </x14:formula1>
          <xm:sqref>D2:D7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P20"/>
  <sheetViews>
    <sheetView topLeftCell="B1" workbookViewId="0">
      <selection activeCell="B11" sqref="B11"/>
    </sheetView>
  </sheetViews>
  <sheetFormatPr defaultColWidth="9" defaultRowHeight="14.5"/>
  <cols>
    <col min="1" max="1" width="19.453125" customWidth="1"/>
    <col min="2" max="9" width="16.90625" customWidth="1"/>
    <col min="10" max="11" width="13.90625" customWidth="1"/>
    <col min="12" max="12" width="12.81640625" customWidth="1"/>
    <col min="13" max="13" width="20.54296875" customWidth="1"/>
    <col min="14" max="14" width="18.1796875" customWidth="1"/>
    <col min="15" max="15" width="15.08984375" customWidth="1"/>
  </cols>
  <sheetData>
    <row r="1" spans="1:16">
      <c r="A1" s="1" t="s">
        <v>125</v>
      </c>
      <c r="B1" s="1" t="s">
        <v>126</v>
      </c>
      <c r="C1" s="1" t="s">
        <v>127</v>
      </c>
      <c r="D1" s="1" t="s">
        <v>128</v>
      </c>
      <c r="E1" s="1" t="s">
        <v>129</v>
      </c>
      <c r="F1" s="1" t="s">
        <v>77</v>
      </c>
      <c r="G1" s="1" t="s">
        <v>81</v>
      </c>
      <c r="H1" s="1" t="s">
        <v>108</v>
      </c>
      <c r="I1" s="1" t="s">
        <v>130</v>
      </c>
      <c r="J1" s="1" t="s">
        <v>96</v>
      </c>
      <c r="K1" s="1" t="s">
        <v>57</v>
      </c>
      <c r="L1" s="1" t="s">
        <v>131</v>
      </c>
      <c r="M1" s="1" t="s">
        <v>84</v>
      </c>
      <c r="N1" s="1" t="s">
        <v>132</v>
      </c>
      <c r="O1" s="1" t="s">
        <v>133</v>
      </c>
      <c r="P1" s="1" t="s">
        <v>134</v>
      </c>
    </row>
    <row r="2" spans="1:16">
      <c r="A2" s="2" t="s">
        <v>135</v>
      </c>
      <c r="B2" s="48" t="s">
        <v>136</v>
      </c>
      <c r="C2" s="2" t="s">
        <v>137</v>
      </c>
      <c r="D2" s="48" t="s">
        <v>138</v>
      </c>
      <c r="E2" s="2" t="s">
        <v>139</v>
      </c>
      <c r="F2" s="2" t="s">
        <v>140</v>
      </c>
      <c r="G2" s="2" t="s">
        <v>141</v>
      </c>
      <c r="H2" s="3" t="s">
        <v>142</v>
      </c>
      <c r="I2" s="2" t="s">
        <v>143</v>
      </c>
      <c r="J2" s="2" t="s">
        <v>144</v>
      </c>
      <c r="K2" s="2" t="s">
        <v>145</v>
      </c>
      <c r="L2" s="2" t="s">
        <v>146</v>
      </c>
      <c r="M2" s="2" t="s">
        <v>147</v>
      </c>
      <c r="N2" s="2" t="s">
        <v>148</v>
      </c>
      <c r="O2" s="2" t="s">
        <v>149</v>
      </c>
      <c r="P2" s="2" t="s">
        <v>150</v>
      </c>
    </row>
    <row r="3" spans="1:16">
      <c r="A3" s="2" t="s">
        <v>151</v>
      </c>
      <c r="B3" s="48" t="s">
        <v>152</v>
      </c>
      <c r="C3" s="2" t="s">
        <v>153</v>
      </c>
      <c r="D3" s="48" t="s">
        <v>154</v>
      </c>
      <c r="E3" s="2" t="s">
        <v>155</v>
      </c>
      <c r="F3" s="2" t="s">
        <v>156</v>
      </c>
      <c r="G3" s="2" t="s">
        <v>157</v>
      </c>
      <c r="I3" s="2" t="s">
        <v>158</v>
      </c>
      <c r="J3" s="2" t="s">
        <v>159</v>
      </c>
      <c r="K3" s="2" t="s">
        <v>160</v>
      </c>
      <c r="L3" s="2" t="s">
        <v>161</v>
      </c>
      <c r="M3" s="5" t="s">
        <v>85</v>
      </c>
      <c r="N3" s="2"/>
    </row>
    <row r="4" spans="1:16">
      <c r="A4" s="2" t="s">
        <v>162</v>
      </c>
      <c r="B4" s="2" t="s">
        <v>163</v>
      </c>
      <c r="C4" s="2" t="s">
        <v>164</v>
      </c>
      <c r="D4" s="48" t="s">
        <v>165</v>
      </c>
      <c r="F4" s="2" t="s">
        <v>166</v>
      </c>
      <c r="G4" s="2" t="s">
        <v>167</v>
      </c>
      <c r="I4" s="2" t="s">
        <v>168</v>
      </c>
      <c r="J4" s="2" t="s">
        <v>169</v>
      </c>
      <c r="K4" s="2" t="s">
        <v>170</v>
      </c>
      <c r="L4" s="2" t="s">
        <v>171</v>
      </c>
    </row>
    <row r="5" spans="1:16">
      <c r="A5" s="2" t="s">
        <v>172</v>
      </c>
      <c r="B5" s="2" t="s">
        <v>173</v>
      </c>
      <c r="C5" s="2" t="s">
        <v>174</v>
      </c>
      <c r="D5" s="2" t="s">
        <v>175</v>
      </c>
      <c r="J5" s="2" t="s">
        <v>166</v>
      </c>
      <c r="K5" s="2" t="s">
        <v>176</v>
      </c>
      <c r="L5" s="2" t="s">
        <v>177</v>
      </c>
    </row>
    <row r="6" spans="1:16">
      <c r="A6" s="2" t="s">
        <v>178</v>
      </c>
      <c r="B6" s="2" t="s">
        <v>179</v>
      </c>
      <c r="D6" s="2" t="s">
        <v>180</v>
      </c>
      <c r="L6" s="2" t="s">
        <v>181</v>
      </c>
    </row>
    <row r="7" spans="1:16">
      <c r="A7" s="2" t="s">
        <v>182</v>
      </c>
      <c r="B7" s="2" t="s">
        <v>183</v>
      </c>
      <c r="D7" s="2" t="s">
        <v>184</v>
      </c>
    </row>
    <row r="8" spans="1:16">
      <c r="A8" s="2" t="s">
        <v>185</v>
      </c>
      <c r="B8" s="2" t="s">
        <v>186</v>
      </c>
      <c r="D8" s="2" t="s">
        <v>187</v>
      </c>
    </row>
    <row r="9" spans="1:16">
      <c r="A9" s="2" t="s">
        <v>188</v>
      </c>
      <c r="B9" s="5" t="s">
        <v>112</v>
      </c>
      <c r="C9" s="4"/>
      <c r="D9" s="2" t="s">
        <v>189</v>
      </c>
      <c r="E9" s="4"/>
    </row>
    <row r="10" spans="1:16">
      <c r="A10" s="2" t="s">
        <v>190</v>
      </c>
      <c r="B10" s="5" t="s">
        <v>191</v>
      </c>
      <c r="C10" s="4"/>
      <c r="D10" s="2" t="s">
        <v>192</v>
      </c>
      <c r="E10" s="4"/>
    </row>
    <row r="11" spans="1:16">
      <c r="B11" s="59" t="s">
        <v>193</v>
      </c>
      <c r="C11" s="4"/>
      <c r="D11" s="2" t="s">
        <v>194</v>
      </c>
      <c r="E11" s="4"/>
      <c r="I11" s="4"/>
      <c r="J11" s="4"/>
      <c r="K11" s="4"/>
    </row>
    <row r="12" spans="1:16">
      <c r="B12" s="5" t="s">
        <v>195</v>
      </c>
      <c r="C12" s="4"/>
      <c r="D12" s="2" t="s">
        <v>196</v>
      </c>
      <c r="E12" s="4"/>
      <c r="I12" s="4"/>
      <c r="J12" s="4"/>
      <c r="K12" s="4"/>
    </row>
    <row r="13" spans="1:16">
      <c r="B13" s="5" t="s">
        <v>197</v>
      </c>
      <c r="C13" s="4"/>
      <c r="D13" s="4"/>
      <c r="E13" s="4"/>
      <c r="F13" s="4"/>
      <c r="G13" s="4"/>
      <c r="H13" s="4"/>
      <c r="I13" s="4"/>
      <c r="J13" s="4"/>
      <c r="K13" s="4"/>
    </row>
    <row r="14" spans="1:16">
      <c r="B14" s="2" t="s">
        <v>198</v>
      </c>
      <c r="I14" s="4"/>
      <c r="J14" s="4"/>
      <c r="K14" s="4"/>
    </row>
    <row r="15" spans="1:16">
      <c r="B15" s="5" t="s">
        <v>199</v>
      </c>
      <c r="C15" s="4"/>
      <c r="D15" s="4"/>
      <c r="E15" s="4"/>
      <c r="F15" s="4"/>
      <c r="G15" s="4"/>
      <c r="H15" s="4"/>
      <c r="I15" s="4"/>
      <c r="J15" s="4"/>
      <c r="K15" s="4"/>
    </row>
    <row r="16" spans="1:16">
      <c r="B16" s="58" t="s">
        <v>298</v>
      </c>
      <c r="C16" s="4"/>
      <c r="D16" s="4"/>
      <c r="E16" s="4"/>
      <c r="F16" s="4"/>
      <c r="G16" s="4"/>
      <c r="H16" s="4"/>
      <c r="I16" s="4"/>
      <c r="J16" s="4"/>
      <c r="K16" s="4"/>
    </row>
    <row r="17" spans="2:11"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2:11"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2:11"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2:11">
      <c r="B20" s="4"/>
      <c r="C20" s="4"/>
      <c r="D20" s="4"/>
      <c r="E20" s="4"/>
      <c r="F20" s="4"/>
      <c r="G20" s="4"/>
      <c r="H20" s="4"/>
      <c r="I20" s="4"/>
      <c r="J20" s="4"/>
      <c r="K20" s="4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H19"/>
  <sheetViews>
    <sheetView workbookViewId="0">
      <selection activeCell="E9" sqref="E9"/>
    </sheetView>
  </sheetViews>
  <sheetFormatPr defaultColWidth="9" defaultRowHeight="14.5"/>
  <cols>
    <col min="1" max="1" width="11.08984375" customWidth="1"/>
    <col min="2" max="2" width="18.08984375" customWidth="1"/>
    <col min="3" max="3" width="12.36328125" customWidth="1"/>
    <col min="4" max="4" width="3.54296875" customWidth="1"/>
    <col min="5" max="5" width="31.453125" customWidth="1"/>
    <col min="6" max="7" width="3.54296875" customWidth="1"/>
    <col min="8" max="8" width="9.08984375" customWidth="1"/>
    <col min="9" max="9" width="3.54296875" customWidth="1"/>
    <col min="10" max="10" width="7.08984375" customWidth="1"/>
    <col min="16" max="16" width="11.08984375" customWidth="1"/>
    <col min="18" max="18" width="12.36328125" customWidth="1"/>
    <col min="19" max="19" width="3.54296875" customWidth="1"/>
    <col min="20" max="20" width="12.36328125" customWidth="1"/>
    <col min="21" max="21" width="3.54296875" customWidth="1"/>
    <col min="22" max="22" width="12.36328125" customWidth="1"/>
    <col min="23" max="23" width="3.54296875" customWidth="1"/>
    <col min="24" max="24" width="12.36328125" customWidth="1"/>
    <col min="25" max="25" width="3.54296875" customWidth="1"/>
    <col min="26" max="26" width="12.36328125" customWidth="1"/>
    <col min="27" max="27" width="3.54296875" customWidth="1"/>
    <col min="28" max="28" width="12.36328125" customWidth="1"/>
    <col min="29" max="29" width="3.54296875" customWidth="1"/>
    <col min="30" max="30" width="12.36328125" customWidth="1"/>
    <col min="31" max="31" width="3.54296875" customWidth="1"/>
    <col min="32" max="32" width="12.36328125" customWidth="1"/>
    <col min="33" max="33" width="3.54296875" customWidth="1"/>
    <col min="34" max="34" width="12.36328125" customWidth="1"/>
  </cols>
  <sheetData>
    <row r="1" spans="1:34">
      <c r="A1" t="s">
        <v>200</v>
      </c>
      <c r="B1" t="s">
        <v>201</v>
      </c>
      <c r="C1" t="s">
        <v>202</v>
      </c>
      <c r="E1" t="s">
        <v>203</v>
      </c>
      <c r="H1" t="s">
        <v>12</v>
      </c>
      <c r="J1" t="s">
        <v>13</v>
      </c>
      <c r="P1" t="s">
        <v>204</v>
      </c>
      <c r="R1" t="s">
        <v>27</v>
      </c>
      <c r="T1" t="s">
        <v>17</v>
      </c>
      <c r="V1" t="s">
        <v>33</v>
      </c>
      <c r="X1" t="s">
        <v>35</v>
      </c>
      <c r="Z1" t="s">
        <v>31</v>
      </c>
      <c r="AB1" t="s">
        <v>42</v>
      </c>
      <c r="AD1" t="s">
        <v>54</v>
      </c>
      <c r="AF1" t="s">
        <v>58</v>
      </c>
      <c r="AH1" t="s">
        <v>78</v>
      </c>
    </row>
    <row r="2" spans="1:34">
      <c r="A2" t="s">
        <v>27</v>
      </c>
      <c r="C2" t="s">
        <v>60</v>
      </c>
      <c r="E2" t="s">
        <v>20</v>
      </c>
      <c r="H2" t="s">
        <v>205</v>
      </c>
      <c r="J2">
        <v>2023</v>
      </c>
      <c r="P2" t="s">
        <v>27</v>
      </c>
      <c r="R2" t="s">
        <v>28</v>
      </c>
      <c r="T2" t="s">
        <v>26</v>
      </c>
      <c r="V2" t="s">
        <v>34</v>
      </c>
      <c r="X2" t="s">
        <v>38</v>
      </c>
      <c r="Z2" t="s">
        <v>32</v>
      </c>
      <c r="AB2" t="s">
        <v>49</v>
      </c>
      <c r="AD2" t="s">
        <v>55</v>
      </c>
      <c r="AF2" t="s">
        <v>59</v>
      </c>
      <c r="AH2" t="s">
        <v>79</v>
      </c>
    </row>
    <row r="3" spans="1:34">
      <c r="A3" t="s">
        <v>17</v>
      </c>
      <c r="C3" t="s">
        <v>19</v>
      </c>
      <c r="E3" t="s">
        <v>206</v>
      </c>
      <c r="H3" t="s">
        <v>207</v>
      </c>
      <c r="J3">
        <v>2024</v>
      </c>
      <c r="P3" t="s">
        <v>17</v>
      </c>
      <c r="T3" t="s">
        <v>22</v>
      </c>
      <c r="X3" t="s">
        <v>41</v>
      </c>
      <c r="AB3" t="s">
        <v>50</v>
      </c>
      <c r="AD3" t="s">
        <v>95</v>
      </c>
    </row>
    <row r="4" spans="1:34">
      <c r="A4" t="s">
        <v>33</v>
      </c>
      <c r="E4" t="s">
        <v>86</v>
      </c>
      <c r="H4" t="s">
        <v>208</v>
      </c>
      <c r="J4">
        <v>2025</v>
      </c>
      <c r="P4" t="s">
        <v>33</v>
      </c>
      <c r="T4" t="s">
        <v>25</v>
      </c>
      <c r="X4" t="s">
        <v>37</v>
      </c>
      <c r="AB4" t="s">
        <v>209</v>
      </c>
    </row>
    <row r="5" spans="1:34">
      <c r="A5" t="s">
        <v>35</v>
      </c>
      <c r="E5" t="s">
        <v>113</v>
      </c>
      <c r="H5" t="s">
        <v>210</v>
      </c>
      <c r="P5" t="s">
        <v>35</v>
      </c>
      <c r="T5" t="s">
        <v>92</v>
      </c>
      <c r="X5" t="s">
        <v>40</v>
      </c>
      <c r="AB5" t="s">
        <v>51</v>
      </c>
    </row>
    <row r="6" spans="1:34">
      <c r="A6" t="s">
        <v>31</v>
      </c>
      <c r="E6" t="s">
        <v>83</v>
      </c>
      <c r="H6" t="s">
        <v>211</v>
      </c>
      <c r="P6" t="s">
        <v>31</v>
      </c>
      <c r="T6" t="s">
        <v>24</v>
      </c>
      <c r="X6" t="s">
        <v>39</v>
      </c>
      <c r="AB6" t="s">
        <v>47</v>
      </c>
    </row>
    <row r="7" spans="1:34">
      <c r="A7" t="s">
        <v>42</v>
      </c>
      <c r="E7" t="s">
        <v>212</v>
      </c>
      <c r="H7" t="s">
        <v>213</v>
      </c>
      <c r="P7" t="s">
        <v>42</v>
      </c>
      <c r="T7" t="s">
        <v>74</v>
      </c>
      <c r="X7" t="s">
        <v>214</v>
      </c>
      <c r="AB7" t="s">
        <v>44</v>
      </c>
    </row>
    <row r="8" spans="1:34">
      <c r="A8" t="s">
        <v>54</v>
      </c>
      <c r="E8" t="s">
        <v>215</v>
      </c>
      <c r="H8" t="s">
        <v>216</v>
      </c>
      <c r="P8" t="s">
        <v>54</v>
      </c>
      <c r="T8" t="s">
        <v>23</v>
      </c>
      <c r="X8" t="s">
        <v>36</v>
      </c>
      <c r="AB8" t="s">
        <v>70</v>
      </c>
    </row>
    <row r="9" spans="1:34">
      <c r="A9" t="s">
        <v>54</v>
      </c>
      <c r="E9" t="s">
        <v>100</v>
      </c>
      <c r="H9" t="s">
        <v>217</v>
      </c>
      <c r="P9" t="s">
        <v>54</v>
      </c>
      <c r="AB9" t="s">
        <v>45</v>
      </c>
    </row>
    <row r="10" spans="1:34">
      <c r="A10" t="s">
        <v>58</v>
      </c>
      <c r="E10" t="s">
        <v>71</v>
      </c>
      <c r="H10" t="s">
        <v>15</v>
      </c>
      <c r="P10" t="s">
        <v>58</v>
      </c>
      <c r="AB10" t="s">
        <v>76</v>
      </c>
    </row>
    <row r="11" spans="1:34">
      <c r="A11" t="s">
        <v>78</v>
      </c>
      <c r="E11" t="s">
        <v>218</v>
      </c>
      <c r="H11" t="s">
        <v>219</v>
      </c>
      <c r="P11" t="s">
        <v>78</v>
      </c>
      <c r="AB11" t="s">
        <v>220</v>
      </c>
    </row>
    <row r="12" spans="1:34">
      <c r="E12" t="s">
        <v>56</v>
      </c>
      <c r="H12" t="s">
        <v>221</v>
      </c>
      <c r="AB12" t="s">
        <v>46</v>
      </c>
    </row>
    <row r="13" spans="1:34">
      <c r="E13" t="s">
        <v>81</v>
      </c>
      <c r="H13" t="s">
        <v>222</v>
      </c>
      <c r="AB13" t="s">
        <v>73</v>
      </c>
    </row>
    <row r="14" spans="1:34">
      <c r="E14" t="s">
        <v>223</v>
      </c>
      <c r="AB14" t="s">
        <v>224</v>
      </c>
    </row>
    <row r="15" spans="1:34">
      <c r="E15" t="s">
        <v>225</v>
      </c>
    </row>
    <row r="16" spans="1:34">
      <c r="E16" t="s">
        <v>96</v>
      </c>
    </row>
    <row r="17" spans="5:5">
      <c r="E17" t="s">
        <v>108</v>
      </c>
    </row>
    <row r="18" spans="5:5">
      <c r="E18" t="s">
        <v>226</v>
      </c>
    </row>
    <row r="19" spans="5:5">
      <c r="E19" t="s">
        <v>227</v>
      </c>
    </row>
  </sheetData>
  <pageMargins left="0.7" right="0.7" top="0.75" bottom="0.75" header="0.3" footer="0.3"/>
  <pageSetup paperSize="9" orientation="portrait"/>
  <tableParts count="14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746AA56-B517-4622-B270-F0E8AD718ED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Sumary</vt:lpstr>
      <vt:lpstr>Master</vt:lpstr>
      <vt:lpstr>Payroll</vt:lpstr>
      <vt:lpstr>Sheet2</vt:lpstr>
      <vt:lpstr>Shipping</vt:lpstr>
      <vt:lpstr>Petty Cash</vt:lpstr>
      <vt:lpstr>Fuel &amp; Lubricant</vt:lpstr>
      <vt:lpstr>Charitable Contributions</vt:lpstr>
      <vt:lpstr>Accommodation</vt:lpstr>
      <vt:lpstr>Logistic</vt:lpstr>
      <vt:lpstr>Security</vt:lpstr>
      <vt:lpstr>Lease &amp; Rent</vt:lpstr>
      <vt:lpstr>Communication &amp; internet</vt:lpstr>
      <vt:lpstr>Social security</vt:lpstr>
      <vt:lpstr>Amman Expenses</vt:lpstr>
      <vt:lpstr>Air ticket &amp; travel</vt:lpstr>
      <vt:lpstr>Materials</vt:lpstr>
      <vt:lpstr>Third party Services</vt:lpstr>
      <vt:lpstr>Third party manpower</vt:lpstr>
      <vt:lpstr>Subcontractors</vt:lpstr>
      <vt:lpstr>Tax</vt:lpstr>
      <vt:lpstr>FA</vt:lpstr>
      <vt:lpstr>Sheet1</vt:lpstr>
      <vt:lpstr>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HP</cp:lastModifiedBy>
  <cp:lastPrinted>2024-10-13T07:54:00Z</cp:lastPrinted>
  <dcterms:created xsi:type="dcterms:W3CDTF">2024-10-13T06:49:00Z</dcterms:created>
  <dcterms:modified xsi:type="dcterms:W3CDTF">2026-01-17T09:04:42Z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92CAEB93B0DB422FB444CFE2DFBC07A4_13</vt:lpwstr>
  </property>
  <property fmtid="{D5CDD505-2E9C-101B-9397-08002B2CF9AE}" pid="3" name="KSOProductBuildVer">
    <vt:lpwstr>1033-12.2.0.23131</vt:lpwstr>
  </property>
</Properties>
</file>